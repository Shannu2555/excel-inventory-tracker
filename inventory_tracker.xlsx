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-To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tock In" sheetId="3" state="visible" r:id="rId3"/>
    <sheet xmlns:r="http://schemas.openxmlformats.org/officeDocument/2006/relationships" name="Sales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'Products'!$A$1:$O$201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yyyy-mm-dd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</font>
    <font>
      <b val="1"/>
      <color rgb="001F4E78"/>
      <sz val="12"/>
    </font>
    <font>
      <b val="1"/>
      <color rgb="001F4E78"/>
      <sz val="13"/>
    </font>
    <font>
      <b val="1"/>
      <color rgb="001F4E78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4" fontId="0" fillId="3" borderId="0" pivotButton="0" quotePrefix="0" xfId="0"/>
    <xf numFmtId="4" fontId="0" fillId="0" borderId="0" pivotButton="0" quotePrefix="0" xfId="0"/>
    <xf numFmtId="164" fontId="0" fillId="3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4" borderId="1" pivotButton="0" quotePrefix="0" xfId="0"/>
    <xf numFmtId="1" fontId="3" fillId="0" borderId="1" pivotButton="0" quotePrefix="0" xfId="0"/>
    <xf numFmtId="0" fontId="1" fillId="2" borderId="0" pivotButton="0" quotePrefix="0" xfId="0"/>
    <xf numFmtId="3" fontId="3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dxfs count="4">
    <dxf>
      <font>
        <b val="1"/>
        <color rgb="009C0006"/>
      </font>
      <fill>
        <patternFill patternType="solid">
          <fgColor rgb="00F8CBAD"/>
        </patternFill>
      </fill>
    </dxf>
    <dxf>
      <font>
        <color rgb="009C5700"/>
      </font>
      <fill>
        <patternFill patternType="solid">
          <fgColor rgb="00FFEB9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Current stock vs reorder level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'Dashboard'!$D$5:$D$19</f>
            </numRef>
          </cat>
          <val>
            <numRef>
              <f>'Dashboard'!$F$5:$F$19</f>
            </numRef>
          </val>
        </ser>
        <ser>
          <idx val="1"/>
          <order val="1"/>
          <tx>
            <strRef>
              <f>'Dashboard'!G4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'Dashboard'!$D$5:$D$19</f>
            </numRef>
          </cat>
          <val>
            <numRef>
              <f>'Dashboard'!$G$5:$G$19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use this Inventory Tracker</t>
        </is>
      </c>
    </row>
    <row r="2">
      <c r="A2" t="inlineStr">
        <is>
          <t>Yellow cells are for you to type in. White cells are formulas, so don't type over them.</t>
        </is>
      </c>
    </row>
    <row r="3">
      <c r="A3" t="inlineStr"/>
    </row>
    <row r="4">
      <c r="A4" t="inlineStr">
        <is>
          <t>1. PRODUCTS: add one row per SKU: SKU, name, category, unit cost, selling price, opening stock and reorder level.</t>
        </is>
      </c>
    </row>
    <row r="5">
      <c r="A5" t="inlineStr">
        <is>
          <t xml:space="preserve">   Received, Incoming, Sold, Current Stock, Stock Value, Status and Days of Stock Left calculate automatically.</t>
        </is>
      </c>
    </row>
    <row r="6">
      <c r="A6" t="inlineStr">
        <is>
          <t xml:space="preserve">   Rows turn YELLOW when stock is at or below the reorder level, and RED when stock is 0 or below.</t>
        </is>
      </c>
    </row>
    <row r="7">
      <c r="A7" t="inlineStr">
        <is>
          <t>2. STOCK IN: log every purchase order or delivery. Pick the SKU from the dropdown.</t>
        </is>
      </c>
    </row>
    <row r="8">
      <c r="A8" t="inlineStr">
        <is>
          <t xml:space="preserve">   Status = 'Incoming' while it's on the way (counted as Incoming); change it to 'Received' when it arrives (added to stock).</t>
        </is>
      </c>
    </row>
    <row r="9">
      <c r="A9" t="inlineStr">
        <is>
          <t>3. SALES: log sales (or paste a daily export from Amazon / Shopify): Date, SKU, Quantity, Channel, Order ID.</t>
        </is>
      </c>
    </row>
    <row r="10">
      <c r="A10" t="inlineStr">
        <is>
          <t xml:space="preserve">   Unit price and revenue are looked up from Products automatically. 'SKU not found' means a typo or a missing product.</t>
        </is>
      </c>
    </row>
    <row r="11">
      <c r="A11" t="inlineStr">
        <is>
          <t>4. DASHBOARD: totals, items to reorder, out-of-stock count, revenue by channel and a stock chart. Nothing to edit.</t>
        </is>
      </c>
    </row>
    <row r="12">
      <c r="A12" t="inlineStr"/>
    </row>
    <row r="13">
      <c r="A13" s="2" t="inlineStr">
        <is>
          <t>Status meanings</t>
        </is>
      </c>
    </row>
    <row r="14">
      <c r="A14" t="inlineStr">
        <is>
          <t xml:space="preserve">   OK = above reorder level | REORDER NOW = at/below reorder level, nothing on order | LOW - ON ORDER = low but a PO is incoming | OUT OF STOCK = 0 or less</t>
        </is>
      </c>
    </row>
    <row r="15">
      <c r="A15" t="inlineStr">
        <is>
          <t>Days of Stock Left = current stock / average daily sales over the last 30 days.</t>
        </is>
      </c>
    </row>
    <row r="16">
      <c r="A16" t="inlineStr"/>
    </row>
    <row r="17">
      <c r="A17" s="2" t="inlineStr">
        <is>
          <t>Tips</t>
        </is>
      </c>
    </row>
    <row r="18">
      <c r="A18" t="inlineStr">
        <is>
          <t xml:space="preserve">   Never delete formula columns. To remove a product, clear its yellow cells and the formulas go blank by themselves.</t>
        </is>
      </c>
    </row>
    <row r="19">
      <c r="A19" t="inlineStr">
        <is>
          <t xml:space="preserve">   Capacity: 200 products and 2000 rows each for Stock In and Sales. Copy a formula row down to extend it.</t>
        </is>
      </c>
    </row>
    <row r="20">
      <c r="A20" t="inlineStr">
        <is>
          <t xml:space="preserve">   Use the filter arrows on Products to sort by Status or Days of Stock Left.</t>
        </is>
      </c>
    </row>
    <row r="21">
      <c r="A21" t="inlineStr">
        <is>
          <t>Data: UCI Machine Learning Repository, Online Retail (Daqing Chen, 2015), CC BY 4.0, doi:10.24432/C5BW33. 15 most-ordered products; Sales = real units sold 1 Nov-9 Dec 2011, grouped per day and country.</t>
        </is>
      </c>
    </row>
    <row r="22">
      <c r="A22" t="inlineStr">
        <is>
          <t>Assumptions (dataset has no stock or cost data): opening stock on 1 Nov 2011 = 60 days of avg daily demand (Dec 2010-Oct 2011); reorder level = 14 days; unit cost = 60% of avg selling price; stock cannot go below 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1" customWidth="1" min="4" max="4"/>
    <col width="12" customWidth="1" min="5" max="5"/>
    <col width="12" customWidth="1" min="6" max="6"/>
    <col width="12" customWidth="1" min="7" max="7"/>
    <col width="11" customWidth="1" min="8" max="8"/>
    <col width="13" customWidth="1" min="9" max="9"/>
    <col width="9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32" customHeight="1">
      <c r="A1" s="3" t="inlineStr">
        <is>
          <t>SKU</t>
        </is>
      </c>
      <c r="B1" s="3" t="inlineStr">
        <is>
          <t>Product Name</t>
        </is>
      </c>
      <c r="C1" s="3" t="inlineStr">
        <is>
          <t>Category</t>
        </is>
      </c>
      <c r="D1" s="3" t="inlineStr">
        <is>
          <t>Unit Cost</t>
        </is>
      </c>
      <c r="E1" s="3" t="inlineStr">
        <is>
          <t>Selling Price</t>
        </is>
      </c>
      <c r="F1" s="3" t="inlineStr">
        <is>
          <t>Opening Stock</t>
        </is>
      </c>
      <c r="G1" s="3" t="inlineStr">
        <is>
          <t>Reorder Level</t>
        </is>
      </c>
      <c r="H1" s="3" t="inlineStr">
        <is>
          <t>Received</t>
        </is>
      </c>
      <c r="I1" s="3" t="inlineStr">
        <is>
          <t>Incoming (on order)</t>
        </is>
      </c>
      <c r="J1" s="3" t="inlineStr">
        <is>
          <t>Sold</t>
        </is>
      </c>
      <c r="K1" s="3" t="inlineStr">
        <is>
          <t>Current Stock</t>
        </is>
      </c>
      <c r="L1" s="3" t="inlineStr">
        <is>
          <t>Stock Value</t>
        </is>
      </c>
      <c r="M1" s="3" t="inlineStr">
        <is>
          <t>Status</t>
        </is>
      </c>
      <c r="N1" s="3" t="inlineStr">
        <is>
          <t>Units Sold (30d)</t>
        </is>
      </c>
      <c r="O1" s="3" t="inlineStr">
        <is>
          <t>Days of Stock Left</t>
        </is>
      </c>
    </row>
    <row r="2">
      <c r="A2" s="4" t="inlineStr">
        <is>
          <t>85123A</t>
        </is>
      </c>
      <c r="B2" s="4" t="inlineStr">
        <is>
          <t>White Hanging Heart T-Light Holder</t>
        </is>
      </c>
      <c r="C2" s="4" t="inlineStr">
        <is>
          <t>Lighting</t>
        </is>
      </c>
      <c r="D2" s="5" t="n">
        <v>1.67</v>
      </c>
      <c r="E2" s="5" t="n">
        <v>2.78</v>
      </c>
      <c r="F2" s="4" t="n">
        <v>5720</v>
      </c>
      <c r="G2" s="4" t="n">
        <v>1335</v>
      </c>
      <c r="H2">
        <f>IF($A2="","",SUMIFS('Stock In'!$C:$C,'Stock In'!$B:$B,$A2,'Stock In'!$E:$E,"Received"))</f>
        <v/>
      </c>
      <c r="I2">
        <f>IF($A2="","",SUMIFS('Stock In'!$C:$C,'Stock In'!$B:$B,$A2,'Stock In'!$E:$E,"Incoming"))</f>
        <v/>
      </c>
      <c r="J2">
        <f>IF($A2="","",SUMIFS(Sales!$C:$C,Sales!$B:$B,$A2))</f>
        <v/>
      </c>
      <c r="K2">
        <f>IF($A2="","",MAX(0,N($F2)+N($H2)-N($J2)))</f>
        <v/>
      </c>
      <c r="L2" s="6">
        <f>IF($A2="","",$K2*N($D2))</f>
        <v/>
      </c>
      <c r="M2">
        <f>IF($A2="","",IF($K2&lt;=0,"OUT OF STOCK",IF($K2&lt;=N($G2),IF(N($I2)&gt;0,"LOW - ON ORDER","REORDER NOW"),"OK")))</f>
        <v/>
      </c>
      <c r="N2">
        <f>IF($A2="","",SUMIFS(Sales!$C:$C,Sales!$B:$B,$A2,Sales!$A:$A,"&gt;="&amp;(TODAY()-30)))</f>
        <v/>
      </c>
      <c r="O2">
        <f>IF($A2="","",IF(N($N2)=0,"no recent sales",MAX(0,ROUND($K2/($N2/30),0))))</f>
        <v/>
      </c>
    </row>
    <row r="3">
      <c r="A3" s="4" t="inlineStr">
        <is>
          <t>85099B</t>
        </is>
      </c>
      <c r="B3" s="4" t="inlineStr">
        <is>
          <t>Jumbo Bag Red Retrospot</t>
        </is>
      </c>
      <c r="C3" s="4" t="inlineStr">
        <is>
          <t>Bags</t>
        </is>
      </c>
      <c r="D3" s="5" t="n">
        <v>1.17</v>
      </c>
      <c r="E3" s="5" t="n">
        <v>1.95</v>
      </c>
      <c r="F3" s="4" t="n">
        <v>7426</v>
      </c>
      <c r="G3" s="4" t="n">
        <v>1733</v>
      </c>
      <c r="H3">
        <f>IF($A3="","",SUMIFS('Stock In'!$C:$C,'Stock In'!$B:$B,$A3,'Stock In'!$E:$E,"Received"))</f>
        <v/>
      </c>
      <c r="I3">
        <f>IF($A3="","",SUMIFS('Stock In'!$C:$C,'Stock In'!$B:$B,$A3,'Stock In'!$E:$E,"Incoming"))</f>
        <v/>
      </c>
      <c r="J3">
        <f>IF($A3="","",SUMIFS(Sales!$C:$C,Sales!$B:$B,$A3))</f>
        <v/>
      </c>
      <c r="K3">
        <f>IF($A3="","",MAX(0,N($F3)+N($H3)-N($J3)))</f>
        <v/>
      </c>
      <c r="L3" s="6">
        <f>IF($A3="","",$K3*N($D3))</f>
        <v/>
      </c>
      <c r="M3">
        <f>IF($A3="","",IF($K3&lt;=0,"OUT OF STOCK",IF($K3&lt;=N($G3),IF(N($I3)&gt;0,"LOW - ON ORDER","REORDER NOW"),"OK")))</f>
        <v/>
      </c>
      <c r="N3">
        <f>IF($A3="","",SUMIFS(Sales!$C:$C,Sales!$B:$B,$A3,Sales!$A:$A,"&gt;="&amp;(TODAY()-30)))</f>
        <v/>
      </c>
      <c r="O3">
        <f>IF($A3="","",IF(N($N3)=0,"no recent sales",MAX(0,ROUND($K3/($N3/30),0))))</f>
        <v/>
      </c>
    </row>
    <row r="4">
      <c r="A4" s="4" t="inlineStr">
        <is>
          <t>22423</t>
        </is>
      </c>
      <c r="B4" s="4" t="inlineStr">
        <is>
          <t>Regency Cakestand 3 Tier</t>
        </is>
      </c>
      <c r="C4" s="4" t="inlineStr">
        <is>
          <t>Kitchen</t>
        </is>
      </c>
      <c r="D4" s="5" t="n">
        <v>7.54</v>
      </c>
      <c r="E4" s="5" t="n">
        <v>12.57</v>
      </c>
      <c r="F4" s="4" t="n">
        <v>2216</v>
      </c>
      <c r="G4" s="4" t="n">
        <v>517</v>
      </c>
      <c r="H4">
        <f>IF($A4="","",SUMIFS('Stock In'!$C:$C,'Stock In'!$B:$B,$A4,'Stock In'!$E:$E,"Received"))</f>
        <v/>
      </c>
      <c r="I4">
        <f>IF($A4="","",SUMIFS('Stock In'!$C:$C,'Stock In'!$B:$B,$A4,'Stock In'!$E:$E,"Incoming"))</f>
        <v/>
      </c>
      <c r="J4">
        <f>IF($A4="","",SUMIFS(Sales!$C:$C,Sales!$B:$B,$A4))</f>
        <v/>
      </c>
      <c r="K4">
        <f>IF($A4="","",MAX(0,N($F4)+N($H4)-N($J4)))</f>
        <v/>
      </c>
      <c r="L4" s="6">
        <f>IF($A4="","",$K4*N($D4))</f>
        <v/>
      </c>
      <c r="M4">
        <f>IF($A4="","",IF($K4&lt;=0,"OUT OF STOCK",IF($K4&lt;=N($G4),IF(N($I4)&gt;0,"LOW - ON ORDER","REORDER NOW"),"OK")))</f>
        <v/>
      </c>
      <c r="N4">
        <f>IF($A4="","",SUMIFS(Sales!$C:$C,Sales!$B:$B,$A4,Sales!$A:$A,"&gt;="&amp;(TODAY()-30)))</f>
        <v/>
      </c>
      <c r="O4">
        <f>IF($A4="","",IF(N($N4)=0,"no recent sales",MAX(0,ROUND($K4/($N4/30),0))))</f>
        <v/>
      </c>
    </row>
    <row r="5">
      <c r="A5" s="4" t="inlineStr">
        <is>
          <t>47566</t>
        </is>
      </c>
      <c r="B5" s="4" t="inlineStr">
        <is>
          <t>Party Bunting</t>
        </is>
      </c>
      <c r="C5" s="4" t="inlineStr">
        <is>
          <t>Kitchen</t>
        </is>
      </c>
      <c r="D5" s="5" t="n">
        <v>3.26</v>
      </c>
      <c r="E5" s="5" t="n">
        <v>5.44</v>
      </c>
      <c r="F5" s="4" t="n">
        <v>3088</v>
      </c>
      <c r="G5" s="4" t="n">
        <v>721</v>
      </c>
      <c r="H5">
        <f>IF($A5="","",SUMIFS('Stock In'!$C:$C,'Stock In'!$B:$B,$A5,'Stock In'!$E:$E,"Received"))</f>
        <v/>
      </c>
      <c r="I5">
        <f>IF($A5="","",SUMIFS('Stock In'!$C:$C,'Stock In'!$B:$B,$A5,'Stock In'!$E:$E,"Incoming"))</f>
        <v/>
      </c>
      <c r="J5">
        <f>IF($A5="","",SUMIFS(Sales!$C:$C,Sales!$B:$B,$A5))</f>
        <v/>
      </c>
      <c r="K5">
        <f>IF($A5="","",MAX(0,N($F5)+N($H5)-N($J5)))</f>
        <v/>
      </c>
      <c r="L5" s="6">
        <f>IF($A5="","",$K5*N($D5))</f>
        <v/>
      </c>
      <c r="M5">
        <f>IF($A5="","",IF($K5&lt;=0,"OUT OF STOCK",IF($K5&lt;=N($G5),IF(N($I5)&gt;0,"LOW - ON ORDER","REORDER NOW"),"OK")))</f>
        <v/>
      </c>
      <c r="N5">
        <f>IF($A5="","",SUMIFS(Sales!$C:$C,Sales!$B:$B,$A5,Sales!$A:$A,"&gt;="&amp;(TODAY()-30)))</f>
        <v/>
      </c>
      <c r="O5">
        <f>IF($A5="","",IF(N($N5)=0,"no recent sales",MAX(0,ROUND($K5/($N5/30),0))))</f>
        <v/>
      </c>
    </row>
    <row r="6">
      <c r="A6" s="4" t="inlineStr">
        <is>
          <t>20725</t>
        </is>
      </c>
      <c r="B6" s="4" t="inlineStr">
        <is>
          <t>Lunch Bag Red Retrospot</t>
        </is>
      </c>
      <c r="C6" s="4" t="inlineStr">
        <is>
          <t>Bags</t>
        </is>
      </c>
      <c r="D6" s="5" t="n">
        <v>1.11</v>
      </c>
      <c r="E6" s="5" t="n">
        <v>1.84</v>
      </c>
      <c r="F6" s="4" t="n">
        <v>3074</v>
      </c>
      <c r="G6" s="4" t="n">
        <v>717</v>
      </c>
      <c r="H6">
        <f>IF($A6="","",SUMIFS('Stock In'!$C:$C,'Stock In'!$B:$B,$A6,'Stock In'!$E:$E,"Received"))</f>
        <v/>
      </c>
      <c r="I6">
        <f>IF($A6="","",SUMIFS('Stock In'!$C:$C,'Stock In'!$B:$B,$A6,'Stock In'!$E:$E,"Incoming"))</f>
        <v/>
      </c>
      <c r="J6">
        <f>IF($A6="","",SUMIFS(Sales!$C:$C,Sales!$B:$B,$A6))</f>
        <v/>
      </c>
      <c r="K6">
        <f>IF($A6="","",MAX(0,N($F6)+N($H6)-N($J6)))</f>
        <v/>
      </c>
      <c r="L6" s="6">
        <f>IF($A6="","",$K6*N($D6))</f>
        <v/>
      </c>
      <c r="M6">
        <f>IF($A6="","",IF($K6&lt;=0,"OUT OF STOCK",IF($K6&lt;=N($G6),IF(N($I6)&gt;0,"LOW - ON ORDER","REORDER NOW"),"OK")))</f>
        <v/>
      </c>
      <c r="N6">
        <f>IF($A6="","",SUMIFS(Sales!$C:$C,Sales!$B:$B,$A6,Sales!$A:$A,"&gt;="&amp;(TODAY()-30)))</f>
        <v/>
      </c>
      <c r="O6">
        <f>IF($A6="","",IF(N($N6)=0,"no recent sales",MAX(0,ROUND($K6/($N6/30),0))))</f>
        <v/>
      </c>
    </row>
    <row r="7">
      <c r="A7" s="4" t="inlineStr">
        <is>
          <t>84879</t>
        </is>
      </c>
      <c r="B7" s="4" t="inlineStr">
        <is>
          <t>Assorted Colour Bird Ornament</t>
        </is>
      </c>
      <c r="C7" s="4" t="inlineStr">
        <is>
          <t>Decor</t>
        </is>
      </c>
      <c r="D7" s="5" t="n">
        <v>0.97</v>
      </c>
      <c r="E7" s="5" t="n">
        <v>1.62</v>
      </c>
      <c r="F7" s="4" t="n">
        <v>5351</v>
      </c>
      <c r="G7" s="4" t="n">
        <v>1249</v>
      </c>
      <c r="H7">
        <f>IF($A7="","",SUMIFS('Stock In'!$C:$C,'Stock In'!$B:$B,$A7,'Stock In'!$E:$E,"Received"))</f>
        <v/>
      </c>
      <c r="I7">
        <f>IF($A7="","",SUMIFS('Stock In'!$C:$C,'Stock In'!$B:$B,$A7,'Stock In'!$E:$E,"Incoming"))</f>
        <v/>
      </c>
      <c r="J7">
        <f>IF($A7="","",SUMIFS(Sales!$C:$C,Sales!$B:$B,$A7))</f>
        <v/>
      </c>
      <c r="K7">
        <f>IF($A7="","",MAX(0,N($F7)+N($H7)-N($J7)))</f>
        <v/>
      </c>
      <c r="L7" s="6">
        <f>IF($A7="","",$K7*N($D7))</f>
        <v/>
      </c>
      <c r="M7">
        <f>IF($A7="","",IF($K7&lt;=0,"OUT OF STOCK",IF($K7&lt;=N($G7),IF(N($I7)&gt;0,"LOW - ON ORDER","REORDER NOW"),"OK")))</f>
        <v/>
      </c>
      <c r="N7">
        <f>IF($A7="","",SUMIFS(Sales!$C:$C,Sales!$B:$B,$A7,Sales!$A:$A,"&gt;="&amp;(TODAY()-30)))</f>
        <v/>
      </c>
      <c r="O7">
        <f>IF($A7="","",IF(N($N7)=0,"no recent sales",MAX(0,ROUND($K7/($N7/30),0))))</f>
        <v/>
      </c>
    </row>
    <row r="8">
      <c r="A8" s="4" t="inlineStr">
        <is>
          <t>22720</t>
        </is>
      </c>
      <c r="B8" s="4" t="inlineStr">
        <is>
          <t>Set Of 3 Cake Tins Pantry Design</t>
        </is>
      </c>
      <c r="C8" s="4" t="inlineStr">
        <is>
          <t>Kitchen</t>
        </is>
      </c>
      <c r="D8" s="5" t="n">
        <v>3.06</v>
      </c>
      <c r="E8" s="5" t="n">
        <v>5.09</v>
      </c>
      <c r="F8" s="4" t="n">
        <v>1208</v>
      </c>
      <c r="G8" s="4" t="n">
        <v>282</v>
      </c>
      <c r="H8">
        <f>IF($A8="","",SUMIFS('Stock In'!$C:$C,'Stock In'!$B:$B,$A8,'Stock In'!$E:$E,"Received"))</f>
        <v/>
      </c>
      <c r="I8">
        <f>IF($A8="","",SUMIFS('Stock In'!$C:$C,'Stock In'!$B:$B,$A8,'Stock In'!$E:$E,"Incoming"))</f>
        <v/>
      </c>
      <c r="J8">
        <f>IF($A8="","",SUMIFS(Sales!$C:$C,Sales!$B:$B,$A8))</f>
        <v/>
      </c>
      <c r="K8">
        <f>IF($A8="","",MAX(0,N($F8)+N($H8)-N($J8)))</f>
        <v/>
      </c>
      <c r="L8" s="6">
        <f>IF($A8="","",$K8*N($D8))</f>
        <v/>
      </c>
      <c r="M8">
        <f>IF($A8="","",IF($K8&lt;=0,"OUT OF STOCK",IF($K8&lt;=N($G8),IF(N($I8)&gt;0,"LOW - ON ORDER","REORDER NOW"),"OK")))</f>
        <v/>
      </c>
      <c r="N8">
        <f>IF($A8="","",SUMIFS(Sales!$C:$C,Sales!$B:$B,$A8,Sales!$A:$A,"&gt;="&amp;(TODAY()-30)))</f>
        <v/>
      </c>
      <c r="O8">
        <f>IF($A8="","",IF(N($N8)=0,"no recent sales",MAX(0,ROUND($K8/($N8/30),0))))</f>
        <v/>
      </c>
    </row>
    <row r="9">
      <c r="A9" s="4" t="inlineStr">
        <is>
          <t>21212</t>
        </is>
      </c>
      <c r="B9" s="4" t="inlineStr">
        <is>
          <t>Pack Of 72 Retrospot Cake Cases</t>
        </is>
      </c>
      <c r="C9" s="4" t="inlineStr">
        <is>
          <t>Kitchen</t>
        </is>
      </c>
      <c r="D9" s="5" t="n">
        <v>0.35</v>
      </c>
      <c r="E9" s="5" t="n">
        <v>0.58</v>
      </c>
      <c r="F9" s="4" t="n">
        <v>5970</v>
      </c>
      <c r="G9" s="4" t="n">
        <v>1393</v>
      </c>
      <c r="H9">
        <f>IF($A9="","",SUMIFS('Stock In'!$C:$C,'Stock In'!$B:$B,$A9,'Stock In'!$E:$E,"Received"))</f>
        <v/>
      </c>
      <c r="I9">
        <f>IF($A9="","",SUMIFS('Stock In'!$C:$C,'Stock In'!$B:$B,$A9,'Stock In'!$E:$E,"Incoming"))</f>
        <v/>
      </c>
      <c r="J9">
        <f>IF($A9="","",SUMIFS(Sales!$C:$C,Sales!$B:$B,$A9))</f>
        <v/>
      </c>
      <c r="K9">
        <f>IF($A9="","",MAX(0,N($F9)+N($H9)-N($J9)))</f>
        <v/>
      </c>
      <c r="L9" s="6">
        <f>IF($A9="","",$K9*N($D9))</f>
        <v/>
      </c>
      <c r="M9">
        <f>IF($A9="","",IF($K9&lt;=0,"OUT OF STOCK",IF($K9&lt;=N($G9),IF(N($I9)&gt;0,"LOW - ON ORDER","REORDER NOW"),"OK")))</f>
        <v/>
      </c>
      <c r="N9">
        <f>IF($A9="","",SUMIFS(Sales!$C:$C,Sales!$B:$B,$A9,Sales!$A:$A,"&gt;="&amp;(TODAY()-30)))</f>
        <v/>
      </c>
      <c r="O9">
        <f>IF($A9="","",IF(N($N9)=0,"no recent sales",MAX(0,ROUND($K9/($N9/30),0))))</f>
        <v/>
      </c>
    </row>
    <row r="10">
      <c r="A10" s="4" t="inlineStr">
        <is>
          <t>22383</t>
        </is>
      </c>
      <c r="B10" s="4" t="inlineStr">
        <is>
          <t>Lunch Bag Suki Design</t>
        </is>
      </c>
      <c r="C10" s="4" t="inlineStr">
        <is>
          <t>Bags</t>
        </is>
      </c>
      <c r="D10" s="5" t="n">
        <v>1.08</v>
      </c>
      <c r="E10" s="5" t="n">
        <v>1.8</v>
      </c>
      <c r="F10" s="4" t="n">
        <v>2048</v>
      </c>
      <c r="G10" s="4" t="n">
        <v>478</v>
      </c>
      <c r="H10">
        <f>IF($A10="","",SUMIFS('Stock In'!$C:$C,'Stock In'!$B:$B,$A10,'Stock In'!$E:$E,"Received"))</f>
        <v/>
      </c>
      <c r="I10">
        <f>IF($A10="","",SUMIFS('Stock In'!$C:$C,'Stock In'!$B:$B,$A10,'Stock In'!$E:$E,"Incoming"))</f>
        <v/>
      </c>
      <c r="J10">
        <f>IF($A10="","",SUMIFS(Sales!$C:$C,Sales!$B:$B,$A10))</f>
        <v/>
      </c>
      <c r="K10">
        <f>IF($A10="","",MAX(0,N($F10)+N($H10)-N($J10)))</f>
        <v/>
      </c>
      <c r="L10" s="6">
        <f>IF($A10="","",$K10*N($D10))</f>
        <v/>
      </c>
      <c r="M10">
        <f>IF($A10="","",IF($K10&lt;=0,"OUT OF STOCK",IF($K10&lt;=N($G10),IF(N($I10)&gt;0,"LOW - ON ORDER","REORDER NOW"),"OK")))</f>
        <v/>
      </c>
      <c r="N10">
        <f>IF($A10="","",SUMIFS(Sales!$C:$C,Sales!$B:$B,$A10,Sales!$A:$A,"&gt;="&amp;(TODAY()-30)))</f>
        <v/>
      </c>
      <c r="O10">
        <f>IF($A10="","",IF(N($N10)=0,"no recent sales",MAX(0,ROUND($K10/($N10/30),0))))</f>
        <v/>
      </c>
    </row>
    <row r="11">
      <c r="A11" s="4" t="inlineStr">
        <is>
          <t>22197</t>
        </is>
      </c>
      <c r="B11" s="4" t="inlineStr">
        <is>
          <t>Small Popcorn Holder</t>
        </is>
      </c>
      <c r="C11" s="4" t="inlineStr">
        <is>
          <t>Kitchen</t>
        </is>
      </c>
      <c r="D11" s="5" t="n">
        <v>0.54</v>
      </c>
      <c r="E11" s="5" t="n">
        <v>0.9</v>
      </c>
      <c r="F11" s="4" t="n">
        <v>6850</v>
      </c>
      <c r="G11" s="4" t="n">
        <v>1598</v>
      </c>
      <c r="H11">
        <f>IF($A11="","",SUMIFS('Stock In'!$C:$C,'Stock In'!$B:$B,$A11,'Stock In'!$E:$E,"Received"))</f>
        <v/>
      </c>
      <c r="I11">
        <f>IF($A11="","",SUMIFS('Stock In'!$C:$C,'Stock In'!$B:$B,$A11,'Stock In'!$E:$E,"Incoming"))</f>
        <v/>
      </c>
      <c r="J11">
        <f>IF($A11="","",SUMIFS(Sales!$C:$C,Sales!$B:$B,$A11))</f>
        <v/>
      </c>
      <c r="K11">
        <f>IF($A11="","",MAX(0,N($F11)+N($H11)-N($J11)))</f>
        <v/>
      </c>
      <c r="L11" s="6">
        <f>IF($A11="","",$K11*N($D11))</f>
        <v/>
      </c>
      <c r="M11">
        <f>IF($A11="","",IF($K11&lt;=0,"OUT OF STOCK",IF($K11&lt;=N($G11),IF(N($I11)&gt;0,"LOW - ON ORDER","REORDER NOW"),"OK")))</f>
        <v/>
      </c>
      <c r="N11">
        <f>IF($A11="","",SUMIFS(Sales!$C:$C,Sales!$B:$B,$A11,Sales!$A:$A,"&gt;="&amp;(TODAY()-30)))</f>
        <v/>
      </c>
      <c r="O11">
        <f>IF($A11="","",IF(N($N11)=0,"no recent sales",MAX(0,ROUND($K11/($N11/30),0))))</f>
        <v/>
      </c>
    </row>
    <row r="12">
      <c r="A12" s="4" t="inlineStr">
        <is>
          <t>22386</t>
        </is>
      </c>
      <c r="B12" s="4" t="inlineStr">
        <is>
          <t>Jumbo Bag Pink Polkadot</t>
        </is>
      </c>
      <c r="C12" s="4" t="inlineStr">
        <is>
          <t>Bags</t>
        </is>
      </c>
      <c r="D12" s="5" t="n">
        <v>1.19</v>
      </c>
      <c r="E12" s="5" t="n">
        <v>1.98</v>
      </c>
      <c r="F12" s="4" t="n">
        <v>3468</v>
      </c>
      <c r="G12" s="4" t="n">
        <v>809</v>
      </c>
      <c r="H12">
        <f>IF($A12="","",SUMIFS('Stock In'!$C:$C,'Stock In'!$B:$B,$A12,'Stock In'!$E:$E,"Received"))</f>
        <v/>
      </c>
      <c r="I12">
        <f>IF($A12="","",SUMIFS('Stock In'!$C:$C,'Stock In'!$B:$B,$A12,'Stock In'!$E:$E,"Incoming"))</f>
        <v/>
      </c>
      <c r="J12">
        <f>IF($A12="","",SUMIFS(Sales!$C:$C,Sales!$B:$B,$A12))</f>
        <v/>
      </c>
      <c r="K12">
        <f>IF($A12="","",MAX(0,N($F12)+N($H12)-N($J12)))</f>
        <v/>
      </c>
      <c r="L12" s="6">
        <f>IF($A12="","",$K12*N($D12))</f>
        <v/>
      </c>
      <c r="M12">
        <f>IF($A12="","",IF($K12&lt;=0,"OUT OF STOCK",IF($K12&lt;=N($G12),IF(N($I12)&gt;0,"LOW - ON ORDER","REORDER NOW"),"OK")))</f>
        <v/>
      </c>
      <c r="N12">
        <f>IF($A12="","",SUMIFS(Sales!$C:$C,Sales!$B:$B,$A12,Sales!$A:$A,"&gt;="&amp;(TODAY()-30)))</f>
        <v/>
      </c>
      <c r="O12">
        <f>IF($A12="","",IF(N($N12)=0,"no recent sales",MAX(0,ROUND($K12/($N12/30),0))))</f>
        <v/>
      </c>
    </row>
    <row r="13">
      <c r="A13" s="4" t="inlineStr">
        <is>
          <t>20727</t>
        </is>
      </c>
      <c r="B13" s="4" t="inlineStr">
        <is>
          <t>Lunch Bag Black Skull</t>
        </is>
      </c>
      <c r="C13" s="4" t="inlineStr">
        <is>
          <t>Bags</t>
        </is>
      </c>
      <c r="D13" s="5" t="n">
        <v>1.1</v>
      </c>
      <c r="E13" s="5" t="n">
        <v>1.83</v>
      </c>
      <c r="F13" s="4" t="n">
        <v>1918</v>
      </c>
      <c r="G13" s="4" t="n">
        <v>447</v>
      </c>
      <c r="H13">
        <f>IF($A13="","",SUMIFS('Stock In'!$C:$C,'Stock In'!$B:$B,$A13,'Stock In'!$E:$E,"Received"))</f>
        <v/>
      </c>
      <c r="I13">
        <f>IF($A13="","",SUMIFS('Stock In'!$C:$C,'Stock In'!$B:$B,$A13,'Stock In'!$E:$E,"Incoming"))</f>
        <v/>
      </c>
      <c r="J13">
        <f>IF($A13="","",SUMIFS(Sales!$C:$C,Sales!$B:$B,$A13))</f>
        <v/>
      </c>
      <c r="K13">
        <f>IF($A13="","",MAX(0,N($F13)+N($H13)-N($J13)))</f>
        <v/>
      </c>
      <c r="L13" s="6">
        <f>IF($A13="","",$K13*N($D13))</f>
        <v/>
      </c>
      <c r="M13">
        <f>IF($A13="","",IF($K13&lt;=0,"OUT OF STOCK",IF($K13&lt;=N($G13),IF(N($I13)&gt;0,"LOW - ON ORDER","REORDER NOW"),"OK")))</f>
        <v/>
      </c>
      <c r="N13">
        <f>IF($A13="","",SUMIFS(Sales!$C:$C,Sales!$B:$B,$A13,Sales!$A:$A,"&gt;="&amp;(TODAY()-30)))</f>
        <v/>
      </c>
      <c r="O13">
        <f>IF($A13="","",IF(N($N13)=0,"no recent sales",MAX(0,ROUND($K13/($N13/30),0))))</f>
        <v/>
      </c>
    </row>
    <row r="14">
      <c r="A14" s="4" t="inlineStr">
        <is>
          <t>22457</t>
        </is>
      </c>
      <c r="B14" s="4" t="inlineStr">
        <is>
          <t>Natural Slate Heart Chalkboard</t>
        </is>
      </c>
      <c r="C14" s="4" t="inlineStr">
        <is>
          <t>Decor</t>
        </is>
      </c>
      <c r="D14" s="5" t="n">
        <v>1.84</v>
      </c>
      <c r="E14" s="5" t="n">
        <v>3.07</v>
      </c>
      <c r="F14" s="4" t="n">
        <v>1332</v>
      </c>
      <c r="G14" s="4" t="n">
        <v>311</v>
      </c>
      <c r="H14">
        <f>IF($A14="","",SUMIFS('Stock In'!$C:$C,'Stock In'!$B:$B,$A14,'Stock In'!$E:$E,"Received"))</f>
        <v/>
      </c>
      <c r="I14">
        <f>IF($A14="","",SUMIFS('Stock In'!$C:$C,'Stock In'!$B:$B,$A14,'Stock In'!$E:$E,"Incoming"))</f>
        <v/>
      </c>
      <c r="J14">
        <f>IF($A14="","",SUMIFS(Sales!$C:$C,Sales!$B:$B,$A14))</f>
        <v/>
      </c>
      <c r="K14">
        <f>IF($A14="","",MAX(0,N($F14)+N($H14)-N($J14)))</f>
        <v/>
      </c>
      <c r="L14" s="6">
        <f>IF($A14="","",$K14*N($D14))</f>
        <v/>
      </c>
      <c r="M14">
        <f>IF($A14="","",IF($K14&lt;=0,"OUT OF STOCK",IF($K14&lt;=N($G14),IF(N($I14)&gt;0,"LOW - ON ORDER","REORDER NOW"),"OK")))</f>
        <v/>
      </c>
      <c r="N14">
        <f>IF($A14="","",SUMIFS(Sales!$C:$C,Sales!$B:$B,$A14,Sales!$A:$A,"&gt;="&amp;(TODAY()-30)))</f>
        <v/>
      </c>
      <c r="O14">
        <f>IF($A14="","",IF(N($N14)=0,"no recent sales",MAX(0,ROUND($K14/($N14/30),0))))</f>
        <v/>
      </c>
    </row>
    <row r="15">
      <c r="A15" s="4" t="inlineStr">
        <is>
          <t>21931</t>
        </is>
      </c>
      <c r="B15" s="4" t="inlineStr">
        <is>
          <t>Jumbo Storage Bag Suki</t>
        </is>
      </c>
      <c r="C15" s="4" t="inlineStr">
        <is>
          <t>Bags</t>
        </is>
      </c>
      <c r="D15" s="5" t="n">
        <v>1.35</v>
      </c>
      <c r="E15" s="5" t="n">
        <v>2.25</v>
      </c>
      <c r="F15" s="4" t="n">
        <v>2170</v>
      </c>
      <c r="G15" s="4" t="n">
        <v>506</v>
      </c>
      <c r="H15">
        <f>IF($A15="","",SUMIFS('Stock In'!$C:$C,'Stock In'!$B:$B,$A15,'Stock In'!$E:$E,"Received"))</f>
        <v/>
      </c>
      <c r="I15">
        <f>IF($A15="","",SUMIFS('Stock In'!$C:$C,'Stock In'!$B:$B,$A15,'Stock In'!$E:$E,"Incoming"))</f>
        <v/>
      </c>
      <c r="J15">
        <f>IF($A15="","",SUMIFS(Sales!$C:$C,Sales!$B:$B,$A15))</f>
        <v/>
      </c>
      <c r="K15">
        <f>IF($A15="","",MAX(0,N($F15)+N($H15)-N($J15)))</f>
        <v/>
      </c>
      <c r="L15" s="6">
        <f>IF($A15="","",$K15*N($D15))</f>
        <v/>
      </c>
      <c r="M15">
        <f>IF($A15="","",IF($K15&lt;=0,"OUT OF STOCK",IF($K15&lt;=N($G15),IF(N($I15)&gt;0,"LOW - ON ORDER","REORDER NOW"),"OK")))</f>
        <v/>
      </c>
      <c r="N15">
        <f>IF($A15="","",SUMIFS(Sales!$C:$C,Sales!$B:$B,$A15,Sales!$A:$A,"&gt;="&amp;(TODAY()-30)))</f>
        <v/>
      </c>
      <c r="O15">
        <f>IF($A15="","",IF(N($N15)=0,"no recent sales",MAX(0,ROUND($K15/($N15/30),0))))</f>
        <v/>
      </c>
    </row>
    <row r="16">
      <c r="A16" s="4" t="inlineStr">
        <is>
          <t>22469</t>
        </is>
      </c>
      <c r="B16" s="4" t="inlineStr">
        <is>
          <t>Heart Of Wicker Small</t>
        </is>
      </c>
      <c r="C16" s="4" t="inlineStr">
        <is>
          <t>Decor</t>
        </is>
      </c>
      <c r="D16" s="5" t="n">
        <v>1.07</v>
      </c>
      <c r="E16" s="5" t="n">
        <v>1.79</v>
      </c>
      <c r="F16" s="4" t="n">
        <v>2718</v>
      </c>
      <c r="G16" s="4" t="n">
        <v>634</v>
      </c>
      <c r="H16">
        <f>IF($A16="","",SUMIFS('Stock In'!$C:$C,'Stock In'!$B:$B,$A16,'Stock In'!$E:$E,"Received"))</f>
        <v/>
      </c>
      <c r="I16">
        <f>IF($A16="","",SUMIFS('Stock In'!$C:$C,'Stock In'!$B:$B,$A16,'Stock In'!$E:$E,"Incoming"))</f>
        <v/>
      </c>
      <c r="J16">
        <f>IF($A16="","",SUMIFS(Sales!$C:$C,Sales!$B:$B,$A16))</f>
        <v/>
      </c>
      <c r="K16">
        <f>IF($A16="","",MAX(0,N($F16)+N($H16)-N($J16)))</f>
        <v/>
      </c>
      <c r="L16" s="6">
        <f>IF($A16="","",$K16*N($D16))</f>
        <v/>
      </c>
      <c r="M16">
        <f>IF($A16="","",IF($K16&lt;=0,"OUT OF STOCK",IF($K16&lt;=N($G16),IF(N($I16)&gt;0,"LOW - ON ORDER","REORDER NOW"),"OK")))</f>
        <v/>
      </c>
      <c r="N16">
        <f>IF($A16="","",SUMIFS(Sales!$C:$C,Sales!$B:$B,$A16,Sales!$A:$A,"&gt;="&amp;(TODAY()-30)))</f>
        <v/>
      </c>
      <c r="O16">
        <f>IF($A16="","",IF(N($N16)=0,"no recent sales",MAX(0,ROUND($K16/($N16/30),0))))</f>
        <v/>
      </c>
    </row>
    <row r="17">
      <c r="A17" s="4" t="n"/>
      <c r="B17" s="4" t="n"/>
      <c r="C17" s="4" t="n"/>
      <c r="D17" s="5" t="n"/>
      <c r="E17" s="5" t="n"/>
      <c r="F17" s="4" t="n"/>
      <c r="G17" s="4" t="n"/>
      <c r="H17">
        <f>IF($A17="","",SUMIFS('Stock In'!$C:$C,'Stock In'!$B:$B,$A17,'Stock In'!$E:$E,"Received"))</f>
        <v/>
      </c>
      <c r="I17">
        <f>IF($A17="","",SUMIFS('Stock In'!$C:$C,'Stock In'!$B:$B,$A17,'Stock In'!$E:$E,"Incoming"))</f>
        <v/>
      </c>
      <c r="J17">
        <f>IF($A17="","",SUMIFS(Sales!$C:$C,Sales!$B:$B,$A17))</f>
        <v/>
      </c>
      <c r="K17">
        <f>IF($A17="","",MAX(0,N($F17)+N($H17)-N($J17)))</f>
        <v/>
      </c>
      <c r="L17" s="6">
        <f>IF($A17="","",$K17*N($D17))</f>
        <v/>
      </c>
      <c r="M17">
        <f>IF($A17="","",IF($K17&lt;=0,"OUT OF STOCK",IF($K17&lt;=N($G17),IF(N($I17)&gt;0,"LOW - ON ORDER","REORDER NOW"),"OK")))</f>
        <v/>
      </c>
      <c r="N17">
        <f>IF($A17="","",SUMIFS(Sales!$C:$C,Sales!$B:$B,$A17,Sales!$A:$A,"&gt;="&amp;(TODAY()-30)))</f>
        <v/>
      </c>
      <c r="O17">
        <f>IF($A17="","",IF(N($N17)=0,"no recent sales",MAX(0,ROUND($K17/($N17/30),0))))</f>
        <v/>
      </c>
    </row>
    <row r="18">
      <c r="A18" s="4" t="n"/>
      <c r="B18" s="4" t="n"/>
      <c r="C18" s="4" t="n"/>
      <c r="D18" s="5" t="n"/>
      <c r="E18" s="5" t="n"/>
      <c r="F18" s="4" t="n"/>
      <c r="G18" s="4" t="n"/>
      <c r="H18">
        <f>IF($A18="","",SUMIFS('Stock In'!$C:$C,'Stock In'!$B:$B,$A18,'Stock In'!$E:$E,"Received"))</f>
        <v/>
      </c>
      <c r="I18">
        <f>IF($A18="","",SUMIFS('Stock In'!$C:$C,'Stock In'!$B:$B,$A18,'Stock In'!$E:$E,"Incoming"))</f>
        <v/>
      </c>
      <c r="J18">
        <f>IF($A18="","",SUMIFS(Sales!$C:$C,Sales!$B:$B,$A18))</f>
        <v/>
      </c>
      <c r="K18">
        <f>IF($A18="","",MAX(0,N($F18)+N($H18)-N($J18)))</f>
        <v/>
      </c>
      <c r="L18" s="6">
        <f>IF($A18="","",$K18*N($D18))</f>
        <v/>
      </c>
      <c r="M18">
        <f>IF($A18="","",IF($K18&lt;=0,"OUT OF STOCK",IF($K18&lt;=N($G18),IF(N($I18)&gt;0,"LOW - ON ORDER","REORDER NOW"),"OK")))</f>
        <v/>
      </c>
      <c r="N18">
        <f>IF($A18="","",SUMIFS(Sales!$C:$C,Sales!$B:$B,$A18,Sales!$A:$A,"&gt;="&amp;(TODAY()-30)))</f>
        <v/>
      </c>
      <c r="O18">
        <f>IF($A18="","",IF(N($N18)=0,"no recent sales",MAX(0,ROUND($K18/($N18/30),0))))</f>
        <v/>
      </c>
    </row>
    <row r="19">
      <c r="A19" s="4" t="n"/>
      <c r="B19" s="4" t="n"/>
      <c r="C19" s="4" t="n"/>
      <c r="D19" s="5" t="n"/>
      <c r="E19" s="5" t="n"/>
      <c r="F19" s="4" t="n"/>
      <c r="G19" s="4" t="n"/>
      <c r="H19">
        <f>IF($A19="","",SUMIFS('Stock In'!$C:$C,'Stock In'!$B:$B,$A19,'Stock In'!$E:$E,"Received"))</f>
        <v/>
      </c>
      <c r="I19">
        <f>IF($A19="","",SUMIFS('Stock In'!$C:$C,'Stock In'!$B:$B,$A19,'Stock In'!$E:$E,"Incoming"))</f>
        <v/>
      </c>
      <c r="J19">
        <f>IF($A19="","",SUMIFS(Sales!$C:$C,Sales!$B:$B,$A19))</f>
        <v/>
      </c>
      <c r="K19">
        <f>IF($A19="","",MAX(0,N($F19)+N($H19)-N($J19)))</f>
        <v/>
      </c>
      <c r="L19" s="6">
        <f>IF($A19="","",$K19*N($D19))</f>
        <v/>
      </c>
      <c r="M19">
        <f>IF($A19="","",IF($K19&lt;=0,"OUT OF STOCK",IF($K19&lt;=N($G19),IF(N($I19)&gt;0,"LOW - ON ORDER","REORDER NOW"),"OK")))</f>
        <v/>
      </c>
      <c r="N19">
        <f>IF($A19="","",SUMIFS(Sales!$C:$C,Sales!$B:$B,$A19,Sales!$A:$A,"&gt;="&amp;(TODAY()-30)))</f>
        <v/>
      </c>
      <c r="O19">
        <f>IF($A19="","",IF(N($N19)=0,"no recent sales",MAX(0,ROUND($K19/($N19/30),0))))</f>
        <v/>
      </c>
    </row>
    <row r="20">
      <c r="A20" s="4" t="n"/>
      <c r="B20" s="4" t="n"/>
      <c r="C20" s="4" t="n"/>
      <c r="D20" s="5" t="n"/>
      <c r="E20" s="5" t="n"/>
      <c r="F20" s="4" t="n"/>
      <c r="G20" s="4" t="n"/>
      <c r="H20">
        <f>IF($A20="","",SUMIFS('Stock In'!$C:$C,'Stock In'!$B:$B,$A20,'Stock In'!$E:$E,"Received"))</f>
        <v/>
      </c>
      <c r="I20">
        <f>IF($A20="","",SUMIFS('Stock In'!$C:$C,'Stock In'!$B:$B,$A20,'Stock In'!$E:$E,"Incoming"))</f>
        <v/>
      </c>
      <c r="J20">
        <f>IF($A20="","",SUMIFS(Sales!$C:$C,Sales!$B:$B,$A20))</f>
        <v/>
      </c>
      <c r="K20">
        <f>IF($A20="","",MAX(0,N($F20)+N($H20)-N($J20)))</f>
        <v/>
      </c>
      <c r="L20" s="6">
        <f>IF($A20="","",$K20*N($D20))</f>
        <v/>
      </c>
      <c r="M20">
        <f>IF($A20="","",IF($K20&lt;=0,"OUT OF STOCK",IF($K20&lt;=N($G20),IF(N($I20)&gt;0,"LOW - ON ORDER","REORDER NOW"),"OK")))</f>
        <v/>
      </c>
      <c r="N20">
        <f>IF($A20="","",SUMIFS(Sales!$C:$C,Sales!$B:$B,$A20,Sales!$A:$A,"&gt;="&amp;(TODAY()-30)))</f>
        <v/>
      </c>
      <c r="O20">
        <f>IF($A20="","",IF(N($N20)=0,"no recent sales",MAX(0,ROUND($K20/($N20/30),0))))</f>
        <v/>
      </c>
    </row>
    <row r="21">
      <c r="A21" s="4" t="n"/>
      <c r="B21" s="4" t="n"/>
      <c r="C21" s="4" t="n"/>
      <c r="D21" s="5" t="n"/>
      <c r="E21" s="5" t="n"/>
      <c r="F21" s="4" t="n"/>
      <c r="G21" s="4" t="n"/>
      <c r="H21">
        <f>IF($A21="","",SUMIFS('Stock In'!$C:$C,'Stock In'!$B:$B,$A21,'Stock In'!$E:$E,"Received"))</f>
        <v/>
      </c>
      <c r="I21">
        <f>IF($A21="","",SUMIFS('Stock In'!$C:$C,'Stock In'!$B:$B,$A21,'Stock In'!$E:$E,"Incoming"))</f>
        <v/>
      </c>
      <c r="J21">
        <f>IF($A21="","",SUMIFS(Sales!$C:$C,Sales!$B:$B,$A21))</f>
        <v/>
      </c>
      <c r="K21">
        <f>IF($A21="","",MAX(0,N($F21)+N($H21)-N($J21)))</f>
        <v/>
      </c>
      <c r="L21" s="6">
        <f>IF($A21="","",$K21*N($D21))</f>
        <v/>
      </c>
      <c r="M21">
        <f>IF($A21="","",IF($K21&lt;=0,"OUT OF STOCK",IF($K21&lt;=N($G21),IF(N($I21)&gt;0,"LOW - ON ORDER","REORDER NOW"),"OK")))</f>
        <v/>
      </c>
      <c r="N21">
        <f>IF($A21="","",SUMIFS(Sales!$C:$C,Sales!$B:$B,$A21,Sales!$A:$A,"&gt;="&amp;(TODAY()-30)))</f>
        <v/>
      </c>
      <c r="O21">
        <f>IF($A21="","",IF(N($N21)=0,"no recent sales",MAX(0,ROUND($K21/($N21/30),0))))</f>
        <v/>
      </c>
    </row>
    <row r="22">
      <c r="A22" s="4" t="n"/>
      <c r="B22" s="4" t="n"/>
      <c r="C22" s="4" t="n"/>
      <c r="D22" s="5" t="n"/>
      <c r="E22" s="5" t="n"/>
      <c r="F22" s="4" t="n"/>
      <c r="G22" s="4" t="n"/>
      <c r="H22">
        <f>IF($A22="","",SUMIFS('Stock In'!$C:$C,'Stock In'!$B:$B,$A22,'Stock In'!$E:$E,"Received"))</f>
        <v/>
      </c>
      <c r="I22">
        <f>IF($A22="","",SUMIFS('Stock In'!$C:$C,'Stock In'!$B:$B,$A22,'Stock In'!$E:$E,"Incoming"))</f>
        <v/>
      </c>
      <c r="J22">
        <f>IF($A22="","",SUMIFS(Sales!$C:$C,Sales!$B:$B,$A22))</f>
        <v/>
      </c>
      <c r="K22">
        <f>IF($A22="","",MAX(0,N($F22)+N($H22)-N($J22)))</f>
        <v/>
      </c>
      <c r="L22" s="6">
        <f>IF($A22="","",$K22*N($D22))</f>
        <v/>
      </c>
      <c r="M22">
        <f>IF($A22="","",IF($K22&lt;=0,"OUT OF STOCK",IF($K22&lt;=N($G22),IF(N($I22)&gt;0,"LOW - ON ORDER","REORDER NOW"),"OK")))</f>
        <v/>
      </c>
      <c r="N22">
        <f>IF($A22="","",SUMIFS(Sales!$C:$C,Sales!$B:$B,$A22,Sales!$A:$A,"&gt;="&amp;(TODAY()-30)))</f>
        <v/>
      </c>
      <c r="O22">
        <f>IF($A22="","",IF(N($N22)=0,"no recent sales",MAX(0,ROUND($K22/($N22/30),0))))</f>
        <v/>
      </c>
    </row>
    <row r="23">
      <c r="A23" s="4" t="n"/>
      <c r="B23" s="4" t="n"/>
      <c r="C23" s="4" t="n"/>
      <c r="D23" s="5" t="n"/>
      <c r="E23" s="5" t="n"/>
      <c r="F23" s="4" t="n"/>
      <c r="G23" s="4" t="n"/>
      <c r="H23">
        <f>IF($A23="","",SUMIFS('Stock In'!$C:$C,'Stock In'!$B:$B,$A23,'Stock In'!$E:$E,"Received"))</f>
        <v/>
      </c>
      <c r="I23">
        <f>IF($A23="","",SUMIFS('Stock In'!$C:$C,'Stock In'!$B:$B,$A23,'Stock In'!$E:$E,"Incoming"))</f>
        <v/>
      </c>
      <c r="J23">
        <f>IF($A23="","",SUMIFS(Sales!$C:$C,Sales!$B:$B,$A23))</f>
        <v/>
      </c>
      <c r="K23">
        <f>IF($A23="","",MAX(0,N($F23)+N($H23)-N($J23)))</f>
        <v/>
      </c>
      <c r="L23" s="6">
        <f>IF($A23="","",$K23*N($D23))</f>
        <v/>
      </c>
      <c r="M23">
        <f>IF($A23="","",IF($K23&lt;=0,"OUT OF STOCK",IF($K23&lt;=N($G23),IF(N($I23)&gt;0,"LOW - ON ORDER","REORDER NOW"),"OK")))</f>
        <v/>
      </c>
      <c r="N23">
        <f>IF($A23="","",SUMIFS(Sales!$C:$C,Sales!$B:$B,$A23,Sales!$A:$A,"&gt;="&amp;(TODAY()-30)))</f>
        <v/>
      </c>
      <c r="O23">
        <f>IF($A23="","",IF(N($N23)=0,"no recent sales",MAX(0,ROUND($K23/($N23/30),0))))</f>
        <v/>
      </c>
    </row>
    <row r="24">
      <c r="A24" s="4" t="n"/>
      <c r="B24" s="4" t="n"/>
      <c r="C24" s="4" t="n"/>
      <c r="D24" s="5" t="n"/>
      <c r="E24" s="5" t="n"/>
      <c r="F24" s="4" t="n"/>
      <c r="G24" s="4" t="n"/>
      <c r="H24">
        <f>IF($A24="","",SUMIFS('Stock In'!$C:$C,'Stock In'!$B:$B,$A24,'Stock In'!$E:$E,"Received"))</f>
        <v/>
      </c>
      <c r="I24">
        <f>IF($A24="","",SUMIFS('Stock In'!$C:$C,'Stock In'!$B:$B,$A24,'Stock In'!$E:$E,"Incoming"))</f>
        <v/>
      </c>
      <c r="J24">
        <f>IF($A24="","",SUMIFS(Sales!$C:$C,Sales!$B:$B,$A24))</f>
        <v/>
      </c>
      <c r="K24">
        <f>IF($A24="","",MAX(0,N($F24)+N($H24)-N($J24)))</f>
        <v/>
      </c>
      <c r="L24" s="6">
        <f>IF($A24="","",$K24*N($D24))</f>
        <v/>
      </c>
      <c r="M24">
        <f>IF($A24="","",IF($K24&lt;=0,"OUT OF STOCK",IF($K24&lt;=N($G24),IF(N($I24)&gt;0,"LOW - ON ORDER","REORDER NOW"),"OK")))</f>
        <v/>
      </c>
      <c r="N24">
        <f>IF($A24="","",SUMIFS(Sales!$C:$C,Sales!$B:$B,$A24,Sales!$A:$A,"&gt;="&amp;(TODAY()-30)))</f>
        <v/>
      </c>
      <c r="O24">
        <f>IF($A24="","",IF(N($N24)=0,"no recent sales",MAX(0,ROUND($K24/($N24/30),0))))</f>
        <v/>
      </c>
    </row>
    <row r="25">
      <c r="A25" s="4" t="n"/>
      <c r="B25" s="4" t="n"/>
      <c r="C25" s="4" t="n"/>
      <c r="D25" s="5" t="n"/>
      <c r="E25" s="5" t="n"/>
      <c r="F25" s="4" t="n"/>
      <c r="G25" s="4" t="n"/>
      <c r="H25">
        <f>IF($A25="","",SUMIFS('Stock In'!$C:$C,'Stock In'!$B:$B,$A25,'Stock In'!$E:$E,"Received"))</f>
        <v/>
      </c>
      <c r="I25">
        <f>IF($A25="","",SUMIFS('Stock In'!$C:$C,'Stock In'!$B:$B,$A25,'Stock In'!$E:$E,"Incoming"))</f>
        <v/>
      </c>
      <c r="J25">
        <f>IF($A25="","",SUMIFS(Sales!$C:$C,Sales!$B:$B,$A25))</f>
        <v/>
      </c>
      <c r="K25">
        <f>IF($A25="","",MAX(0,N($F25)+N($H25)-N($J25)))</f>
        <v/>
      </c>
      <c r="L25" s="6">
        <f>IF($A25="","",$K25*N($D25))</f>
        <v/>
      </c>
      <c r="M25">
        <f>IF($A25="","",IF($K25&lt;=0,"OUT OF STOCK",IF($K25&lt;=N($G25),IF(N($I25)&gt;0,"LOW - ON ORDER","REORDER NOW"),"OK")))</f>
        <v/>
      </c>
      <c r="N25">
        <f>IF($A25="","",SUMIFS(Sales!$C:$C,Sales!$B:$B,$A25,Sales!$A:$A,"&gt;="&amp;(TODAY()-30)))</f>
        <v/>
      </c>
      <c r="O25">
        <f>IF($A25="","",IF(N($N25)=0,"no recent sales",MAX(0,ROUND($K25/($N25/30),0))))</f>
        <v/>
      </c>
    </row>
    <row r="26">
      <c r="A26" s="4" t="n"/>
      <c r="B26" s="4" t="n"/>
      <c r="C26" s="4" t="n"/>
      <c r="D26" s="5" t="n"/>
      <c r="E26" s="5" t="n"/>
      <c r="F26" s="4" t="n"/>
      <c r="G26" s="4" t="n"/>
      <c r="H26">
        <f>IF($A26="","",SUMIFS('Stock In'!$C:$C,'Stock In'!$B:$B,$A26,'Stock In'!$E:$E,"Received"))</f>
        <v/>
      </c>
      <c r="I26">
        <f>IF($A26="","",SUMIFS('Stock In'!$C:$C,'Stock In'!$B:$B,$A26,'Stock In'!$E:$E,"Incoming"))</f>
        <v/>
      </c>
      <c r="J26">
        <f>IF($A26="","",SUMIFS(Sales!$C:$C,Sales!$B:$B,$A26))</f>
        <v/>
      </c>
      <c r="K26">
        <f>IF($A26="","",MAX(0,N($F26)+N($H26)-N($J26)))</f>
        <v/>
      </c>
      <c r="L26" s="6">
        <f>IF($A26="","",$K26*N($D26))</f>
        <v/>
      </c>
      <c r="M26">
        <f>IF($A26="","",IF($K26&lt;=0,"OUT OF STOCK",IF($K26&lt;=N($G26),IF(N($I26)&gt;0,"LOW - ON ORDER","REORDER NOW"),"OK")))</f>
        <v/>
      </c>
      <c r="N26">
        <f>IF($A26="","",SUMIFS(Sales!$C:$C,Sales!$B:$B,$A26,Sales!$A:$A,"&gt;="&amp;(TODAY()-30)))</f>
        <v/>
      </c>
      <c r="O26">
        <f>IF($A26="","",IF(N($N26)=0,"no recent sales",MAX(0,ROUND($K26/($N26/30),0))))</f>
        <v/>
      </c>
    </row>
    <row r="27">
      <c r="A27" s="4" t="n"/>
      <c r="B27" s="4" t="n"/>
      <c r="C27" s="4" t="n"/>
      <c r="D27" s="5" t="n"/>
      <c r="E27" s="5" t="n"/>
      <c r="F27" s="4" t="n"/>
      <c r="G27" s="4" t="n"/>
      <c r="H27">
        <f>IF($A27="","",SUMIFS('Stock In'!$C:$C,'Stock In'!$B:$B,$A27,'Stock In'!$E:$E,"Received"))</f>
        <v/>
      </c>
      <c r="I27">
        <f>IF($A27="","",SUMIFS('Stock In'!$C:$C,'Stock In'!$B:$B,$A27,'Stock In'!$E:$E,"Incoming"))</f>
        <v/>
      </c>
      <c r="J27">
        <f>IF($A27="","",SUMIFS(Sales!$C:$C,Sales!$B:$B,$A27))</f>
        <v/>
      </c>
      <c r="K27">
        <f>IF($A27="","",MAX(0,N($F27)+N($H27)-N($J27)))</f>
        <v/>
      </c>
      <c r="L27" s="6">
        <f>IF($A27="","",$K27*N($D27))</f>
        <v/>
      </c>
      <c r="M27">
        <f>IF($A27="","",IF($K27&lt;=0,"OUT OF STOCK",IF($K27&lt;=N($G27),IF(N($I27)&gt;0,"LOW - ON ORDER","REORDER NOW"),"OK")))</f>
        <v/>
      </c>
      <c r="N27">
        <f>IF($A27="","",SUMIFS(Sales!$C:$C,Sales!$B:$B,$A27,Sales!$A:$A,"&gt;="&amp;(TODAY()-30)))</f>
        <v/>
      </c>
      <c r="O27">
        <f>IF($A27="","",IF(N($N27)=0,"no recent sales",MAX(0,ROUND($K27/($N27/30),0))))</f>
        <v/>
      </c>
    </row>
    <row r="28">
      <c r="A28" s="4" t="n"/>
      <c r="B28" s="4" t="n"/>
      <c r="C28" s="4" t="n"/>
      <c r="D28" s="5" t="n"/>
      <c r="E28" s="5" t="n"/>
      <c r="F28" s="4" t="n"/>
      <c r="G28" s="4" t="n"/>
      <c r="H28">
        <f>IF($A28="","",SUMIFS('Stock In'!$C:$C,'Stock In'!$B:$B,$A28,'Stock In'!$E:$E,"Received"))</f>
        <v/>
      </c>
      <c r="I28">
        <f>IF($A28="","",SUMIFS('Stock In'!$C:$C,'Stock In'!$B:$B,$A28,'Stock In'!$E:$E,"Incoming"))</f>
        <v/>
      </c>
      <c r="J28">
        <f>IF($A28="","",SUMIFS(Sales!$C:$C,Sales!$B:$B,$A28))</f>
        <v/>
      </c>
      <c r="K28">
        <f>IF($A28="","",MAX(0,N($F28)+N($H28)-N($J28)))</f>
        <v/>
      </c>
      <c r="L28" s="6">
        <f>IF($A28="","",$K28*N($D28))</f>
        <v/>
      </c>
      <c r="M28">
        <f>IF($A28="","",IF($K28&lt;=0,"OUT OF STOCK",IF($K28&lt;=N($G28),IF(N($I28)&gt;0,"LOW - ON ORDER","REORDER NOW"),"OK")))</f>
        <v/>
      </c>
      <c r="N28">
        <f>IF($A28="","",SUMIFS(Sales!$C:$C,Sales!$B:$B,$A28,Sales!$A:$A,"&gt;="&amp;(TODAY()-30)))</f>
        <v/>
      </c>
      <c r="O28">
        <f>IF($A28="","",IF(N($N28)=0,"no recent sales",MAX(0,ROUND($K28/($N28/30),0))))</f>
        <v/>
      </c>
    </row>
    <row r="29">
      <c r="A29" s="4" t="n"/>
      <c r="B29" s="4" t="n"/>
      <c r="C29" s="4" t="n"/>
      <c r="D29" s="5" t="n"/>
      <c r="E29" s="5" t="n"/>
      <c r="F29" s="4" t="n"/>
      <c r="G29" s="4" t="n"/>
      <c r="H29">
        <f>IF($A29="","",SUMIFS('Stock In'!$C:$C,'Stock In'!$B:$B,$A29,'Stock In'!$E:$E,"Received"))</f>
        <v/>
      </c>
      <c r="I29">
        <f>IF($A29="","",SUMIFS('Stock In'!$C:$C,'Stock In'!$B:$B,$A29,'Stock In'!$E:$E,"Incoming"))</f>
        <v/>
      </c>
      <c r="J29">
        <f>IF($A29="","",SUMIFS(Sales!$C:$C,Sales!$B:$B,$A29))</f>
        <v/>
      </c>
      <c r="K29">
        <f>IF($A29="","",MAX(0,N($F29)+N($H29)-N($J29)))</f>
        <v/>
      </c>
      <c r="L29" s="6">
        <f>IF($A29="","",$K29*N($D29))</f>
        <v/>
      </c>
      <c r="M29">
        <f>IF($A29="","",IF($K29&lt;=0,"OUT OF STOCK",IF($K29&lt;=N($G29),IF(N($I29)&gt;0,"LOW - ON ORDER","REORDER NOW"),"OK")))</f>
        <v/>
      </c>
      <c r="N29">
        <f>IF($A29="","",SUMIFS(Sales!$C:$C,Sales!$B:$B,$A29,Sales!$A:$A,"&gt;="&amp;(TODAY()-30)))</f>
        <v/>
      </c>
      <c r="O29">
        <f>IF($A29="","",IF(N($N29)=0,"no recent sales",MAX(0,ROUND($K29/($N29/30),0))))</f>
        <v/>
      </c>
    </row>
    <row r="30">
      <c r="A30" s="4" t="n"/>
      <c r="B30" s="4" t="n"/>
      <c r="C30" s="4" t="n"/>
      <c r="D30" s="5" t="n"/>
      <c r="E30" s="5" t="n"/>
      <c r="F30" s="4" t="n"/>
      <c r="G30" s="4" t="n"/>
      <c r="H30">
        <f>IF($A30="","",SUMIFS('Stock In'!$C:$C,'Stock In'!$B:$B,$A30,'Stock In'!$E:$E,"Received"))</f>
        <v/>
      </c>
      <c r="I30">
        <f>IF($A30="","",SUMIFS('Stock In'!$C:$C,'Stock In'!$B:$B,$A30,'Stock In'!$E:$E,"Incoming"))</f>
        <v/>
      </c>
      <c r="J30">
        <f>IF($A30="","",SUMIFS(Sales!$C:$C,Sales!$B:$B,$A30))</f>
        <v/>
      </c>
      <c r="K30">
        <f>IF($A30="","",MAX(0,N($F30)+N($H30)-N($J30)))</f>
        <v/>
      </c>
      <c r="L30" s="6">
        <f>IF($A30="","",$K30*N($D30))</f>
        <v/>
      </c>
      <c r="M30">
        <f>IF($A30="","",IF($K30&lt;=0,"OUT OF STOCK",IF($K30&lt;=N($G30),IF(N($I30)&gt;0,"LOW - ON ORDER","REORDER NOW"),"OK")))</f>
        <v/>
      </c>
      <c r="N30">
        <f>IF($A30="","",SUMIFS(Sales!$C:$C,Sales!$B:$B,$A30,Sales!$A:$A,"&gt;="&amp;(TODAY()-30)))</f>
        <v/>
      </c>
      <c r="O30">
        <f>IF($A30="","",IF(N($N30)=0,"no recent sales",MAX(0,ROUND($K30/($N30/30),0))))</f>
        <v/>
      </c>
    </row>
    <row r="31">
      <c r="A31" s="4" t="n"/>
      <c r="B31" s="4" t="n"/>
      <c r="C31" s="4" t="n"/>
      <c r="D31" s="5" t="n"/>
      <c r="E31" s="5" t="n"/>
      <c r="F31" s="4" t="n"/>
      <c r="G31" s="4" t="n"/>
      <c r="H31">
        <f>IF($A31="","",SUMIFS('Stock In'!$C:$C,'Stock In'!$B:$B,$A31,'Stock In'!$E:$E,"Received"))</f>
        <v/>
      </c>
      <c r="I31">
        <f>IF($A31="","",SUMIFS('Stock In'!$C:$C,'Stock In'!$B:$B,$A31,'Stock In'!$E:$E,"Incoming"))</f>
        <v/>
      </c>
      <c r="J31">
        <f>IF($A31="","",SUMIFS(Sales!$C:$C,Sales!$B:$B,$A31))</f>
        <v/>
      </c>
      <c r="K31">
        <f>IF($A31="","",MAX(0,N($F31)+N($H31)-N($J31)))</f>
        <v/>
      </c>
      <c r="L31" s="6">
        <f>IF($A31="","",$K31*N($D31))</f>
        <v/>
      </c>
      <c r="M31">
        <f>IF($A31="","",IF($K31&lt;=0,"OUT OF STOCK",IF($K31&lt;=N($G31),IF(N($I31)&gt;0,"LOW - ON ORDER","REORDER NOW"),"OK")))</f>
        <v/>
      </c>
      <c r="N31">
        <f>IF($A31="","",SUMIFS(Sales!$C:$C,Sales!$B:$B,$A31,Sales!$A:$A,"&gt;="&amp;(TODAY()-30)))</f>
        <v/>
      </c>
      <c r="O31">
        <f>IF($A31="","",IF(N($N31)=0,"no recent sales",MAX(0,ROUND($K31/($N31/30),0))))</f>
        <v/>
      </c>
    </row>
    <row r="32">
      <c r="A32" s="4" t="n"/>
      <c r="B32" s="4" t="n"/>
      <c r="C32" s="4" t="n"/>
      <c r="D32" s="5" t="n"/>
      <c r="E32" s="5" t="n"/>
      <c r="F32" s="4" t="n"/>
      <c r="G32" s="4" t="n"/>
      <c r="H32">
        <f>IF($A32="","",SUMIFS('Stock In'!$C:$C,'Stock In'!$B:$B,$A32,'Stock In'!$E:$E,"Received"))</f>
        <v/>
      </c>
      <c r="I32">
        <f>IF($A32="","",SUMIFS('Stock In'!$C:$C,'Stock In'!$B:$B,$A32,'Stock In'!$E:$E,"Incoming"))</f>
        <v/>
      </c>
      <c r="J32">
        <f>IF($A32="","",SUMIFS(Sales!$C:$C,Sales!$B:$B,$A32))</f>
        <v/>
      </c>
      <c r="K32">
        <f>IF($A32="","",MAX(0,N($F32)+N($H32)-N($J32)))</f>
        <v/>
      </c>
      <c r="L32" s="6">
        <f>IF($A32="","",$K32*N($D32))</f>
        <v/>
      </c>
      <c r="M32">
        <f>IF($A32="","",IF($K32&lt;=0,"OUT OF STOCK",IF($K32&lt;=N($G32),IF(N($I32)&gt;0,"LOW - ON ORDER","REORDER NOW"),"OK")))</f>
        <v/>
      </c>
      <c r="N32">
        <f>IF($A32="","",SUMIFS(Sales!$C:$C,Sales!$B:$B,$A32,Sales!$A:$A,"&gt;="&amp;(TODAY()-30)))</f>
        <v/>
      </c>
      <c r="O32">
        <f>IF($A32="","",IF(N($N32)=0,"no recent sales",MAX(0,ROUND($K32/($N32/30),0))))</f>
        <v/>
      </c>
    </row>
    <row r="33">
      <c r="A33" s="4" t="n"/>
      <c r="B33" s="4" t="n"/>
      <c r="C33" s="4" t="n"/>
      <c r="D33" s="5" t="n"/>
      <c r="E33" s="5" t="n"/>
      <c r="F33" s="4" t="n"/>
      <c r="G33" s="4" t="n"/>
      <c r="H33">
        <f>IF($A33="","",SUMIFS('Stock In'!$C:$C,'Stock In'!$B:$B,$A33,'Stock In'!$E:$E,"Received"))</f>
        <v/>
      </c>
      <c r="I33">
        <f>IF($A33="","",SUMIFS('Stock In'!$C:$C,'Stock In'!$B:$B,$A33,'Stock In'!$E:$E,"Incoming"))</f>
        <v/>
      </c>
      <c r="J33">
        <f>IF($A33="","",SUMIFS(Sales!$C:$C,Sales!$B:$B,$A33))</f>
        <v/>
      </c>
      <c r="K33">
        <f>IF($A33="","",MAX(0,N($F33)+N($H33)-N($J33)))</f>
        <v/>
      </c>
      <c r="L33" s="6">
        <f>IF($A33="","",$K33*N($D33))</f>
        <v/>
      </c>
      <c r="M33">
        <f>IF($A33="","",IF($K33&lt;=0,"OUT OF STOCK",IF($K33&lt;=N($G33),IF(N($I33)&gt;0,"LOW - ON ORDER","REORDER NOW"),"OK")))</f>
        <v/>
      </c>
      <c r="N33">
        <f>IF($A33="","",SUMIFS(Sales!$C:$C,Sales!$B:$B,$A33,Sales!$A:$A,"&gt;="&amp;(TODAY()-30)))</f>
        <v/>
      </c>
      <c r="O33">
        <f>IF($A33="","",IF(N($N33)=0,"no recent sales",MAX(0,ROUND($K33/($N33/30),0))))</f>
        <v/>
      </c>
    </row>
    <row r="34">
      <c r="A34" s="4" t="n"/>
      <c r="B34" s="4" t="n"/>
      <c r="C34" s="4" t="n"/>
      <c r="D34" s="5" t="n"/>
      <c r="E34" s="5" t="n"/>
      <c r="F34" s="4" t="n"/>
      <c r="G34" s="4" t="n"/>
      <c r="H34">
        <f>IF($A34="","",SUMIFS('Stock In'!$C:$C,'Stock In'!$B:$B,$A34,'Stock In'!$E:$E,"Received"))</f>
        <v/>
      </c>
      <c r="I34">
        <f>IF($A34="","",SUMIFS('Stock In'!$C:$C,'Stock In'!$B:$B,$A34,'Stock In'!$E:$E,"Incoming"))</f>
        <v/>
      </c>
      <c r="J34">
        <f>IF($A34="","",SUMIFS(Sales!$C:$C,Sales!$B:$B,$A34))</f>
        <v/>
      </c>
      <c r="K34">
        <f>IF($A34="","",MAX(0,N($F34)+N($H34)-N($J34)))</f>
        <v/>
      </c>
      <c r="L34" s="6">
        <f>IF($A34="","",$K34*N($D34))</f>
        <v/>
      </c>
      <c r="M34">
        <f>IF($A34="","",IF($K34&lt;=0,"OUT OF STOCK",IF($K34&lt;=N($G34),IF(N($I34)&gt;0,"LOW - ON ORDER","REORDER NOW"),"OK")))</f>
        <v/>
      </c>
      <c r="N34">
        <f>IF($A34="","",SUMIFS(Sales!$C:$C,Sales!$B:$B,$A34,Sales!$A:$A,"&gt;="&amp;(TODAY()-30)))</f>
        <v/>
      </c>
      <c r="O34">
        <f>IF($A34="","",IF(N($N34)=0,"no recent sales",MAX(0,ROUND($K34/($N34/30),0))))</f>
        <v/>
      </c>
    </row>
    <row r="35">
      <c r="A35" s="4" t="n"/>
      <c r="B35" s="4" t="n"/>
      <c r="C35" s="4" t="n"/>
      <c r="D35" s="5" t="n"/>
      <c r="E35" s="5" t="n"/>
      <c r="F35" s="4" t="n"/>
      <c r="G35" s="4" t="n"/>
      <c r="H35">
        <f>IF($A35="","",SUMIFS('Stock In'!$C:$C,'Stock In'!$B:$B,$A35,'Stock In'!$E:$E,"Received"))</f>
        <v/>
      </c>
      <c r="I35">
        <f>IF($A35="","",SUMIFS('Stock In'!$C:$C,'Stock In'!$B:$B,$A35,'Stock In'!$E:$E,"Incoming"))</f>
        <v/>
      </c>
      <c r="J35">
        <f>IF($A35="","",SUMIFS(Sales!$C:$C,Sales!$B:$B,$A35))</f>
        <v/>
      </c>
      <c r="K35">
        <f>IF($A35="","",MAX(0,N($F35)+N($H35)-N($J35)))</f>
        <v/>
      </c>
      <c r="L35" s="6">
        <f>IF($A35="","",$K35*N($D35))</f>
        <v/>
      </c>
      <c r="M35">
        <f>IF($A35="","",IF($K35&lt;=0,"OUT OF STOCK",IF($K35&lt;=N($G35),IF(N($I35)&gt;0,"LOW - ON ORDER","REORDER NOW"),"OK")))</f>
        <v/>
      </c>
      <c r="N35">
        <f>IF($A35="","",SUMIFS(Sales!$C:$C,Sales!$B:$B,$A35,Sales!$A:$A,"&gt;="&amp;(TODAY()-30)))</f>
        <v/>
      </c>
      <c r="O35">
        <f>IF($A35="","",IF(N($N35)=0,"no recent sales",MAX(0,ROUND($K35/($N35/30),0))))</f>
        <v/>
      </c>
    </row>
    <row r="36">
      <c r="A36" s="4" t="n"/>
      <c r="B36" s="4" t="n"/>
      <c r="C36" s="4" t="n"/>
      <c r="D36" s="5" t="n"/>
      <c r="E36" s="5" t="n"/>
      <c r="F36" s="4" t="n"/>
      <c r="G36" s="4" t="n"/>
      <c r="H36">
        <f>IF($A36="","",SUMIFS('Stock In'!$C:$C,'Stock In'!$B:$B,$A36,'Stock In'!$E:$E,"Received"))</f>
        <v/>
      </c>
      <c r="I36">
        <f>IF($A36="","",SUMIFS('Stock In'!$C:$C,'Stock In'!$B:$B,$A36,'Stock In'!$E:$E,"Incoming"))</f>
        <v/>
      </c>
      <c r="J36">
        <f>IF($A36="","",SUMIFS(Sales!$C:$C,Sales!$B:$B,$A36))</f>
        <v/>
      </c>
      <c r="K36">
        <f>IF($A36="","",MAX(0,N($F36)+N($H36)-N($J36)))</f>
        <v/>
      </c>
      <c r="L36" s="6">
        <f>IF($A36="","",$K36*N($D36))</f>
        <v/>
      </c>
      <c r="M36">
        <f>IF($A36="","",IF($K36&lt;=0,"OUT OF STOCK",IF($K36&lt;=N($G36),IF(N($I36)&gt;0,"LOW - ON ORDER","REORDER NOW"),"OK")))</f>
        <v/>
      </c>
      <c r="N36">
        <f>IF($A36="","",SUMIFS(Sales!$C:$C,Sales!$B:$B,$A36,Sales!$A:$A,"&gt;="&amp;(TODAY()-30)))</f>
        <v/>
      </c>
      <c r="O36">
        <f>IF($A36="","",IF(N($N36)=0,"no recent sales",MAX(0,ROUND($K36/($N36/30),0))))</f>
        <v/>
      </c>
    </row>
    <row r="37">
      <c r="A37" s="4" t="n"/>
      <c r="B37" s="4" t="n"/>
      <c r="C37" s="4" t="n"/>
      <c r="D37" s="5" t="n"/>
      <c r="E37" s="5" t="n"/>
      <c r="F37" s="4" t="n"/>
      <c r="G37" s="4" t="n"/>
      <c r="H37">
        <f>IF($A37="","",SUMIFS('Stock In'!$C:$C,'Stock In'!$B:$B,$A37,'Stock In'!$E:$E,"Received"))</f>
        <v/>
      </c>
      <c r="I37">
        <f>IF($A37="","",SUMIFS('Stock In'!$C:$C,'Stock In'!$B:$B,$A37,'Stock In'!$E:$E,"Incoming"))</f>
        <v/>
      </c>
      <c r="J37">
        <f>IF($A37="","",SUMIFS(Sales!$C:$C,Sales!$B:$B,$A37))</f>
        <v/>
      </c>
      <c r="K37">
        <f>IF($A37="","",MAX(0,N($F37)+N($H37)-N($J37)))</f>
        <v/>
      </c>
      <c r="L37" s="6">
        <f>IF($A37="","",$K37*N($D37))</f>
        <v/>
      </c>
      <c r="M37">
        <f>IF($A37="","",IF($K37&lt;=0,"OUT OF STOCK",IF($K37&lt;=N($G37),IF(N($I37)&gt;0,"LOW - ON ORDER","REORDER NOW"),"OK")))</f>
        <v/>
      </c>
      <c r="N37">
        <f>IF($A37="","",SUMIFS(Sales!$C:$C,Sales!$B:$B,$A37,Sales!$A:$A,"&gt;="&amp;(TODAY()-30)))</f>
        <v/>
      </c>
      <c r="O37">
        <f>IF($A37="","",IF(N($N37)=0,"no recent sales",MAX(0,ROUND($K37/($N37/30),0))))</f>
        <v/>
      </c>
    </row>
    <row r="38">
      <c r="A38" s="4" t="n"/>
      <c r="B38" s="4" t="n"/>
      <c r="C38" s="4" t="n"/>
      <c r="D38" s="5" t="n"/>
      <c r="E38" s="5" t="n"/>
      <c r="F38" s="4" t="n"/>
      <c r="G38" s="4" t="n"/>
      <c r="H38">
        <f>IF($A38="","",SUMIFS('Stock In'!$C:$C,'Stock In'!$B:$B,$A38,'Stock In'!$E:$E,"Received"))</f>
        <v/>
      </c>
      <c r="I38">
        <f>IF($A38="","",SUMIFS('Stock In'!$C:$C,'Stock In'!$B:$B,$A38,'Stock In'!$E:$E,"Incoming"))</f>
        <v/>
      </c>
      <c r="J38">
        <f>IF($A38="","",SUMIFS(Sales!$C:$C,Sales!$B:$B,$A38))</f>
        <v/>
      </c>
      <c r="K38">
        <f>IF($A38="","",MAX(0,N($F38)+N($H38)-N($J38)))</f>
        <v/>
      </c>
      <c r="L38" s="6">
        <f>IF($A38="","",$K38*N($D38))</f>
        <v/>
      </c>
      <c r="M38">
        <f>IF($A38="","",IF($K38&lt;=0,"OUT OF STOCK",IF($K38&lt;=N($G38),IF(N($I38)&gt;0,"LOW - ON ORDER","REORDER NOW"),"OK")))</f>
        <v/>
      </c>
      <c r="N38">
        <f>IF($A38="","",SUMIFS(Sales!$C:$C,Sales!$B:$B,$A38,Sales!$A:$A,"&gt;="&amp;(TODAY()-30)))</f>
        <v/>
      </c>
      <c r="O38">
        <f>IF($A38="","",IF(N($N38)=0,"no recent sales",MAX(0,ROUND($K38/($N38/30),0))))</f>
        <v/>
      </c>
    </row>
    <row r="39">
      <c r="A39" s="4" t="n"/>
      <c r="B39" s="4" t="n"/>
      <c r="C39" s="4" t="n"/>
      <c r="D39" s="5" t="n"/>
      <c r="E39" s="5" t="n"/>
      <c r="F39" s="4" t="n"/>
      <c r="G39" s="4" t="n"/>
      <c r="H39">
        <f>IF($A39="","",SUMIFS('Stock In'!$C:$C,'Stock In'!$B:$B,$A39,'Stock In'!$E:$E,"Received"))</f>
        <v/>
      </c>
      <c r="I39">
        <f>IF($A39="","",SUMIFS('Stock In'!$C:$C,'Stock In'!$B:$B,$A39,'Stock In'!$E:$E,"Incoming"))</f>
        <v/>
      </c>
      <c r="J39">
        <f>IF($A39="","",SUMIFS(Sales!$C:$C,Sales!$B:$B,$A39))</f>
        <v/>
      </c>
      <c r="K39">
        <f>IF($A39="","",MAX(0,N($F39)+N($H39)-N($J39)))</f>
        <v/>
      </c>
      <c r="L39" s="6">
        <f>IF($A39="","",$K39*N($D39))</f>
        <v/>
      </c>
      <c r="M39">
        <f>IF($A39="","",IF($K39&lt;=0,"OUT OF STOCK",IF($K39&lt;=N($G39),IF(N($I39)&gt;0,"LOW - ON ORDER","REORDER NOW"),"OK")))</f>
        <v/>
      </c>
      <c r="N39">
        <f>IF($A39="","",SUMIFS(Sales!$C:$C,Sales!$B:$B,$A39,Sales!$A:$A,"&gt;="&amp;(TODAY()-30)))</f>
        <v/>
      </c>
      <c r="O39">
        <f>IF($A39="","",IF(N($N39)=0,"no recent sales",MAX(0,ROUND($K39/($N39/30),0))))</f>
        <v/>
      </c>
    </row>
    <row r="40">
      <c r="A40" s="4" t="n"/>
      <c r="B40" s="4" t="n"/>
      <c r="C40" s="4" t="n"/>
      <c r="D40" s="5" t="n"/>
      <c r="E40" s="5" t="n"/>
      <c r="F40" s="4" t="n"/>
      <c r="G40" s="4" t="n"/>
      <c r="H40">
        <f>IF($A40="","",SUMIFS('Stock In'!$C:$C,'Stock In'!$B:$B,$A40,'Stock In'!$E:$E,"Received"))</f>
        <v/>
      </c>
      <c r="I40">
        <f>IF($A40="","",SUMIFS('Stock In'!$C:$C,'Stock In'!$B:$B,$A40,'Stock In'!$E:$E,"Incoming"))</f>
        <v/>
      </c>
      <c r="J40">
        <f>IF($A40="","",SUMIFS(Sales!$C:$C,Sales!$B:$B,$A40))</f>
        <v/>
      </c>
      <c r="K40">
        <f>IF($A40="","",MAX(0,N($F40)+N($H40)-N($J40)))</f>
        <v/>
      </c>
      <c r="L40" s="6">
        <f>IF($A40="","",$K40*N($D40))</f>
        <v/>
      </c>
      <c r="M40">
        <f>IF($A40="","",IF($K40&lt;=0,"OUT OF STOCK",IF($K40&lt;=N($G40),IF(N($I40)&gt;0,"LOW - ON ORDER","REORDER NOW"),"OK")))</f>
        <v/>
      </c>
      <c r="N40">
        <f>IF($A40="","",SUMIFS(Sales!$C:$C,Sales!$B:$B,$A40,Sales!$A:$A,"&gt;="&amp;(TODAY()-30)))</f>
        <v/>
      </c>
      <c r="O40">
        <f>IF($A40="","",IF(N($N40)=0,"no recent sales",MAX(0,ROUND($K40/($N40/30),0))))</f>
        <v/>
      </c>
    </row>
    <row r="41">
      <c r="A41" s="4" t="n"/>
      <c r="B41" s="4" t="n"/>
      <c r="C41" s="4" t="n"/>
      <c r="D41" s="5" t="n"/>
      <c r="E41" s="5" t="n"/>
      <c r="F41" s="4" t="n"/>
      <c r="G41" s="4" t="n"/>
      <c r="H41">
        <f>IF($A41="","",SUMIFS('Stock In'!$C:$C,'Stock In'!$B:$B,$A41,'Stock In'!$E:$E,"Received"))</f>
        <v/>
      </c>
      <c r="I41">
        <f>IF($A41="","",SUMIFS('Stock In'!$C:$C,'Stock In'!$B:$B,$A41,'Stock In'!$E:$E,"Incoming"))</f>
        <v/>
      </c>
      <c r="J41">
        <f>IF($A41="","",SUMIFS(Sales!$C:$C,Sales!$B:$B,$A41))</f>
        <v/>
      </c>
      <c r="K41">
        <f>IF($A41="","",MAX(0,N($F41)+N($H41)-N($J41)))</f>
        <v/>
      </c>
      <c r="L41" s="6">
        <f>IF($A41="","",$K41*N($D41))</f>
        <v/>
      </c>
      <c r="M41">
        <f>IF($A41="","",IF($K41&lt;=0,"OUT OF STOCK",IF($K41&lt;=N($G41),IF(N($I41)&gt;0,"LOW - ON ORDER","REORDER NOW"),"OK")))</f>
        <v/>
      </c>
      <c r="N41">
        <f>IF($A41="","",SUMIFS(Sales!$C:$C,Sales!$B:$B,$A41,Sales!$A:$A,"&gt;="&amp;(TODAY()-30)))</f>
        <v/>
      </c>
      <c r="O41">
        <f>IF($A41="","",IF(N($N41)=0,"no recent sales",MAX(0,ROUND($K41/($N41/30),0))))</f>
        <v/>
      </c>
    </row>
    <row r="42">
      <c r="A42" s="4" t="n"/>
      <c r="B42" s="4" t="n"/>
      <c r="C42" s="4" t="n"/>
      <c r="D42" s="5" t="n"/>
      <c r="E42" s="5" t="n"/>
      <c r="F42" s="4" t="n"/>
      <c r="G42" s="4" t="n"/>
      <c r="H42">
        <f>IF($A42="","",SUMIFS('Stock In'!$C:$C,'Stock In'!$B:$B,$A42,'Stock In'!$E:$E,"Received"))</f>
        <v/>
      </c>
      <c r="I42">
        <f>IF($A42="","",SUMIFS('Stock In'!$C:$C,'Stock In'!$B:$B,$A42,'Stock In'!$E:$E,"Incoming"))</f>
        <v/>
      </c>
      <c r="J42">
        <f>IF($A42="","",SUMIFS(Sales!$C:$C,Sales!$B:$B,$A42))</f>
        <v/>
      </c>
      <c r="K42">
        <f>IF($A42="","",MAX(0,N($F42)+N($H42)-N($J42)))</f>
        <v/>
      </c>
      <c r="L42" s="6">
        <f>IF($A42="","",$K42*N($D42))</f>
        <v/>
      </c>
      <c r="M42">
        <f>IF($A42="","",IF($K42&lt;=0,"OUT OF STOCK",IF($K42&lt;=N($G42),IF(N($I42)&gt;0,"LOW - ON ORDER","REORDER NOW"),"OK")))</f>
        <v/>
      </c>
      <c r="N42">
        <f>IF($A42="","",SUMIFS(Sales!$C:$C,Sales!$B:$B,$A42,Sales!$A:$A,"&gt;="&amp;(TODAY()-30)))</f>
        <v/>
      </c>
      <c r="O42">
        <f>IF($A42="","",IF(N($N42)=0,"no recent sales",MAX(0,ROUND($K42/($N42/30),0))))</f>
        <v/>
      </c>
    </row>
    <row r="43">
      <c r="A43" s="4" t="n"/>
      <c r="B43" s="4" t="n"/>
      <c r="C43" s="4" t="n"/>
      <c r="D43" s="5" t="n"/>
      <c r="E43" s="5" t="n"/>
      <c r="F43" s="4" t="n"/>
      <c r="G43" s="4" t="n"/>
      <c r="H43">
        <f>IF($A43="","",SUMIFS('Stock In'!$C:$C,'Stock In'!$B:$B,$A43,'Stock In'!$E:$E,"Received"))</f>
        <v/>
      </c>
      <c r="I43">
        <f>IF($A43="","",SUMIFS('Stock In'!$C:$C,'Stock In'!$B:$B,$A43,'Stock In'!$E:$E,"Incoming"))</f>
        <v/>
      </c>
      <c r="J43">
        <f>IF($A43="","",SUMIFS(Sales!$C:$C,Sales!$B:$B,$A43))</f>
        <v/>
      </c>
      <c r="K43">
        <f>IF($A43="","",MAX(0,N($F43)+N($H43)-N($J43)))</f>
        <v/>
      </c>
      <c r="L43" s="6">
        <f>IF($A43="","",$K43*N($D43))</f>
        <v/>
      </c>
      <c r="M43">
        <f>IF($A43="","",IF($K43&lt;=0,"OUT OF STOCK",IF($K43&lt;=N($G43),IF(N($I43)&gt;0,"LOW - ON ORDER","REORDER NOW"),"OK")))</f>
        <v/>
      </c>
      <c r="N43">
        <f>IF($A43="","",SUMIFS(Sales!$C:$C,Sales!$B:$B,$A43,Sales!$A:$A,"&gt;="&amp;(TODAY()-30)))</f>
        <v/>
      </c>
      <c r="O43">
        <f>IF($A43="","",IF(N($N43)=0,"no recent sales",MAX(0,ROUND($K43/($N43/30),0))))</f>
        <v/>
      </c>
    </row>
    <row r="44">
      <c r="A44" s="4" t="n"/>
      <c r="B44" s="4" t="n"/>
      <c r="C44" s="4" t="n"/>
      <c r="D44" s="5" t="n"/>
      <c r="E44" s="5" t="n"/>
      <c r="F44" s="4" t="n"/>
      <c r="G44" s="4" t="n"/>
      <c r="H44">
        <f>IF($A44="","",SUMIFS('Stock In'!$C:$C,'Stock In'!$B:$B,$A44,'Stock In'!$E:$E,"Received"))</f>
        <v/>
      </c>
      <c r="I44">
        <f>IF($A44="","",SUMIFS('Stock In'!$C:$C,'Stock In'!$B:$B,$A44,'Stock In'!$E:$E,"Incoming"))</f>
        <v/>
      </c>
      <c r="J44">
        <f>IF($A44="","",SUMIFS(Sales!$C:$C,Sales!$B:$B,$A44))</f>
        <v/>
      </c>
      <c r="K44">
        <f>IF($A44="","",MAX(0,N($F44)+N($H44)-N($J44)))</f>
        <v/>
      </c>
      <c r="L44" s="6">
        <f>IF($A44="","",$K44*N($D44))</f>
        <v/>
      </c>
      <c r="M44">
        <f>IF($A44="","",IF($K44&lt;=0,"OUT OF STOCK",IF($K44&lt;=N($G44),IF(N($I44)&gt;0,"LOW - ON ORDER","REORDER NOW"),"OK")))</f>
        <v/>
      </c>
      <c r="N44">
        <f>IF($A44="","",SUMIFS(Sales!$C:$C,Sales!$B:$B,$A44,Sales!$A:$A,"&gt;="&amp;(TODAY()-30)))</f>
        <v/>
      </c>
      <c r="O44">
        <f>IF($A44="","",IF(N($N44)=0,"no recent sales",MAX(0,ROUND($K44/($N44/30),0))))</f>
        <v/>
      </c>
    </row>
    <row r="45">
      <c r="A45" s="4" t="n"/>
      <c r="B45" s="4" t="n"/>
      <c r="C45" s="4" t="n"/>
      <c r="D45" s="5" t="n"/>
      <c r="E45" s="5" t="n"/>
      <c r="F45" s="4" t="n"/>
      <c r="G45" s="4" t="n"/>
      <c r="H45">
        <f>IF($A45="","",SUMIFS('Stock In'!$C:$C,'Stock In'!$B:$B,$A45,'Stock In'!$E:$E,"Received"))</f>
        <v/>
      </c>
      <c r="I45">
        <f>IF($A45="","",SUMIFS('Stock In'!$C:$C,'Stock In'!$B:$B,$A45,'Stock In'!$E:$E,"Incoming"))</f>
        <v/>
      </c>
      <c r="J45">
        <f>IF($A45="","",SUMIFS(Sales!$C:$C,Sales!$B:$B,$A45))</f>
        <v/>
      </c>
      <c r="K45">
        <f>IF($A45="","",MAX(0,N($F45)+N($H45)-N($J45)))</f>
        <v/>
      </c>
      <c r="L45" s="6">
        <f>IF($A45="","",$K45*N($D45))</f>
        <v/>
      </c>
      <c r="M45">
        <f>IF($A45="","",IF($K45&lt;=0,"OUT OF STOCK",IF($K45&lt;=N($G45),IF(N($I45)&gt;0,"LOW - ON ORDER","REORDER NOW"),"OK")))</f>
        <v/>
      </c>
      <c r="N45">
        <f>IF($A45="","",SUMIFS(Sales!$C:$C,Sales!$B:$B,$A45,Sales!$A:$A,"&gt;="&amp;(TODAY()-30)))</f>
        <v/>
      </c>
      <c r="O45">
        <f>IF($A45="","",IF(N($N45)=0,"no recent sales",MAX(0,ROUND($K45/($N45/30),0))))</f>
        <v/>
      </c>
    </row>
    <row r="46">
      <c r="A46" s="4" t="n"/>
      <c r="B46" s="4" t="n"/>
      <c r="C46" s="4" t="n"/>
      <c r="D46" s="5" t="n"/>
      <c r="E46" s="5" t="n"/>
      <c r="F46" s="4" t="n"/>
      <c r="G46" s="4" t="n"/>
      <c r="H46">
        <f>IF($A46="","",SUMIFS('Stock In'!$C:$C,'Stock In'!$B:$B,$A46,'Stock In'!$E:$E,"Received"))</f>
        <v/>
      </c>
      <c r="I46">
        <f>IF($A46="","",SUMIFS('Stock In'!$C:$C,'Stock In'!$B:$B,$A46,'Stock In'!$E:$E,"Incoming"))</f>
        <v/>
      </c>
      <c r="J46">
        <f>IF($A46="","",SUMIFS(Sales!$C:$C,Sales!$B:$B,$A46))</f>
        <v/>
      </c>
      <c r="K46">
        <f>IF($A46="","",MAX(0,N($F46)+N($H46)-N($J46)))</f>
        <v/>
      </c>
      <c r="L46" s="6">
        <f>IF($A46="","",$K46*N($D46))</f>
        <v/>
      </c>
      <c r="M46">
        <f>IF($A46="","",IF($K46&lt;=0,"OUT OF STOCK",IF($K46&lt;=N($G46),IF(N($I46)&gt;0,"LOW - ON ORDER","REORDER NOW"),"OK")))</f>
        <v/>
      </c>
      <c r="N46">
        <f>IF($A46="","",SUMIFS(Sales!$C:$C,Sales!$B:$B,$A46,Sales!$A:$A,"&gt;="&amp;(TODAY()-30)))</f>
        <v/>
      </c>
      <c r="O46">
        <f>IF($A46="","",IF(N($N46)=0,"no recent sales",MAX(0,ROUND($K46/($N46/30),0))))</f>
        <v/>
      </c>
    </row>
    <row r="47">
      <c r="A47" s="4" t="n"/>
      <c r="B47" s="4" t="n"/>
      <c r="C47" s="4" t="n"/>
      <c r="D47" s="5" t="n"/>
      <c r="E47" s="5" t="n"/>
      <c r="F47" s="4" t="n"/>
      <c r="G47" s="4" t="n"/>
      <c r="H47">
        <f>IF($A47="","",SUMIFS('Stock In'!$C:$C,'Stock In'!$B:$B,$A47,'Stock In'!$E:$E,"Received"))</f>
        <v/>
      </c>
      <c r="I47">
        <f>IF($A47="","",SUMIFS('Stock In'!$C:$C,'Stock In'!$B:$B,$A47,'Stock In'!$E:$E,"Incoming"))</f>
        <v/>
      </c>
      <c r="J47">
        <f>IF($A47="","",SUMIFS(Sales!$C:$C,Sales!$B:$B,$A47))</f>
        <v/>
      </c>
      <c r="K47">
        <f>IF($A47="","",MAX(0,N($F47)+N($H47)-N($J47)))</f>
        <v/>
      </c>
      <c r="L47" s="6">
        <f>IF($A47="","",$K47*N($D47))</f>
        <v/>
      </c>
      <c r="M47">
        <f>IF($A47="","",IF($K47&lt;=0,"OUT OF STOCK",IF($K47&lt;=N($G47),IF(N($I47)&gt;0,"LOW - ON ORDER","REORDER NOW"),"OK")))</f>
        <v/>
      </c>
      <c r="N47">
        <f>IF($A47="","",SUMIFS(Sales!$C:$C,Sales!$B:$B,$A47,Sales!$A:$A,"&gt;="&amp;(TODAY()-30)))</f>
        <v/>
      </c>
      <c r="O47">
        <f>IF($A47="","",IF(N($N47)=0,"no recent sales",MAX(0,ROUND($K47/($N47/30),0))))</f>
        <v/>
      </c>
    </row>
    <row r="48">
      <c r="A48" s="4" t="n"/>
      <c r="B48" s="4" t="n"/>
      <c r="C48" s="4" t="n"/>
      <c r="D48" s="5" t="n"/>
      <c r="E48" s="5" t="n"/>
      <c r="F48" s="4" t="n"/>
      <c r="G48" s="4" t="n"/>
      <c r="H48">
        <f>IF($A48="","",SUMIFS('Stock In'!$C:$C,'Stock In'!$B:$B,$A48,'Stock In'!$E:$E,"Received"))</f>
        <v/>
      </c>
      <c r="I48">
        <f>IF($A48="","",SUMIFS('Stock In'!$C:$C,'Stock In'!$B:$B,$A48,'Stock In'!$E:$E,"Incoming"))</f>
        <v/>
      </c>
      <c r="J48">
        <f>IF($A48="","",SUMIFS(Sales!$C:$C,Sales!$B:$B,$A48))</f>
        <v/>
      </c>
      <c r="K48">
        <f>IF($A48="","",MAX(0,N($F48)+N($H48)-N($J48)))</f>
        <v/>
      </c>
      <c r="L48" s="6">
        <f>IF($A48="","",$K48*N($D48))</f>
        <v/>
      </c>
      <c r="M48">
        <f>IF($A48="","",IF($K48&lt;=0,"OUT OF STOCK",IF($K48&lt;=N($G48),IF(N($I48)&gt;0,"LOW - ON ORDER","REORDER NOW"),"OK")))</f>
        <v/>
      </c>
      <c r="N48">
        <f>IF($A48="","",SUMIFS(Sales!$C:$C,Sales!$B:$B,$A48,Sales!$A:$A,"&gt;="&amp;(TODAY()-30)))</f>
        <v/>
      </c>
      <c r="O48">
        <f>IF($A48="","",IF(N($N48)=0,"no recent sales",MAX(0,ROUND($K48/($N48/30),0))))</f>
        <v/>
      </c>
    </row>
    <row r="49">
      <c r="A49" s="4" t="n"/>
      <c r="B49" s="4" t="n"/>
      <c r="C49" s="4" t="n"/>
      <c r="D49" s="5" t="n"/>
      <c r="E49" s="5" t="n"/>
      <c r="F49" s="4" t="n"/>
      <c r="G49" s="4" t="n"/>
      <c r="H49">
        <f>IF($A49="","",SUMIFS('Stock In'!$C:$C,'Stock In'!$B:$B,$A49,'Stock In'!$E:$E,"Received"))</f>
        <v/>
      </c>
      <c r="I49">
        <f>IF($A49="","",SUMIFS('Stock In'!$C:$C,'Stock In'!$B:$B,$A49,'Stock In'!$E:$E,"Incoming"))</f>
        <v/>
      </c>
      <c r="J49">
        <f>IF($A49="","",SUMIFS(Sales!$C:$C,Sales!$B:$B,$A49))</f>
        <v/>
      </c>
      <c r="K49">
        <f>IF($A49="","",MAX(0,N($F49)+N($H49)-N($J49)))</f>
        <v/>
      </c>
      <c r="L49" s="6">
        <f>IF($A49="","",$K49*N($D49))</f>
        <v/>
      </c>
      <c r="M49">
        <f>IF($A49="","",IF($K49&lt;=0,"OUT OF STOCK",IF($K49&lt;=N($G49),IF(N($I49)&gt;0,"LOW - ON ORDER","REORDER NOW"),"OK")))</f>
        <v/>
      </c>
      <c r="N49">
        <f>IF($A49="","",SUMIFS(Sales!$C:$C,Sales!$B:$B,$A49,Sales!$A:$A,"&gt;="&amp;(TODAY()-30)))</f>
        <v/>
      </c>
      <c r="O49">
        <f>IF($A49="","",IF(N($N49)=0,"no recent sales",MAX(0,ROUND($K49/($N49/30),0))))</f>
        <v/>
      </c>
    </row>
    <row r="50">
      <c r="A50" s="4" t="n"/>
      <c r="B50" s="4" t="n"/>
      <c r="C50" s="4" t="n"/>
      <c r="D50" s="5" t="n"/>
      <c r="E50" s="5" t="n"/>
      <c r="F50" s="4" t="n"/>
      <c r="G50" s="4" t="n"/>
      <c r="H50">
        <f>IF($A50="","",SUMIFS('Stock In'!$C:$C,'Stock In'!$B:$B,$A50,'Stock In'!$E:$E,"Received"))</f>
        <v/>
      </c>
      <c r="I50">
        <f>IF($A50="","",SUMIFS('Stock In'!$C:$C,'Stock In'!$B:$B,$A50,'Stock In'!$E:$E,"Incoming"))</f>
        <v/>
      </c>
      <c r="J50">
        <f>IF($A50="","",SUMIFS(Sales!$C:$C,Sales!$B:$B,$A50))</f>
        <v/>
      </c>
      <c r="K50">
        <f>IF($A50="","",MAX(0,N($F50)+N($H50)-N($J50)))</f>
        <v/>
      </c>
      <c r="L50" s="6">
        <f>IF($A50="","",$K50*N($D50))</f>
        <v/>
      </c>
      <c r="M50">
        <f>IF($A50="","",IF($K50&lt;=0,"OUT OF STOCK",IF($K50&lt;=N($G50),IF(N($I50)&gt;0,"LOW - ON ORDER","REORDER NOW"),"OK")))</f>
        <v/>
      </c>
      <c r="N50">
        <f>IF($A50="","",SUMIFS(Sales!$C:$C,Sales!$B:$B,$A50,Sales!$A:$A,"&gt;="&amp;(TODAY()-30)))</f>
        <v/>
      </c>
      <c r="O50">
        <f>IF($A50="","",IF(N($N50)=0,"no recent sales",MAX(0,ROUND($K50/($N50/30),0))))</f>
        <v/>
      </c>
    </row>
    <row r="51">
      <c r="A51" s="4" t="n"/>
      <c r="B51" s="4" t="n"/>
      <c r="C51" s="4" t="n"/>
      <c r="D51" s="5" t="n"/>
      <c r="E51" s="5" t="n"/>
      <c r="F51" s="4" t="n"/>
      <c r="G51" s="4" t="n"/>
      <c r="H51">
        <f>IF($A51="","",SUMIFS('Stock In'!$C:$C,'Stock In'!$B:$B,$A51,'Stock In'!$E:$E,"Received"))</f>
        <v/>
      </c>
      <c r="I51">
        <f>IF($A51="","",SUMIFS('Stock In'!$C:$C,'Stock In'!$B:$B,$A51,'Stock In'!$E:$E,"Incoming"))</f>
        <v/>
      </c>
      <c r="J51">
        <f>IF($A51="","",SUMIFS(Sales!$C:$C,Sales!$B:$B,$A51))</f>
        <v/>
      </c>
      <c r="K51">
        <f>IF($A51="","",MAX(0,N($F51)+N($H51)-N($J51)))</f>
        <v/>
      </c>
      <c r="L51" s="6">
        <f>IF($A51="","",$K51*N($D51))</f>
        <v/>
      </c>
      <c r="M51">
        <f>IF($A51="","",IF($K51&lt;=0,"OUT OF STOCK",IF($K51&lt;=N($G51),IF(N($I51)&gt;0,"LOW - ON ORDER","REORDER NOW"),"OK")))</f>
        <v/>
      </c>
      <c r="N51">
        <f>IF($A51="","",SUMIFS(Sales!$C:$C,Sales!$B:$B,$A51,Sales!$A:$A,"&gt;="&amp;(TODAY()-30)))</f>
        <v/>
      </c>
      <c r="O51">
        <f>IF($A51="","",IF(N($N51)=0,"no recent sales",MAX(0,ROUND($K51/($N51/30),0))))</f>
        <v/>
      </c>
    </row>
    <row r="52">
      <c r="A52" s="4" t="n"/>
      <c r="B52" s="4" t="n"/>
      <c r="C52" s="4" t="n"/>
      <c r="D52" s="5" t="n"/>
      <c r="E52" s="5" t="n"/>
      <c r="F52" s="4" t="n"/>
      <c r="G52" s="4" t="n"/>
      <c r="H52">
        <f>IF($A52="","",SUMIFS('Stock In'!$C:$C,'Stock In'!$B:$B,$A52,'Stock In'!$E:$E,"Received"))</f>
        <v/>
      </c>
      <c r="I52">
        <f>IF($A52="","",SUMIFS('Stock In'!$C:$C,'Stock In'!$B:$B,$A52,'Stock In'!$E:$E,"Incoming"))</f>
        <v/>
      </c>
      <c r="J52">
        <f>IF($A52="","",SUMIFS(Sales!$C:$C,Sales!$B:$B,$A52))</f>
        <v/>
      </c>
      <c r="K52">
        <f>IF($A52="","",MAX(0,N($F52)+N($H52)-N($J52)))</f>
        <v/>
      </c>
      <c r="L52" s="6">
        <f>IF($A52="","",$K52*N($D52))</f>
        <v/>
      </c>
      <c r="M52">
        <f>IF($A52="","",IF($K52&lt;=0,"OUT OF STOCK",IF($K52&lt;=N($G52),IF(N($I52)&gt;0,"LOW - ON ORDER","REORDER NOW"),"OK")))</f>
        <v/>
      </c>
      <c r="N52">
        <f>IF($A52="","",SUMIFS(Sales!$C:$C,Sales!$B:$B,$A52,Sales!$A:$A,"&gt;="&amp;(TODAY()-30)))</f>
        <v/>
      </c>
      <c r="O52">
        <f>IF($A52="","",IF(N($N52)=0,"no recent sales",MAX(0,ROUND($K52/($N52/30),0))))</f>
        <v/>
      </c>
    </row>
    <row r="53">
      <c r="A53" s="4" t="n"/>
      <c r="B53" s="4" t="n"/>
      <c r="C53" s="4" t="n"/>
      <c r="D53" s="5" t="n"/>
      <c r="E53" s="5" t="n"/>
      <c r="F53" s="4" t="n"/>
      <c r="G53" s="4" t="n"/>
      <c r="H53">
        <f>IF($A53="","",SUMIFS('Stock In'!$C:$C,'Stock In'!$B:$B,$A53,'Stock In'!$E:$E,"Received"))</f>
        <v/>
      </c>
      <c r="I53">
        <f>IF($A53="","",SUMIFS('Stock In'!$C:$C,'Stock In'!$B:$B,$A53,'Stock In'!$E:$E,"Incoming"))</f>
        <v/>
      </c>
      <c r="J53">
        <f>IF($A53="","",SUMIFS(Sales!$C:$C,Sales!$B:$B,$A53))</f>
        <v/>
      </c>
      <c r="K53">
        <f>IF($A53="","",MAX(0,N($F53)+N($H53)-N($J53)))</f>
        <v/>
      </c>
      <c r="L53" s="6">
        <f>IF($A53="","",$K53*N($D53))</f>
        <v/>
      </c>
      <c r="M53">
        <f>IF($A53="","",IF($K53&lt;=0,"OUT OF STOCK",IF($K53&lt;=N($G53),IF(N($I53)&gt;0,"LOW - ON ORDER","REORDER NOW"),"OK")))</f>
        <v/>
      </c>
      <c r="N53">
        <f>IF($A53="","",SUMIFS(Sales!$C:$C,Sales!$B:$B,$A53,Sales!$A:$A,"&gt;="&amp;(TODAY()-30)))</f>
        <v/>
      </c>
      <c r="O53">
        <f>IF($A53="","",IF(N($N53)=0,"no recent sales",MAX(0,ROUND($K53/($N53/30),0))))</f>
        <v/>
      </c>
    </row>
    <row r="54">
      <c r="A54" s="4" t="n"/>
      <c r="B54" s="4" t="n"/>
      <c r="C54" s="4" t="n"/>
      <c r="D54" s="5" t="n"/>
      <c r="E54" s="5" t="n"/>
      <c r="F54" s="4" t="n"/>
      <c r="G54" s="4" t="n"/>
      <c r="H54">
        <f>IF($A54="","",SUMIFS('Stock In'!$C:$C,'Stock In'!$B:$B,$A54,'Stock In'!$E:$E,"Received"))</f>
        <v/>
      </c>
      <c r="I54">
        <f>IF($A54="","",SUMIFS('Stock In'!$C:$C,'Stock In'!$B:$B,$A54,'Stock In'!$E:$E,"Incoming"))</f>
        <v/>
      </c>
      <c r="J54">
        <f>IF($A54="","",SUMIFS(Sales!$C:$C,Sales!$B:$B,$A54))</f>
        <v/>
      </c>
      <c r="K54">
        <f>IF($A54="","",MAX(0,N($F54)+N($H54)-N($J54)))</f>
        <v/>
      </c>
      <c r="L54" s="6">
        <f>IF($A54="","",$K54*N($D54))</f>
        <v/>
      </c>
      <c r="M54">
        <f>IF($A54="","",IF($K54&lt;=0,"OUT OF STOCK",IF($K54&lt;=N($G54),IF(N($I54)&gt;0,"LOW - ON ORDER","REORDER NOW"),"OK")))</f>
        <v/>
      </c>
      <c r="N54">
        <f>IF($A54="","",SUMIFS(Sales!$C:$C,Sales!$B:$B,$A54,Sales!$A:$A,"&gt;="&amp;(TODAY()-30)))</f>
        <v/>
      </c>
      <c r="O54">
        <f>IF($A54="","",IF(N($N54)=0,"no recent sales",MAX(0,ROUND($K54/($N54/30),0))))</f>
        <v/>
      </c>
    </row>
    <row r="55">
      <c r="A55" s="4" t="n"/>
      <c r="B55" s="4" t="n"/>
      <c r="C55" s="4" t="n"/>
      <c r="D55" s="5" t="n"/>
      <c r="E55" s="5" t="n"/>
      <c r="F55" s="4" t="n"/>
      <c r="G55" s="4" t="n"/>
      <c r="H55">
        <f>IF($A55="","",SUMIFS('Stock In'!$C:$C,'Stock In'!$B:$B,$A55,'Stock In'!$E:$E,"Received"))</f>
        <v/>
      </c>
      <c r="I55">
        <f>IF($A55="","",SUMIFS('Stock In'!$C:$C,'Stock In'!$B:$B,$A55,'Stock In'!$E:$E,"Incoming"))</f>
        <v/>
      </c>
      <c r="J55">
        <f>IF($A55="","",SUMIFS(Sales!$C:$C,Sales!$B:$B,$A55))</f>
        <v/>
      </c>
      <c r="K55">
        <f>IF($A55="","",MAX(0,N($F55)+N($H55)-N($J55)))</f>
        <v/>
      </c>
      <c r="L55" s="6">
        <f>IF($A55="","",$K55*N($D55))</f>
        <v/>
      </c>
      <c r="M55">
        <f>IF($A55="","",IF($K55&lt;=0,"OUT OF STOCK",IF($K55&lt;=N($G55),IF(N($I55)&gt;0,"LOW - ON ORDER","REORDER NOW"),"OK")))</f>
        <v/>
      </c>
      <c r="N55">
        <f>IF($A55="","",SUMIFS(Sales!$C:$C,Sales!$B:$B,$A55,Sales!$A:$A,"&gt;="&amp;(TODAY()-30)))</f>
        <v/>
      </c>
      <c r="O55">
        <f>IF($A55="","",IF(N($N55)=0,"no recent sales",MAX(0,ROUND($K55/($N55/30),0))))</f>
        <v/>
      </c>
    </row>
    <row r="56">
      <c r="A56" s="4" t="n"/>
      <c r="B56" s="4" t="n"/>
      <c r="C56" s="4" t="n"/>
      <c r="D56" s="5" t="n"/>
      <c r="E56" s="5" t="n"/>
      <c r="F56" s="4" t="n"/>
      <c r="G56" s="4" t="n"/>
      <c r="H56">
        <f>IF($A56="","",SUMIFS('Stock In'!$C:$C,'Stock In'!$B:$B,$A56,'Stock In'!$E:$E,"Received"))</f>
        <v/>
      </c>
      <c r="I56">
        <f>IF($A56="","",SUMIFS('Stock In'!$C:$C,'Stock In'!$B:$B,$A56,'Stock In'!$E:$E,"Incoming"))</f>
        <v/>
      </c>
      <c r="J56">
        <f>IF($A56="","",SUMIFS(Sales!$C:$C,Sales!$B:$B,$A56))</f>
        <v/>
      </c>
      <c r="K56">
        <f>IF($A56="","",MAX(0,N($F56)+N($H56)-N($J56)))</f>
        <v/>
      </c>
      <c r="L56" s="6">
        <f>IF($A56="","",$K56*N($D56))</f>
        <v/>
      </c>
      <c r="M56">
        <f>IF($A56="","",IF($K56&lt;=0,"OUT OF STOCK",IF($K56&lt;=N($G56),IF(N($I56)&gt;0,"LOW - ON ORDER","REORDER NOW"),"OK")))</f>
        <v/>
      </c>
      <c r="N56">
        <f>IF($A56="","",SUMIFS(Sales!$C:$C,Sales!$B:$B,$A56,Sales!$A:$A,"&gt;="&amp;(TODAY()-30)))</f>
        <v/>
      </c>
      <c r="O56">
        <f>IF($A56="","",IF(N($N56)=0,"no recent sales",MAX(0,ROUND($K56/($N56/30),0))))</f>
        <v/>
      </c>
    </row>
    <row r="57">
      <c r="A57" s="4" t="n"/>
      <c r="B57" s="4" t="n"/>
      <c r="C57" s="4" t="n"/>
      <c r="D57" s="5" t="n"/>
      <c r="E57" s="5" t="n"/>
      <c r="F57" s="4" t="n"/>
      <c r="G57" s="4" t="n"/>
      <c r="H57">
        <f>IF($A57="","",SUMIFS('Stock In'!$C:$C,'Stock In'!$B:$B,$A57,'Stock In'!$E:$E,"Received"))</f>
        <v/>
      </c>
      <c r="I57">
        <f>IF($A57="","",SUMIFS('Stock In'!$C:$C,'Stock In'!$B:$B,$A57,'Stock In'!$E:$E,"Incoming"))</f>
        <v/>
      </c>
      <c r="J57">
        <f>IF($A57="","",SUMIFS(Sales!$C:$C,Sales!$B:$B,$A57))</f>
        <v/>
      </c>
      <c r="K57">
        <f>IF($A57="","",MAX(0,N($F57)+N($H57)-N($J57)))</f>
        <v/>
      </c>
      <c r="L57" s="6">
        <f>IF($A57="","",$K57*N($D57))</f>
        <v/>
      </c>
      <c r="M57">
        <f>IF($A57="","",IF($K57&lt;=0,"OUT OF STOCK",IF($K57&lt;=N($G57),IF(N($I57)&gt;0,"LOW - ON ORDER","REORDER NOW"),"OK")))</f>
        <v/>
      </c>
      <c r="N57">
        <f>IF($A57="","",SUMIFS(Sales!$C:$C,Sales!$B:$B,$A57,Sales!$A:$A,"&gt;="&amp;(TODAY()-30)))</f>
        <v/>
      </c>
      <c r="O57">
        <f>IF($A57="","",IF(N($N57)=0,"no recent sales",MAX(0,ROUND($K57/($N57/30),0))))</f>
        <v/>
      </c>
    </row>
    <row r="58">
      <c r="A58" s="4" t="n"/>
      <c r="B58" s="4" t="n"/>
      <c r="C58" s="4" t="n"/>
      <c r="D58" s="5" t="n"/>
      <c r="E58" s="5" t="n"/>
      <c r="F58" s="4" t="n"/>
      <c r="G58" s="4" t="n"/>
      <c r="H58">
        <f>IF($A58="","",SUMIFS('Stock In'!$C:$C,'Stock In'!$B:$B,$A58,'Stock In'!$E:$E,"Received"))</f>
        <v/>
      </c>
      <c r="I58">
        <f>IF($A58="","",SUMIFS('Stock In'!$C:$C,'Stock In'!$B:$B,$A58,'Stock In'!$E:$E,"Incoming"))</f>
        <v/>
      </c>
      <c r="J58">
        <f>IF($A58="","",SUMIFS(Sales!$C:$C,Sales!$B:$B,$A58))</f>
        <v/>
      </c>
      <c r="K58">
        <f>IF($A58="","",MAX(0,N($F58)+N($H58)-N($J58)))</f>
        <v/>
      </c>
      <c r="L58" s="6">
        <f>IF($A58="","",$K58*N($D58))</f>
        <v/>
      </c>
      <c r="M58">
        <f>IF($A58="","",IF($K58&lt;=0,"OUT OF STOCK",IF($K58&lt;=N($G58),IF(N($I58)&gt;0,"LOW - ON ORDER","REORDER NOW"),"OK")))</f>
        <v/>
      </c>
      <c r="N58">
        <f>IF($A58="","",SUMIFS(Sales!$C:$C,Sales!$B:$B,$A58,Sales!$A:$A,"&gt;="&amp;(TODAY()-30)))</f>
        <v/>
      </c>
      <c r="O58">
        <f>IF($A58="","",IF(N($N58)=0,"no recent sales",MAX(0,ROUND($K58/($N58/30),0))))</f>
        <v/>
      </c>
    </row>
    <row r="59">
      <c r="A59" s="4" t="n"/>
      <c r="B59" s="4" t="n"/>
      <c r="C59" s="4" t="n"/>
      <c r="D59" s="5" t="n"/>
      <c r="E59" s="5" t="n"/>
      <c r="F59" s="4" t="n"/>
      <c r="G59" s="4" t="n"/>
      <c r="H59">
        <f>IF($A59="","",SUMIFS('Stock In'!$C:$C,'Stock In'!$B:$B,$A59,'Stock In'!$E:$E,"Received"))</f>
        <v/>
      </c>
      <c r="I59">
        <f>IF($A59="","",SUMIFS('Stock In'!$C:$C,'Stock In'!$B:$B,$A59,'Stock In'!$E:$E,"Incoming"))</f>
        <v/>
      </c>
      <c r="J59">
        <f>IF($A59="","",SUMIFS(Sales!$C:$C,Sales!$B:$B,$A59))</f>
        <v/>
      </c>
      <c r="K59">
        <f>IF($A59="","",MAX(0,N($F59)+N($H59)-N($J59)))</f>
        <v/>
      </c>
      <c r="L59" s="6">
        <f>IF($A59="","",$K59*N($D59))</f>
        <v/>
      </c>
      <c r="M59">
        <f>IF($A59="","",IF($K59&lt;=0,"OUT OF STOCK",IF($K59&lt;=N($G59),IF(N($I59)&gt;0,"LOW - ON ORDER","REORDER NOW"),"OK")))</f>
        <v/>
      </c>
      <c r="N59">
        <f>IF($A59="","",SUMIFS(Sales!$C:$C,Sales!$B:$B,$A59,Sales!$A:$A,"&gt;="&amp;(TODAY()-30)))</f>
        <v/>
      </c>
      <c r="O59">
        <f>IF($A59="","",IF(N($N59)=0,"no recent sales",MAX(0,ROUND($K59/($N59/30),0))))</f>
        <v/>
      </c>
    </row>
    <row r="60">
      <c r="A60" s="4" t="n"/>
      <c r="B60" s="4" t="n"/>
      <c r="C60" s="4" t="n"/>
      <c r="D60" s="5" t="n"/>
      <c r="E60" s="5" t="n"/>
      <c r="F60" s="4" t="n"/>
      <c r="G60" s="4" t="n"/>
      <c r="H60">
        <f>IF($A60="","",SUMIFS('Stock In'!$C:$C,'Stock In'!$B:$B,$A60,'Stock In'!$E:$E,"Received"))</f>
        <v/>
      </c>
      <c r="I60">
        <f>IF($A60="","",SUMIFS('Stock In'!$C:$C,'Stock In'!$B:$B,$A60,'Stock In'!$E:$E,"Incoming"))</f>
        <v/>
      </c>
      <c r="J60">
        <f>IF($A60="","",SUMIFS(Sales!$C:$C,Sales!$B:$B,$A60))</f>
        <v/>
      </c>
      <c r="K60">
        <f>IF($A60="","",MAX(0,N($F60)+N($H60)-N($J60)))</f>
        <v/>
      </c>
      <c r="L60" s="6">
        <f>IF($A60="","",$K60*N($D60))</f>
        <v/>
      </c>
      <c r="M60">
        <f>IF($A60="","",IF($K60&lt;=0,"OUT OF STOCK",IF($K60&lt;=N($G60),IF(N($I60)&gt;0,"LOW - ON ORDER","REORDER NOW"),"OK")))</f>
        <v/>
      </c>
      <c r="N60">
        <f>IF($A60="","",SUMIFS(Sales!$C:$C,Sales!$B:$B,$A60,Sales!$A:$A,"&gt;="&amp;(TODAY()-30)))</f>
        <v/>
      </c>
      <c r="O60">
        <f>IF($A60="","",IF(N($N60)=0,"no recent sales",MAX(0,ROUND($K60/($N60/30),0))))</f>
        <v/>
      </c>
    </row>
    <row r="61">
      <c r="A61" s="4" t="n"/>
      <c r="B61" s="4" t="n"/>
      <c r="C61" s="4" t="n"/>
      <c r="D61" s="5" t="n"/>
      <c r="E61" s="5" t="n"/>
      <c r="F61" s="4" t="n"/>
      <c r="G61" s="4" t="n"/>
      <c r="H61">
        <f>IF($A61="","",SUMIFS('Stock In'!$C:$C,'Stock In'!$B:$B,$A61,'Stock In'!$E:$E,"Received"))</f>
        <v/>
      </c>
      <c r="I61">
        <f>IF($A61="","",SUMIFS('Stock In'!$C:$C,'Stock In'!$B:$B,$A61,'Stock In'!$E:$E,"Incoming"))</f>
        <v/>
      </c>
      <c r="J61">
        <f>IF($A61="","",SUMIFS(Sales!$C:$C,Sales!$B:$B,$A61))</f>
        <v/>
      </c>
      <c r="K61">
        <f>IF($A61="","",MAX(0,N($F61)+N($H61)-N($J61)))</f>
        <v/>
      </c>
      <c r="L61" s="6">
        <f>IF($A61="","",$K61*N($D61))</f>
        <v/>
      </c>
      <c r="M61">
        <f>IF($A61="","",IF($K61&lt;=0,"OUT OF STOCK",IF($K61&lt;=N($G61),IF(N($I61)&gt;0,"LOW - ON ORDER","REORDER NOW"),"OK")))</f>
        <v/>
      </c>
      <c r="N61">
        <f>IF($A61="","",SUMIFS(Sales!$C:$C,Sales!$B:$B,$A61,Sales!$A:$A,"&gt;="&amp;(TODAY()-30)))</f>
        <v/>
      </c>
      <c r="O61">
        <f>IF($A61="","",IF(N($N61)=0,"no recent sales",MAX(0,ROUND($K61/($N61/30),0))))</f>
        <v/>
      </c>
    </row>
    <row r="62">
      <c r="A62" s="4" t="n"/>
      <c r="B62" s="4" t="n"/>
      <c r="C62" s="4" t="n"/>
      <c r="D62" s="5" t="n"/>
      <c r="E62" s="5" t="n"/>
      <c r="F62" s="4" t="n"/>
      <c r="G62" s="4" t="n"/>
      <c r="H62">
        <f>IF($A62="","",SUMIFS('Stock In'!$C:$C,'Stock In'!$B:$B,$A62,'Stock In'!$E:$E,"Received"))</f>
        <v/>
      </c>
      <c r="I62">
        <f>IF($A62="","",SUMIFS('Stock In'!$C:$C,'Stock In'!$B:$B,$A62,'Stock In'!$E:$E,"Incoming"))</f>
        <v/>
      </c>
      <c r="J62">
        <f>IF($A62="","",SUMIFS(Sales!$C:$C,Sales!$B:$B,$A62))</f>
        <v/>
      </c>
      <c r="K62">
        <f>IF($A62="","",MAX(0,N($F62)+N($H62)-N($J62)))</f>
        <v/>
      </c>
      <c r="L62" s="6">
        <f>IF($A62="","",$K62*N($D62))</f>
        <v/>
      </c>
      <c r="M62">
        <f>IF($A62="","",IF($K62&lt;=0,"OUT OF STOCK",IF($K62&lt;=N($G62),IF(N($I62)&gt;0,"LOW - ON ORDER","REORDER NOW"),"OK")))</f>
        <v/>
      </c>
      <c r="N62">
        <f>IF($A62="","",SUMIFS(Sales!$C:$C,Sales!$B:$B,$A62,Sales!$A:$A,"&gt;="&amp;(TODAY()-30)))</f>
        <v/>
      </c>
      <c r="O62">
        <f>IF($A62="","",IF(N($N62)=0,"no recent sales",MAX(0,ROUND($K62/($N62/30),0))))</f>
        <v/>
      </c>
    </row>
    <row r="63">
      <c r="A63" s="4" t="n"/>
      <c r="B63" s="4" t="n"/>
      <c r="C63" s="4" t="n"/>
      <c r="D63" s="5" t="n"/>
      <c r="E63" s="5" t="n"/>
      <c r="F63" s="4" t="n"/>
      <c r="G63" s="4" t="n"/>
      <c r="H63">
        <f>IF($A63="","",SUMIFS('Stock In'!$C:$C,'Stock In'!$B:$B,$A63,'Stock In'!$E:$E,"Received"))</f>
        <v/>
      </c>
      <c r="I63">
        <f>IF($A63="","",SUMIFS('Stock In'!$C:$C,'Stock In'!$B:$B,$A63,'Stock In'!$E:$E,"Incoming"))</f>
        <v/>
      </c>
      <c r="J63">
        <f>IF($A63="","",SUMIFS(Sales!$C:$C,Sales!$B:$B,$A63))</f>
        <v/>
      </c>
      <c r="K63">
        <f>IF($A63="","",MAX(0,N($F63)+N($H63)-N($J63)))</f>
        <v/>
      </c>
      <c r="L63" s="6">
        <f>IF($A63="","",$K63*N($D63))</f>
        <v/>
      </c>
      <c r="M63">
        <f>IF($A63="","",IF($K63&lt;=0,"OUT OF STOCK",IF($K63&lt;=N($G63),IF(N($I63)&gt;0,"LOW - ON ORDER","REORDER NOW"),"OK")))</f>
        <v/>
      </c>
      <c r="N63">
        <f>IF($A63="","",SUMIFS(Sales!$C:$C,Sales!$B:$B,$A63,Sales!$A:$A,"&gt;="&amp;(TODAY()-30)))</f>
        <v/>
      </c>
      <c r="O63">
        <f>IF($A63="","",IF(N($N63)=0,"no recent sales",MAX(0,ROUND($K63/($N63/30),0))))</f>
        <v/>
      </c>
    </row>
    <row r="64">
      <c r="A64" s="4" t="n"/>
      <c r="B64" s="4" t="n"/>
      <c r="C64" s="4" t="n"/>
      <c r="D64" s="5" t="n"/>
      <c r="E64" s="5" t="n"/>
      <c r="F64" s="4" t="n"/>
      <c r="G64" s="4" t="n"/>
      <c r="H64">
        <f>IF($A64="","",SUMIFS('Stock In'!$C:$C,'Stock In'!$B:$B,$A64,'Stock In'!$E:$E,"Received"))</f>
        <v/>
      </c>
      <c r="I64">
        <f>IF($A64="","",SUMIFS('Stock In'!$C:$C,'Stock In'!$B:$B,$A64,'Stock In'!$E:$E,"Incoming"))</f>
        <v/>
      </c>
      <c r="J64">
        <f>IF($A64="","",SUMIFS(Sales!$C:$C,Sales!$B:$B,$A64))</f>
        <v/>
      </c>
      <c r="K64">
        <f>IF($A64="","",MAX(0,N($F64)+N($H64)-N($J64)))</f>
        <v/>
      </c>
      <c r="L64" s="6">
        <f>IF($A64="","",$K64*N($D64))</f>
        <v/>
      </c>
      <c r="M64">
        <f>IF($A64="","",IF($K64&lt;=0,"OUT OF STOCK",IF($K64&lt;=N($G64),IF(N($I64)&gt;0,"LOW - ON ORDER","REORDER NOW"),"OK")))</f>
        <v/>
      </c>
      <c r="N64">
        <f>IF($A64="","",SUMIFS(Sales!$C:$C,Sales!$B:$B,$A64,Sales!$A:$A,"&gt;="&amp;(TODAY()-30)))</f>
        <v/>
      </c>
      <c r="O64">
        <f>IF($A64="","",IF(N($N64)=0,"no recent sales",MAX(0,ROUND($K64/($N64/30),0))))</f>
        <v/>
      </c>
    </row>
    <row r="65">
      <c r="A65" s="4" t="n"/>
      <c r="B65" s="4" t="n"/>
      <c r="C65" s="4" t="n"/>
      <c r="D65" s="5" t="n"/>
      <c r="E65" s="5" t="n"/>
      <c r="F65" s="4" t="n"/>
      <c r="G65" s="4" t="n"/>
      <c r="H65">
        <f>IF($A65="","",SUMIFS('Stock In'!$C:$C,'Stock In'!$B:$B,$A65,'Stock In'!$E:$E,"Received"))</f>
        <v/>
      </c>
      <c r="I65">
        <f>IF($A65="","",SUMIFS('Stock In'!$C:$C,'Stock In'!$B:$B,$A65,'Stock In'!$E:$E,"Incoming"))</f>
        <v/>
      </c>
      <c r="J65">
        <f>IF($A65="","",SUMIFS(Sales!$C:$C,Sales!$B:$B,$A65))</f>
        <v/>
      </c>
      <c r="K65">
        <f>IF($A65="","",MAX(0,N($F65)+N($H65)-N($J65)))</f>
        <v/>
      </c>
      <c r="L65" s="6">
        <f>IF($A65="","",$K65*N($D65))</f>
        <v/>
      </c>
      <c r="M65">
        <f>IF($A65="","",IF($K65&lt;=0,"OUT OF STOCK",IF($K65&lt;=N($G65),IF(N($I65)&gt;0,"LOW - ON ORDER","REORDER NOW"),"OK")))</f>
        <v/>
      </c>
      <c r="N65">
        <f>IF($A65="","",SUMIFS(Sales!$C:$C,Sales!$B:$B,$A65,Sales!$A:$A,"&gt;="&amp;(TODAY()-30)))</f>
        <v/>
      </c>
      <c r="O65">
        <f>IF($A65="","",IF(N($N65)=0,"no recent sales",MAX(0,ROUND($K65/($N65/30),0))))</f>
        <v/>
      </c>
    </row>
    <row r="66">
      <c r="A66" s="4" t="n"/>
      <c r="B66" s="4" t="n"/>
      <c r="C66" s="4" t="n"/>
      <c r="D66" s="5" t="n"/>
      <c r="E66" s="5" t="n"/>
      <c r="F66" s="4" t="n"/>
      <c r="G66" s="4" t="n"/>
      <c r="H66">
        <f>IF($A66="","",SUMIFS('Stock In'!$C:$C,'Stock In'!$B:$B,$A66,'Stock In'!$E:$E,"Received"))</f>
        <v/>
      </c>
      <c r="I66">
        <f>IF($A66="","",SUMIFS('Stock In'!$C:$C,'Stock In'!$B:$B,$A66,'Stock In'!$E:$E,"Incoming"))</f>
        <v/>
      </c>
      <c r="J66">
        <f>IF($A66="","",SUMIFS(Sales!$C:$C,Sales!$B:$B,$A66))</f>
        <v/>
      </c>
      <c r="K66">
        <f>IF($A66="","",MAX(0,N($F66)+N($H66)-N($J66)))</f>
        <v/>
      </c>
      <c r="L66" s="6">
        <f>IF($A66="","",$K66*N($D66))</f>
        <v/>
      </c>
      <c r="M66">
        <f>IF($A66="","",IF($K66&lt;=0,"OUT OF STOCK",IF($K66&lt;=N($G66),IF(N($I66)&gt;0,"LOW - ON ORDER","REORDER NOW"),"OK")))</f>
        <v/>
      </c>
      <c r="N66">
        <f>IF($A66="","",SUMIFS(Sales!$C:$C,Sales!$B:$B,$A66,Sales!$A:$A,"&gt;="&amp;(TODAY()-30)))</f>
        <v/>
      </c>
      <c r="O66">
        <f>IF($A66="","",IF(N($N66)=0,"no recent sales",MAX(0,ROUND($K66/($N66/30),0))))</f>
        <v/>
      </c>
    </row>
    <row r="67">
      <c r="A67" s="4" t="n"/>
      <c r="B67" s="4" t="n"/>
      <c r="C67" s="4" t="n"/>
      <c r="D67" s="5" t="n"/>
      <c r="E67" s="5" t="n"/>
      <c r="F67" s="4" t="n"/>
      <c r="G67" s="4" t="n"/>
      <c r="H67">
        <f>IF($A67="","",SUMIFS('Stock In'!$C:$C,'Stock In'!$B:$B,$A67,'Stock In'!$E:$E,"Received"))</f>
        <v/>
      </c>
      <c r="I67">
        <f>IF($A67="","",SUMIFS('Stock In'!$C:$C,'Stock In'!$B:$B,$A67,'Stock In'!$E:$E,"Incoming"))</f>
        <v/>
      </c>
      <c r="J67">
        <f>IF($A67="","",SUMIFS(Sales!$C:$C,Sales!$B:$B,$A67))</f>
        <v/>
      </c>
      <c r="K67">
        <f>IF($A67="","",MAX(0,N($F67)+N($H67)-N($J67)))</f>
        <v/>
      </c>
      <c r="L67" s="6">
        <f>IF($A67="","",$K67*N($D67))</f>
        <v/>
      </c>
      <c r="M67">
        <f>IF($A67="","",IF($K67&lt;=0,"OUT OF STOCK",IF($K67&lt;=N($G67),IF(N($I67)&gt;0,"LOW - ON ORDER","REORDER NOW"),"OK")))</f>
        <v/>
      </c>
      <c r="N67">
        <f>IF($A67="","",SUMIFS(Sales!$C:$C,Sales!$B:$B,$A67,Sales!$A:$A,"&gt;="&amp;(TODAY()-30)))</f>
        <v/>
      </c>
      <c r="O67">
        <f>IF($A67="","",IF(N($N67)=0,"no recent sales",MAX(0,ROUND($K67/($N67/30),0))))</f>
        <v/>
      </c>
    </row>
    <row r="68">
      <c r="A68" s="4" t="n"/>
      <c r="B68" s="4" t="n"/>
      <c r="C68" s="4" t="n"/>
      <c r="D68" s="5" t="n"/>
      <c r="E68" s="5" t="n"/>
      <c r="F68" s="4" t="n"/>
      <c r="G68" s="4" t="n"/>
      <c r="H68">
        <f>IF($A68="","",SUMIFS('Stock In'!$C:$C,'Stock In'!$B:$B,$A68,'Stock In'!$E:$E,"Received"))</f>
        <v/>
      </c>
      <c r="I68">
        <f>IF($A68="","",SUMIFS('Stock In'!$C:$C,'Stock In'!$B:$B,$A68,'Stock In'!$E:$E,"Incoming"))</f>
        <v/>
      </c>
      <c r="J68">
        <f>IF($A68="","",SUMIFS(Sales!$C:$C,Sales!$B:$B,$A68))</f>
        <v/>
      </c>
      <c r="K68">
        <f>IF($A68="","",MAX(0,N($F68)+N($H68)-N($J68)))</f>
        <v/>
      </c>
      <c r="L68" s="6">
        <f>IF($A68="","",$K68*N($D68))</f>
        <v/>
      </c>
      <c r="M68">
        <f>IF($A68="","",IF($K68&lt;=0,"OUT OF STOCK",IF($K68&lt;=N($G68),IF(N($I68)&gt;0,"LOW - ON ORDER","REORDER NOW"),"OK")))</f>
        <v/>
      </c>
      <c r="N68">
        <f>IF($A68="","",SUMIFS(Sales!$C:$C,Sales!$B:$B,$A68,Sales!$A:$A,"&gt;="&amp;(TODAY()-30)))</f>
        <v/>
      </c>
      <c r="O68">
        <f>IF($A68="","",IF(N($N68)=0,"no recent sales",MAX(0,ROUND($K68/($N68/30),0))))</f>
        <v/>
      </c>
    </row>
    <row r="69">
      <c r="A69" s="4" t="n"/>
      <c r="B69" s="4" t="n"/>
      <c r="C69" s="4" t="n"/>
      <c r="D69" s="5" t="n"/>
      <c r="E69" s="5" t="n"/>
      <c r="F69" s="4" t="n"/>
      <c r="G69" s="4" t="n"/>
      <c r="H69">
        <f>IF($A69="","",SUMIFS('Stock In'!$C:$C,'Stock In'!$B:$B,$A69,'Stock In'!$E:$E,"Received"))</f>
        <v/>
      </c>
      <c r="I69">
        <f>IF($A69="","",SUMIFS('Stock In'!$C:$C,'Stock In'!$B:$B,$A69,'Stock In'!$E:$E,"Incoming"))</f>
        <v/>
      </c>
      <c r="J69">
        <f>IF($A69="","",SUMIFS(Sales!$C:$C,Sales!$B:$B,$A69))</f>
        <v/>
      </c>
      <c r="K69">
        <f>IF($A69="","",MAX(0,N($F69)+N($H69)-N($J69)))</f>
        <v/>
      </c>
      <c r="L69" s="6">
        <f>IF($A69="","",$K69*N($D69))</f>
        <v/>
      </c>
      <c r="M69">
        <f>IF($A69="","",IF($K69&lt;=0,"OUT OF STOCK",IF($K69&lt;=N($G69),IF(N($I69)&gt;0,"LOW - ON ORDER","REORDER NOW"),"OK")))</f>
        <v/>
      </c>
      <c r="N69">
        <f>IF($A69="","",SUMIFS(Sales!$C:$C,Sales!$B:$B,$A69,Sales!$A:$A,"&gt;="&amp;(TODAY()-30)))</f>
        <v/>
      </c>
      <c r="O69">
        <f>IF($A69="","",IF(N($N69)=0,"no recent sales",MAX(0,ROUND($K69/($N69/30),0))))</f>
        <v/>
      </c>
    </row>
    <row r="70">
      <c r="A70" s="4" t="n"/>
      <c r="B70" s="4" t="n"/>
      <c r="C70" s="4" t="n"/>
      <c r="D70" s="5" t="n"/>
      <c r="E70" s="5" t="n"/>
      <c r="F70" s="4" t="n"/>
      <c r="G70" s="4" t="n"/>
      <c r="H70">
        <f>IF($A70="","",SUMIFS('Stock In'!$C:$C,'Stock In'!$B:$B,$A70,'Stock In'!$E:$E,"Received"))</f>
        <v/>
      </c>
      <c r="I70">
        <f>IF($A70="","",SUMIFS('Stock In'!$C:$C,'Stock In'!$B:$B,$A70,'Stock In'!$E:$E,"Incoming"))</f>
        <v/>
      </c>
      <c r="J70">
        <f>IF($A70="","",SUMIFS(Sales!$C:$C,Sales!$B:$B,$A70))</f>
        <v/>
      </c>
      <c r="K70">
        <f>IF($A70="","",MAX(0,N($F70)+N($H70)-N($J70)))</f>
        <v/>
      </c>
      <c r="L70" s="6">
        <f>IF($A70="","",$K70*N($D70))</f>
        <v/>
      </c>
      <c r="M70">
        <f>IF($A70="","",IF($K70&lt;=0,"OUT OF STOCK",IF($K70&lt;=N($G70),IF(N($I70)&gt;0,"LOW - ON ORDER","REORDER NOW"),"OK")))</f>
        <v/>
      </c>
      <c r="N70">
        <f>IF($A70="","",SUMIFS(Sales!$C:$C,Sales!$B:$B,$A70,Sales!$A:$A,"&gt;="&amp;(TODAY()-30)))</f>
        <v/>
      </c>
      <c r="O70">
        <f>IF($A70="","",IF(N($N70)=0,"no recent sales",MAX(0,ROUND($K70/($N70/30),0))))</f>
        <v/>
      </c>
    </row>
    <row r="71">
      <c r="A71" s="4" t="n"/>
      <c r="B71" s="4" t="n"/>
      <c r="C71" s="4" t="n"/>
      <c r="D71" s="5" t="n"/>
      <c r="E71" s="5" t="n"/>
      <c r="F71" s="4" t="n"/>
      <c r="G71" s="4" t="n"/>
      <c r="H71">
        <f>IF($A71="","",SUMIFS('Stock In'!$C:$C,'Stock In'!$B:$B,$A71,'Stock In'!$E:$E,"Received"))</f>
        <v/>
      </c>
      <c r="I71">
        <f>IF($A71="","",SUMIFS('Stock In'!$C:$C,'Stock In'!$B:$B,$A71,'Stock In'!$E:$E,"Incoming"))</f>
        <v/>
      </c>
      <c r="J71">
        <f>IF($A71="","",SUMIFS(Sales!$C:$C,Sales!$B:$B,$A71))</f>
        <v/>
      </c>
      <c r="K71">
        <f>IF($A71="","",MAX(0,N($F71)+N($H71)-N($J71)))</f>
        <v/>
      </c>
      <c r="L71" s="6">
        <f>IF($A71="","",$K71*N($D71))</f>
        <v/>
      </c>
      <c r="M71">
        <f>IF($A71="","",IF($K71&lt;=0,"OUT OF STOCK",IF($K71&lt;=N($G71),IF(N($I71)&gt;0,"LOW - ON ORDER","REORDER NOW"),"OK")))</f>
        <v/>
      </c>
      <c r="N71">
        <f>IF($A71="","",SUMIFS(Sales!$C:$C,Sales!$B:$B,$A71,Sales!$A:$A,"&gt;="&amp;(TODAY()-30)))</f>
        <v/>
      </c>
      <c r="O71">
        <f>IF($A71="","",IF(N($N71)=0,"no recent sales",MAX(0,ROUND($K71/($N71/30),0))))</f>
        <v/>
      </c>
    </row>
    <row r="72">
      <c r="A72" s="4" t="n"/>
      <c r="B72" s="4" t="n"/>
      <c r="C72" s="4" t="n"/>
      <c r="D72" s="5" t="n"/>
      <c r="E72" s="5" t="n"/>
      <c r="F72" s="4" t="n"/>
      <c r="G72" s="4" t="n"/>
      <c r="H72">
        <f>IF($A72="","",SUMIFS('Stock In'!$C:$C,'Stock In'!$B:$B,$A72,'Stock In'!$E:$E,"Received"))</f>
        <v/>
      </c>
      <c r="I72">
        <f>IF($A72="","",SUMIFS('Stock In'!$C:$C,'Stock In'!$B:$B,$A72,'Stock In'!$E:$E,"Incoming"))</f>
        <v/>
      </c>
      <c r="J72">
        <f>IF($A72="","",SUMIFS(Sales!$C:$C,Sales!$B:$B,$A72))</f>
        <v/>
      </c>
      <c r="K72">
        <f>IF($A72="","",MAX(0,N($F72)+N($H72)-N($J72)))</f>
        <v/>
      </c>
      <c r="L72" s="6">
        <f>IF($A72="","",$K72*N($D72))</f>
        <v/>
      </c>
      <c r="M72">
        <f>IF($A72="","",IF($K72&lt;=0,"OUT OF STOCK",IF($K72&lt;=N($G72),IF(N($I72)&gt;0,"LOW - ON ORDER","REORDER NOW"),"OK")))</f>
        <v/>
      </c>
      <c r="N72">
        <f>IF($A72="","",SUMIFS(Sales!$C:$C,Sales!$B:$B,$A72,Sales!$A:$A,"&gt;="&amp;(TODAY()-30)))</f>
        <v/>
      </c>
      <c r="O72">
        <f>IF($A72="","",IF(N($N72)=0,"no recent sales",MAX(0,ROUND($K72/($N72/30),0))))</f>
        <v/>
      </c>
    </row>
    <row r="73">
      <c r="A73" s="4" t="n"/>
      <c r="B73" s="4" t="n"/>
      <c r="C73" s="4" t="n"/>
      <c r="D73" s="5" t="n"/>
      <c r="E73" s="5" t="n"/>
      <c r="F73" s="4" t="n"/>
      <c r="G73" s="4" t="n"/>
      <c r="H73">
        <f>IF($A73="","",SUMIFS('Stock In'!$C:$C,'Stock In'!$B:$B,$A73,'Stock In'!$E:$E,"Received"))</f>
        <v/>
      </c>
      <c r="I73">
        <f>IF($A73="","",SUMIFS('Stock In'!$C:$C,'Stock In'!$B:$B,$A73,'Stock In'!$E:$E,"Incoming"))</f>
        <v/>
      </c>
      <c r="J73">
        <f>IF($A73="","",SUMIFS(Sales!$C:$C,Sales!$B:$B,$A73))</f>
        <v/>
      </c>
      <c r="K73">
        <f>IF($A73="","",MAX(0,N($F73)+N($H73)-N($J73)))</f>
        <v/>
      </c>
      <c r="L73" s="6">
        <f>IF($A73="","",$K73*N($D73))</f>
        <v/>
      </c>
      <c r="M73">
        <f>IF($A73="","",IF($K73&lt;=0,"OUT OF STOCK",IF($K73&lt;=N($G73),IF(N($I73)&gt;0,"LOW - ON ORDER","REORDER NOW"),"OK")))</f>
        <v/>
      </c>
      <c r="N73">
        <f>IF($A73="","",SUMIFS(Sales!$C:$C,Sales!$B:$B,$A73,Sales!$A:$A,"&gt;="&amp;(TODAY()-30)))</f>
        <v/>
      </c>
      <c r="O73">
        <f>IF($A73="","",IF(N($N73)=0,"no recent sales",MAX(0,ROUND($K73/($N73/30),0))))</f>
        <v/>
      </c>
    </row>
    <row r="74">
      <c r="A74" s="4" t="n"/>
      <c r="B74" s="4" t="n"/>
      <c r="C74" s="4" t="n"/>
      <c r="D74" s="5" t="n"/>
      <c r="E74" s="5" t="n"/>
      <c r="F74" s="4" t="n"/>
      <c r="G74" s="4" t="n"/>
      <c r="H74">
        <f>IF($A74="","",SUMIFS('Stock In'!$C:$C,'Stock In'!$B:$B,$A74,'Stock In'!$E:$E,"Received"))</f>
        <v/>
      </c>
      <c r="I74">
        <f>IF($A74="","",SUMIFS('Stock In'!$C:$C,'Stock In'!$B:$B,$A74,'Stock In'!$E:$E,"Incoming"))</f>
        <v/>
      </c>
      <c r="J74">
        <f>IF($A74="","",SUMIFS(Sales!$C:$C,Sales!$B:$B,$A74))</f>
        <v/>
      </c>
      <c r="K74">
        <f>IF($A74="","",MAX(0,N($F74)+N($H74)-N($J74)))</f>
        <v/>
      </c>
      <c r="L74" s="6">
        <f>IF($A74="","",$K74*N($D74))</f>
        <v/>
      </c>
      <c r="M74">
        <f>IF($A74="","",IF($K74&lt;=0,"OUT OF STOCK",IF($K74&lt;=N($G74),IF(N($I74)&gt;0,"LOW - ON ORDER","REORDER NOW"),"OK")))</f>
        <v/>
      </c>
      <c r="N74">
        <f>IF($A74="","",SUMIFS(Sales!$C:$C,Sales!$B:$B,$A74,Sales!$A:$A,"&gt;="&amp;(TODAY()-30)))</f>
        <v/>
      </c>
      <c r="O74">
        <f>IF($A74="","",IF(N($N74)=0,"no recent sales",MAX(0,ROUND($K74/($N74/30),0))))</f>
        <v/>
      </c>
    </row>
    <row r="75">
      <c r="A75" s="4" t="n"/>
      <c r="B75" s="4" t="n"/>
      <c r="C75" s="4" t="n"/>
      <c r="D75" s="5" t="n"/>
      <c r="E75" s="5" t="n"/>
      <c r="F75" s="4" t="n"/>
      <c r="G75" s="4" t="n"/>
      <c r="H75">
        <f>IF($A75="","",SUMIFS('Stock In'!$C:$C,'Stock In'!$B:$B,$A75,'Stock In'!$E:$E,"Received"))</f>
        <v/>
      </c>
      <c r="I75">
        <f>IF($A75="","",SUMIFS('Stock In'!$C:$C,'Stock In'!$B:$B,$A75,'Stock In'!$E:$E,"Incoming"))</f>
        <v/>
      </c>
      <c r="J75">
        <f>IF($A75="","",SUMIFS(Sales!$C:$C,Sales!$B:$B,$A75))</f>
        <v/>
      </c>
      <c r="K75">
        <f>IF($A75="","",MAX(0,N($F75)+N($H75)-N($J75)))</f>
        <v/>
      </c>
      <c r="L75" s="6">
        <f>IF($A75="","",$K75*N($D75))</f>
        <v/>
      </c>
      <c r="M75">
        <f>IF($A75="","",IF($K75&lt;=0,"OUT OF STOCK",IF($K75&lt;=N($G75),IF(N($I75)&gt;0,"LOW - ON ORDER","REORDER NOW"),"OK")))</f>
        <v/>
      </c>
      <c r="N75">
        <f>IF($A75="","",SUMIFS(Sales!$C:$C,Sales!$B:$B,$A75,Sales!$A:$A,"&gt;="&amp;(TODAY()-30)))</f>
        <v/>
      </c>
      <c r="O75">
        <f>IF($A75="","",IF(N($N75)=0,"no recent sales",MAX(0,ROUND($K75/($N75/30),0))))</f>
        <v/>
      </c>
    </row>
    <row r="76">
      <c r="A76" s="4" t="n"/>
      <c r="B76" s="4" t="n"/>
      <c r="C76" s="4" t="n"/>
      <c r="D76" s="5" t="n"/>
      <c r="E76" s="5" t="n"/>
      <c r="F76" s="4" t="n"/>
      <c r="G76" s="4" t="n"/>
      <c r="H76">
        <f>IF($A76="","",SUMIFS('Stock In'!$C:$C,'Stock In'!$B:$B,$A76,'Stock In'!$E:$E,"Received"))</f>
        <v/>
      </c>
      <c r="I76">
        <f>IF($A76="","",SUMIFS('Stock In'!$C:$C,'Stock In'!$B:$B,$A76,'Stock In'!$E:$E,"Incoming"))</f>
        <v/>
      </c>
      <c r="J76">
        <f>IF($A76="","",SUMIFS(Sales!$C:$C,Sales!$B:$B,$A76))</f>
        <v/>
      </c>
      <c r="K76">
        <f>IF($A76="","",MAX(0,N($F76)+N($H76)-N($J76)))</f>
        <v/>
      </c>
      <c r="L76" s="6">
        <f>IF($A76="","",$K76*N($D76))</f>
        <v/>
      </c>
      <c r="M76">
        <f>IF($A76="","",IF($K76&lt;=0,"OUT OF STOCK",IF($K76&lt;=N($G76),IF(N($I76)&gt;0,"LOW - ON ORDER","REORDER NOW"),"OK")))</f>
        <v/>
      </c>
      <c r="N76">
        <f>IF($A76="","",SUMIFS(Sales!$C:$C,Sales!$B:$B,$A76,Sales!$A:$A,"&gt;="&amp;(TODAY()-30)))</f>
        <v/>
      </c>
      <c r="O76">
        <f>IF($A76="","",IF(N($N76)=0,"no recent sales",MAX(0,ROUND($K76/($N76/30),0))))</f>
        <v/>
      </c>
    </row>
    <row r="77">
      <c r="A77" s="4" t="n"/>
      <c r="B77" s="4" t="n"/>
      <c r="C77" s="4" t="n"/>
      <c r="D77" s="5" t="n"/>
      <c r="E77" s="5" t="n"/>
      <c r="F77" s="4" t="n"/>
      <c r="G77" s="4" t="n"/>
      <c r="H77">
        <f>IF($A77="","",SUMIFS('Stock In'!$C:$C,'Stock In'!$B:$B,$A77,'Stock In'!$E:$E,"Received"))</f>
        <v/>
      </c>
      <c r="I77">
        <f>IF($A77="","",SUMIFS('Stock In'!$C:$C,'Stock In'!$B:$B,$A77,'Stock In'!$E:$E,"Incoming"))</f>
        <v/>
      </c>
      <c r="J77">
        <f>IF($A77="","",SUMIFS(Sales!$C:$C,Sales!$B:$B,$A77))</f>
        <v/>
      </c>
      <c r="K77">
        <f>IF($A77="","",MAX(0,N($F77)+N($H77)-N($J77)))</f>
        <v/>
      </c>
      <c r="L77" s="6">
        <f>IF($A77="","",$K77*N($D77))</f>
        <v/>
      </c>
      <c r="M77">
        <f>IF($A77="","",IF($K77&lt;=0,"OUT OF STOCK",IF($K77&lt;=N($G77),IF(N($I77)&gt;0,"LOW - ON ORDER","REORDER NOW"),"OK")))</f>
        <v/>
      </c>
      <c r="N77">
        <f>IF($A77="","",SUMIFS(Sales!$C:$C,Sales!$B:$B,$A77,Sales!$A:$A,"&gt;="&amp;(TODAY()-30)))</f>
        <v/>
      </c>
      <c r="O77">
        <f>IF($A77="","",IF(N($N77)=0,"no recent sales",MAX(0,ROUND($K77/($N77/30),0))))</f>
        <v/>
      </c>
    </row>
    <row r="78">
      <c r="A78" s="4" t="n"/>
      <c r="B78" s="4" t="n"/>
      <c r="C78" s="4" t="n"/>
      <c r="D78" s="5" t="n"/>
      <c r="E78" s="5" t="n"/>
      <c r="F78" s="4" t="n"/>
      <c r="G78" s="4" t="n"/>
      <c r="H78">
        <f>IF($A78="","",SUMIFS('Stock In'!$C:$C,'Stock In'!$B:$B,$A78,'Stock In'!$E:$E,"Received"))</f>
        <v/>
      </c>
      <c r="I78">
        <f>IF($A78="","",SUMIFS('Stock In'!$C:$C,'Stock In'!$B:$B,$A78,'Stock In'!$E:$E,"Incoming"))</f>
        <v/>
      </c>
      <c r="J78">
        <f>IF($A78="","",SUMIFS(Sales!$C:$C,Sales!$B:$B,$A78))</f>
        <v/>
      </c>
      <c r="K78">
        <f>IF($A78="","",MAX(0,N($F78)+N($H78)-N($J78)))</f>
        <v/>
      </c>
      <c r="L78" s="6">
        <f>IF($A78="","",$K78*N($D78))</f>
        <v/>
      </c>
      <c r="M78">
        <f>IF($A78="","",IF($K78&lt;=0,"OUT OF STOCK",IF($K78&lt;=N($G78),IF(N($I78)&gt;0,"LOW - ON ORDER","REORDER NOW"),"OK")))</f>
        <v/>
      </c>
      <c r="N78">
        <f>IF($A78="","",SUMIFS(Sales!$C:$C,Sales!$B:$B,$A78,Sales!$A:$A,"&gt;="&amp;(TODAY()-30)))</f>
        <v/>
      </c>
      <c r="O78">
        <f>IF($A78="","",IF(N($N78)=0,"no recent sales",MAX(0,ROUND($K78/($N78/30),0))))</f>
        <v/>
      </c>
    </row>
    <row r="79">
      <c r="A79" s="4" t="n"/>
      <c r="B79" s="4" t="n"/>
      <c r="C79" s="4" t="n"/>
      <c r="D79" s="5" t="n"/>
      <c r="E79" s="5" t="n"/>
      <c r="F79" s="4" t="n"/>
      <c r="G79" s="4" t="n"/>
      <c r="H79">
        <f>IF($A79="","",SUMIFS('Stock In'!$C:$C,'Stock In'!$B:$B,$A79,'Stock In'!$E:$E,"Received"))</f>
        <v/>
      </c>
      <c r="I79">
        <f>IF($A79="","",SUMIFS('Stock In'!$C:$C,'Stock In'!$B:$B,$A79,'Stock In'!$E:$E,"Incoming"))</f>
        <v/>
      </c>
      <c r="J79">
        <f>IF($A79="","",SUMIFS(Sales!$C:$C,Sales!$B:$B,$A79))</f>
        <v/>
      </c>
      <c r="K79">
        <f>IF($A79="","",MAX(0,N($F79)+N($H79)-N($J79)))</f>
        <v/>
      </c>
      <c r="L79" s="6">
        <f>IF($A79="","",$K79*N($D79))</f>
        <v/>
      </c>
      <c r="M79">
        <f>IF($A79="","",IF($K79&lt;=0,"OUT OF STOCK",IF($K79&lt;=N($G79),IF(N($I79)&gt;0,"LOW - ON ORDER","REORDER NOW"),"OK")))</f>
        <v/>
      </c>
      <c r="N79">
        <f>IF($A79="","",SUMIFS(Sales!$C:$C,Sales!$B:$B,$A79,Sales!$A:$A,"&gt;="&amp;(TODAY()-30)))</f>
        <v/>
      </c>
      <c r="O79">
        <f>IF($A79="","",IF(N($N79)=0,"no recent sales",MAX(0,ROUND($K79/($N79/30),0))))</f>
        <v/>
      </c>
    </row>
    <row r="80">
      <c r="A80" s="4" t="n"/>
      <c r="B80" s="4" t="n"/>
      <c r="C80" s="4" t="n"/>
      <c r="D80" s="5" t="n"/>
      <c r="E80" s="5" t="n"/>
      <c r="F80" s="4" t="n"/>
      <c r="G80" s="4" t="n"/>
      <c r="H80">
        <f>IF($A80="","",SUMIFS('Stock In'!$C:$C,'Stock In'!$B:$B,$A80,'Stock In'!$E:$E,"Received"))</f>
        <v/>
      </c>
      <c r="I80">
        <f>IF($A80="","",SUMIFS('Stock In'!$C:$C,'Stock In'!$B:$B,$A80,'Stock In'!$E:$E,"Incoming"))</f>
        <v/>
      </c>
      <c r="J80">
        <f>IF($A80="","",SUMIFS(Sales!$C:$C,Sales!$B:$B,$A80))</f>
        <v/>
      </c>
      <c r="K80">
        <f>IF($A80="","",MAX(0,N($F80)+N($H80)-N($J80)))</f>
        <v/>
      </c>
      <c r="L80" s="6">
        <f>IF($A80="","",$K80*N($D80))</f>
        <v/>
      </c>
      <c r="M80">
        <f>IF($A80="","",IF($K80&lt;=0,"OUT OF STOCK",IF($K80&lt;=N($G80),IF(N($I80)&gt;0,"LOW - ON ORDER","REORDER NOW"),"OK")))</f>
        <v/>
      </c>
      <c r="N80">
        <f>IF($A80="","",SUMIFS(Sales!$C:$C,Sales!$B:$B,$A80,Sales!$A:$A,"&gt;="&amp;(TODAY()-30)))</f>
        <v/>
      </c>
      <c r="O80">
        <f>IF($A80="","",IF(N($N80)=0,"no recent sales",MAX(0,ROUND($K80/($N80/30),0))))</f>
        <v/>
      </c>
    </row>
    <row r="81">
      <c r="A81" s="4" t="n"/>
      <c r="B81" s="4" t="n"/>
      <c r="C81" s="4" t="n"/>
      <c r="D81" s="5" t="n"/>
      <c r="E81" s="5" t="n"/>
      <c r="F81" s="4" t="n"/>
      <c r="G81" s="4" t="n"/>
      <c r="H81">
        <f>IF($A81="","",SUMIFS('Stock In'!$C:$C,'Stock In'!$B:$B,$A81,'Stock In'!$E:$E,"Received"))</f>
        <v/>
      </c>
      <c r="I81">
        <f>IF($A81="","",SUMIFS('Stock In'!$C:$C,'Stock In'!$B:$B,$A81,'Stock In'!$E:$E,"Incoming"))</f>
        <v/>
      </c>
      <c r="J81">
        <f>IF($A81="","",SUMIFS(Sales!$C:$C,Sales!$B:$B,$A81))</f>
        <v/>
      </c>
      <c r="K81">
        <f>IF($A81="","",MAX(0,N($F81)+N($H81)-N($J81)))</f>
        <v/>
      </c>
      <c r="L81" s="6">
        <f>IF($A81="","",$K81*N($D81))</f>
        <v/>
      </c>
      <c r="M81">
        <f>IF($A81="","",IF($K81&lt;=0,"OUT OF STOCK",IF($K81&lt;=N($G81),IF(N($I81)&gt;0,"LOW - ON ORDER","REORDER NOW"),"OK")))</f>
        <v/>
      </c>
      <c r="N81">
        <f>IF($A81="","",SUMIFS(Sales!$C:$C,Sales!$B:$B,$A81,Sales!$A:$A,"&gt;="&amp;(TODAY()-30)))</f>
        <v/>
      </c>
      <c r="O81">
        <f>IF($A81="","",IF(N($N81)=0,"no recent sales",MAX(0,ROUND($K81/($N81/30),0))))</f>
        <v/>
      </c>
    </row>
    <row r="82">
      <c r="A82" s="4" t="n"/>
      <c r="B82" s="4" t="n"/>
      <c r="C82" s="4" t="n"/>
      <c r="D82" s="5" t="n"/>
      <c r="E82" s="5" t="n"/>
      <c r="F82" s="4" t="n"/>
      <c r="G82" s="4" t="n"/>
      <c r="H82">
        <f>IF($A82="","",SUMIFS('Stock In'!$C:$C,'Stock In'!$B:$B,$A82,'Stock In'!$E:$E,"Received"))</f>
        <v/>
      </c>
      <c r="I82">
        <f>IF($A82="","",SUMIFS('Stock In'!$C:$C,'Stock In'!$B:$B,$A82,'Stock In'!$E:$E,"Incoming"))</f>
        <v/>
      </c>
      <c r="J82">
        <f>IF($A82="","",SUMIFS(Sales!$C:$C,Sales!$B:$B,$A82))</f>
        <v/>
      </c>
      <c r="K82">
        <f>IF($A82="","",MAX(0,N($F82)+N($H82)-N($J82)))</f>
        <v/>
      </c>
      <c r="L82" s="6">
        <f>IF($A82="","",$K82*N($D82))</f>
        <v/>
      </c>
      <c r="M82">
        <f>IF($A82="","",IF($K82&lt;=0,"OUT OF STOCK",IF($K82&lt;=N($G82),IF(N($I82)&gt;0,"LOW - ON ORDER","REORDER NOW"),"OK")))</f>
        <v/>
      </c>
      <c r="N82">
        <f>IF($A82="","",SUMIFS(Sales!$C:$C,Sales!$B:$B,$A82,Sales!$A:$A,"&gt;="&amp;(TODAY()-30)))</f>
        <v/>
      </c>
      <c r="O82">
        <f>IF($A82="","",IF(N($N82)=0,"no recent sales",MAX(0,ROUND($K82/($N82/30),0))))</f>
        <v/>
      </c>
    </row>
    <row r="83">
      <c r="A83" s="4" t="n"/>
      <c r="B83" s="4" t="n"/>
      <c r="C83" s="4" t="n"/>
      <c r="D83" s="5" t="n"/>
      <c r="E83" s="5" t="n"/>
      <c r="F83" s="4" t="n"/>
      <c r="G83" s="4" t="n"/>
      <c r="H83">
        <f>IF($A83="","",SUMIFS('Stock In'!$C:$C,'Stock In'!$B:$B,$A83,'Stock In'!$E:$E,"Received"))</f>
        <v/>
      </c>
      <c r="I83">
        <f>IF($A83="","",SUMIFS('Stock In'!$C:$C,'Stock In'!$B:$B,$A83,'Stock In'!$E:$E,"Incoming"))</f>
        <v/>
      </c>
      <c r="J83">
        <f>IF($A83="","",SUMIFS(Sales!$C:$C,Sales!$B:$B,$A83))</f>
        <v/>
      </c>
      <c r="K83">
        <f>IF($A83="","",MAX(0,N($F83)+N($H83)-N($J83)))</f>
        <v/>
      </c>
      <c r="L83" s="6">
        <f>IF($A83="","",$K83*N($D83))</f>
        <v/>
      </c>
      <c r="M83">
        <f>IF($A83="","",IF($K83&lt;=0,"OUT OF STOCK",IF($K83&lt;=N($G83),IF(N($I83)&gt;0,"LOW - ON ORDER","REORDER NOW"),"OK")))</f>
        <v/>
      </c>
      <c r="N83">
        <f>IF($A83="","",SUMIFS(Sales!$C:$C,Sales!$B:$B,$A83,Sales!$A:$A,"&gt;="&amp;(TODAY()-30)))</f>
        <v/>
      </c>
      <c r="O83">
        <f>IF($A83="","",IF(N($N83)=0,"no recent sales",MAX(0,ROUND($K83/($N83/30),0))))</f>
        <v/>
      </c>
    </row>
    <row r="84">
      <c r="A84" s="4" t="n"/>
      <c r="B84" s="4" t="n"/>
      <c r="C84" s="4" t="n"/>
      <c r="D84" s="5" t="n"/>
      <c r="E84" s="5" t="n"/>
      <c r="F84" s="4" t="n"/>
      <c r="G84" s="4" t="n"/>
      <c r="H84">
        <f>IF($A84="","",SUMIFS('Stock In'!$C:$C,'Stock In'!$B:$B,$A84,'Stock In'!$E:$E,"Received"))</f>
        <v/>
      </c>
      <c r="I84">
        <f>IF($A84="","",SUMIFS('Stock In'!$C:$C,'Stock In'!$B:$B,$A84,'Stock In'!$E:$E,"Incoming"))</f>
        <v/>
      </c>
      <c r="J84">
        <f>IF($A84="","",SUMIFS(Sales!$C:$C,Sales!$B:$B,$A84))</f>
        <v/>
      </c>
      <c r="K84">
        <f>IF($A84="","",MAX(0,N($F84)+N($H84)-N($J84)))</f>
        <v/>
      </c>
      <c r="L84" s="6">
        <f>IF($A84="","",$K84*N($D84))</f>
        <v/>
      </c>
      <c r="M84">
        <f>IF($A84="","",IF($K84&lt;=0,"OUT OF STOCK",IF($K84&lt;=N($G84),IF(N($I84)&gt;0,"LOW - ON ORDER","REORDER NOW"),"OK")))</f>
        <v/>
      </c>
      <c r="N84">
        <f>IF($A84="","",SUMIFS(Sales!$C:$C,Sales!$B:$B,$A84,Sales!$A:$A,"&gt;="&amp;(TODAY()-30)))</f>
        <v/>
      </c>
      <c r="O84">
        <f>IF($A84="","",IF(N($N84)=0,"no recent sales",MAX(0,ROUND($K84/($N84/30),0))))</f>
        <v/>
      </c>
    </row>
    <row r="85">
      <c r="A85" s="4" t="n"/>
      <c r="B85" s="4" t="n"/>
      <c r="C85" s="4" t="n"/>
      <c r="D85" s="5" t="n"/>
      <c r="E85" s="5" t="n"/>
      <c r="F85" s="4" t="n"/>
      <c r="G85" s="4" t="n"/>
      <c r="H85">
        <f>IF($A85="","",SUMIFS('Stock In'!$C:$C,'Stock In'!$B:$B,$A85,'Stock In'!$E:$E,"Received"))</f>
        <v/>
      </c>
      <c r="I85">
        <f>IF($A85="","",SUMIFS('Stock In'!$C:$C,'Stock In'!$B:$B,$A85,'Stock In'!$E:$E,"Incoming"))</f>
        <v/>
      </c>
      <c r="J85">
        <f>IF($A85="","",SUMIFS(Sales!$C:$C,Sales!$B:$B,$A85))</f>
        <v/>
      </c>
      <c r="K85">
        <f>IF($A85="","",MAX(0,N($F85)+N($H85)-N($J85)))</f>
        <v/>
      </c>
      <c r="L85" s="6">
        <f>IF($A85="","",$K85*N($D85))</f>
        <v/>
      </c>
      <c r="M85">
        <f>IF($A85="","",IF($K85&lt;=0,"OUT OF STOCK",IF($K85&lt;=N($G85),IF(N($I85)&gt;0,"LOW - ON ORDER","REORDER NOW"),"OK")))</f>
        <v/>
      </c>
      <c r="N85">
        <f>IF($A85="","",SUMIFS(Sales!$C:$C,Sales!$B:$B,$A85,Sales!$A:$A,"&gt;="&amp;(TODAY()-30)))</f>
        <v/>
      </c>
      <c r="O85">
        <f>IF($A85="","",IF(N($N85)=0,"no recent sales",MAX(0,ROUND($K85/($N85/30),0))))</f>
        <v/>
      </c>
    </row>
    <row r="86">
      <c r="A86" s="4" t="n"/>
      <c r="B86" s="4" t="n"/>
      <c r="C86" s="4" t="n"/>
      <c r="D86" s="5" t="n"/>
      <c r="E86" s="5" t="n"/>
      <c r="F86" s="4" t="n"/>
      <c r="G86" s="4" t="n"/>
      <c r="H86">
        <f>IF($A86="","",SUMIFS('Stock In'!$C:$C,'Stock In'!$B:$B,$A86,'Stock In'!$E:$E,"Received"))</f>
        <v/>
      </c>
      <c r="I86">
        <f>IF($A86="","",SUMIFS('Stock In'!$C:$C,'Stock In'!$B:$B,$A86,'Stock In'!$E:$E,"Incoming"))</f>
        <v/>
      </c>
      <c r="J86">
        <f>IF($A86="","",SUMIFS(Sales!$C:$C,Sales!$B:$B,$A86))</f>
        <v/>
      </c>
      <c r="K86">
        <f>IF($A86="","",MAX(0,N($F86)+N($H86)-N($J86)))</f>
        <v/>
      </c>
      <c r="L86" s="6">
        <f>IF($A86="","",$K86*N($D86))</f>
        <v/>
      </c>
      <c r="M86">
        <f>IF($A86="","",IF($K86&lt;=0,"OUT OF STOCK",IF($K86&lt;=N($G86),IF(N($I86)&gt;0,"LOW - ON ORDER","REORDER NOW"),"OK")))</f>
        <v/>
      </c>
      <c r="N86">
        <f>IF($A86="","",SUMIFS(Sales!$C:$C,Sales!$B:$B,$A86,Sales!$A:$A,"&gt;="&amp;(TODAY()-30)))</f>
        <v/>
      </c>
      <c r="O86">
        <f>IF($A86="","",IF(N($N86)=0,"no recent sales",MAX(0,ROUND($K86/($N86/30),0))))</f>
        <v/>
      </c>
    </row>
    <row r="87">
      <c r="A87" s="4" t="n"/>
      <c r="B87" s="4" t="n"/>
      <c r="C87" s="4" t="n"/>
      <c r="D87" s="5" t="n"/>
      <c r="E87" s="5" t="n"/>
      <c r="F87" s="4" t="n"/>
      <c r="G87" s="4" t="n"/>
      <c r="H87">
        <f>IF($A87="","",SUMIFS('Stock In'!$C:$C,'Stock In'!$B:$B,$A87,'Stock In'!$E:$E,"Received"))</f>
        <v/>
      </c>
      <c r="I87">
        <f>IF($A87="","",SUMIFS('Stock In'!$C:$C,'Stock In'!$B:$B,$A87,'Stock In'!$E:$E,"Incoming"))</f>
        <v/>
      </c>
      <c r="J87">
        <f>IF($A87="","",SUMIFS(Sales!$C:$C,Sales!$B:$B,$A87))</f>
        <v/>
      </c>
      <c r="K87">
        <f>IF($A87="","",MAX(0,N($F87)+N($H87)-N($J87)))</f>
        <v/>
      </c>
      <c r="L87" s="6">
        <f>IF($A87="","",$K87*N($D87))</f>
        <v/>
      </c>
      <c r="M87">
        <f>IF($A87="","",IF($K87&lt;=0,"OUT OF STOCK",IF($K87&lt;=N($G87),IF(N($I87)&gt;0,"LOW - ON ORDER","REORDER NOW"),"OK")))</f>
        <v/>
      </c>
      <c r="N87">
        <f>IF($A87="","",SUMIFS(Sales!$C:$C,Sales!$B:$B,$A87,Sales!$A:$A,"&gt;="&amp;(TODAY()-30)))</f>
        <v/>
      </c>
      <c r="O87">
        <f>IF($A87="","",IF(N($N87)=0,"no recent sales",MAX(0,ROUND($K87/($N87/30),0))))</f>
        <v/>
      </c>
    </row>
    <row r="88">
      <c r="A88" s="4" t="n"/>
      <c r="B88" s="4" t="n"/>
      <c r="C88" s="4" t="n"/>
      <c r="D88" s="5" t="n"/>
      <c r="E88" s="5" t="n"/>
      <c r="F88" s="4" t="n"/>
      <c r="G88" s="4" t="n"/>
      <c r="H88">
        <f>IF($A88="","",SUMIFS('Stock In'!$C:$C,'Stock In'!$B:$B,$A88,'Stock In'!$E:$E,"Received"))</f>
        <v/>
      </c>
      <c r="I88">
        <f>IF($A88="","",SUMIFS('Stock In'!$C:$C,'Stock In'!$B:$B,$A88,'Stock In'!$E:$E,"Incoming"))</f>
        <v/>
      </c>
      <c r="J88">
        <f>IF($A88="","",SUMIFS(Sales!$C:$C,Sales!$B:$B,$A88))</f>
        <v/>
      </c>
      <c r="K88">
        <f>IF($A88="","",MAX(0,N($F88)+N($H88)-N($J88)))</f>
        <v/>
      </c>
      <c r="L88" s="6">
        <f>IF($A88="","",$K88*N($D88))</f>
        <v/>
      </c>
      <c r="M88">
        <f>IF($A88="","",IF($K88&lt;=0,"OUT OF STOCK",IF($K88&lt;=N($G88),IF(N($I88)&gt;0,"LOW - ON ORDER","REORDER NOW"),"OK")))</f>
        <v/>
      </c>
      <c r="N88">
        <f>IF($A88="","",SUMIFS(Sales!$C:$C,Sales!$B:$B,$A88,Sales!$A:$A,"&gt;="&amp;(TODAY()-30)))</f>
        <v/>
      </c>
      <c r="O88">
        <f>IF($A88="","",IF(N($N88)=0,"no recent sales",MAX(0,ROUND($K88/($N88/30),0))))</f>
        <v/>
      </c>
    </row>
    <row r="89">
      <c r="A89" s="4" t="n"/>
      <c r="B89" s="4" t="n"/>
      <c r="C89" s="4" t="n"/>
      <c r="D89" s="5" t="n"/>
      <c r="E89" s="5" t="n"/>
      <c r="F89" s="4" t="n"/>
      <c r="G89" s="4" t="n"/>
      <c r="H89">
        <f>IF($A89="","",SUMIFS('Stock In'!$C:$C,'Stock In'!$B:$B,$A89,'Stock In'!$E:$E,"Received"))</f>
        <v/>
      </c>
      <c r="I89">
        <f>IF($A89="","",SUMIFS('Stock In'!$C:$C,'Stock In'!$B:$B,$A89,'Stock In'!$E:$E,"Incoming"))</f>
        <v/>
      </c>
      <c r="J89">
        <f>IF($A89="","",SUMIFS(Sales!$C:$C,Sales!$B:$B,$A89))</f>
        <v/>
      </c>
      <c r="K89">
        <f>IF($A89="","",MAX(0,N($F89)+N($H89)-N($J89)))</f>
        <v/>
      </c>
      <c r="L89" s="6">
        <f>IF($A89="","",$K89*N($D89))</f>
        <v/>
      </c>
      <c r="M89">
        <f>IF($A89="","",IF($K89&lt;=0,"OUT OF STOCK",IF($K89&lt;=N($G89),IF(N($I89)&gt;0,"LOW - ON ORDER","REORDER NOW"),"OK")))</f>
        <v/>
      </c>
      <c r="N89">
        <f>IF($A89="","",SUMIFS(Sales!$C:$C,Sales!$B:$B,$A89,Sales!$A:$A,"&gt;="&amp;(TODAY()-30)))</f>
        <v/>
      </c>
      <c r="O89">
        <f>IF($A89="","",IF(N($N89)=0,"no recent sales",MAX(0,ROUND($K89/($N89/30),0))))</f>
        <v/>
      </c>
    </row>
    <row r="90">
      <c r="A90" s="4" t="n"/>
      <c r="B90" s="4" t="n"/>
      <c r="C90" s="4" t="n"/>
      <c r="D90" s="5" t="n"/>
      <c r="E90" s="5" t="n"/>
      <c r="F90" s="4" t="n"/>
      <c r="G90" s="4" t="n"/>
      <c r="H90">
        <f>IF($A90="","",SUMIFS('Stock In'!$C:$C,'Stock In'!$B:$B,$A90,'Stock In'!$E:$E,"Received"))</f>
        <v/>
      </c>
      <c r="I90">
        <f>IF($A90="","",SUMIFS('Stock In'!$C:$C,'Stock In'!$B:$B,$A90,'Stock In'!$E:$E,"Incoming"))</f>
        <v/>
      </c>
      <c r="J90">
        <f>IF($A90="","",SUMIFS(Sales!$C:$C,Sales!$B:$B,$A90))</f>
        <v/>
      </c>
      <c r="K90">
        <f>IF($A90="","",MAX(0,N($F90)+N($H90)-N($J90)))</f>
        <v/>
      </c>
      <c r="L90" s="6">
        <f>IF($A90="","",$K90*N($D90))</f>
        <v/>
      </c>
      <c r="M90">
        <f>IF($A90="","",IF($K90&lt;=0,"OUT OF STOCK",IF($K90&lt;=N($G90),IF(N($I90)&gt;0,"LOW - ON ORDER","REORDER NOW"),"OK")))</f>
        <v/>
      </c>
      <c r="N90">
        <f>IF($A90="","",SUMIFS(Sales!$C:$C,Sales!$B:$B,$A90,Sales!$A:$A,"&gt;="&amp;(TODAY()-30)))</f>
        <v/>
      </c>
      <c r="O90">
        <f>IF($A90="","",IF(N($N90)=0,"no recent sales",MAX(0,ROUND($K90/($N90/30),0))))</f>
        <v/>
      </c>
    </row>
    <row r="91">
      <c r="A91" s="4" t="n"/>
      <c r="B91" s="4" t="n"/>
      <c r="C91" s="4" t="n"/>
      <c r="D91" s="5" t="n"/>
      <c r="E91" s="5" t="n"/>
      <c r="F91" s="4" t="n"/>
      <c r="G91" s="4" t="n"/>
      <c r="H91">
        <f>IF($A91="","",SUMIFS('Stock In'!$C:$C,'Stock In'!$B:$B,$A91,'Stock In'!$E:$E,"Received"))</f>
        <v/>
      </c>
      <c r="I91">
        <f>IF($A91="","",SUMIFS('Stock In'!$C:$C,'Stock In'!$B:$B,$A91,'Stock In'!$E:$E,"Incoming"))</f>
        <v/>
      </c>
      <c r="J91">
        <f>IF($A91="","",SUMIFS(Sales!$C:$C,Sales!$B:$B,$A91))</f>
        <v/>
      </c>
      <c r="K91">
        <f>IF($A91="","",MAX(0,N($F91)+N($H91)-N($J91)))</f>
        <v/>
      </c>
      <c r="L91" s="6">
        <f>IF($A91="","",$K91*N($D91))</f>
        <v/>
      </c>
      <c r="M91">
        <f>IF($A91="","",IF($K91&lt;=0,"OUT OF STOCK",IF($K91&lt;=N($G91),IF(N($I91)&gt;0,"LOW - ON ORDER","REORDER NOW"),"OK")))</f>
        <v/>
      </c>
      <c r="N91">
        <f>IF($A91="","",SUMIFS(Sales!$C:$C,Sales!$B:$B,$A91,Sales!$A:$A,"&gt;="&amp;(TODAY()-30)))</f>
        <v/>
      </c>
      <c r="O91">
        <f>IF($A91="","",IF(N($N91)=0,"no recent sales",MAX(0,ROUND($K91/($N91/30),0))))</f>
        <v/>
      </c>
    </row>
    <row r="92">
      <c r="A92" s="4" t="n"/>
      <c r="B92" s="4" t="n"/>
      <c r="C92" s="4" t="n"/>
      <c r="D92" s="5" t="n"/>
      <c r="E92" s="5" t="n"/>
      <c r="F92" s="4" t="n"/>
      <c r="G92" s="4" t="n"/>
      <c r="H92">
        <f>IF($A92="","",SUMIFS('Stock In'!$C:$C,'Stock In'!$B:$B,$A92,'Stock In'!$E:$E,"Received"))</f>
        <v/>
      </c>
      <c r="I92">
        <f>IF($A92="","",SUMIFS('Stock In'!$C:$C,'Stock In'!$B:$B,$A92,'Stock In'!$E:$E,"Incoming"))</f>
        <v/>
      </c>
      <c r="J92">
        <f>IF($A92="","",SUMIFS(Sales!$C:$C,Sales!$B:$B,$A92))</f>
        <v/>
      </c>
      <c r="K92">
        <f>IF($A92="","",MAX(0,N($F92)+N($H92)-N($J92)))</f>
        <v/>
      </c>
      <c r="L92" s="6">
        <f>IF($A92="","",$K92*N($D92))</f>
        <v/>
      </c>
      <c r="M92">
        <f>IF($A92="","",IF($K92&lt;=0,"OUT OF STOCK",IF($K92&lt;=N($G92),IF(N($I92)&gt;0,"LOW - ON ORDER","REORDER NOW"),"OK")))</f>
        <v/>
      </c>
      <c r="N92">
        <f>IF($A92="","",SUMIFS(Sales!$C:$C,Sales!$B:$B,$A92,Sales!$A:$A,"&gt;="&amp;(TODAY()-30)))</f>
        <v/>
      </c>
      <c r="O92">
        <f>IF($A92="","",IF(N($N92)=0,"no recent sales",MAX(0,ROUND($K92/($N92/30),0))))</f>
        <v/>
      </c>
    </row>
    <row r="93">
      <c r="A93" s="4" t="n"/>
      <c r="B93" s="4" t="n"/>
      <c r="C93" s="4" t="n"/>
      <c r="D93" s="5" t="n"/>
      <c r="E93" s="5" t="n"/>
      <c r="F93" s="4" t="n"/>
      <c r="G93" s="4" t="n"/>
      <c r="H93">
        <f>IF($A93="","",SUMIFS('Stock In'!$C:$C,'Stock In'!$B:$B,$A93,'Stock In'!$E:$E,"Received"))</f>
        <v/>
      </c>
      <c r="I93">
        <f>IF($A93="","",SUMIFS('Stock In'!$C:$C,'Stock In'!$B:$B,$A93,'Stock In'!$E:$E,"Incoming"))</f>
        <v/>
      </c>
      <c r="J93">
        <f>IF($A93="","",SUMIFS(Sales!$C:$C,Sales!$B:$B,$A93))</f>
        <v/>
      </c>
      <c r="K93">
        <f>IF($A93="","",MAX(0,N($F93)+N($H93)-N($J93)))</f>
        <v/>
      </c>
      <c r="L93" s="6">
        <f>IF($A93="","",$K93*N($D93))</f>
        <v/>
      </c>
      <c r="M93">
        <f>IF($A93="","",IF($K93&lt;=0,"OUT OF STOCK",IF($K93&lt;=N($G93),IF(N($I93)&gt;0,"LOW - ON ORDER","REORDER NOW"),"OK")))</f>
        <v/>
      </c>
      <c r="N93">
        <f>IF($A93="","",SUMIFS(Sales!$C:$C,Sales!$B:$B,$A93,Sales!$A:$A,"&gt;="&amp;(TODAY()-30)))</f>
        <v/>
      </c>
      <c r="O93">
        <f>IF($A93="","",IF(N($N93)=0,"no recent sales",MAX(0,ROUND($K93/($N93/30),0))))</f>
        <v/>
      </c>
    </row>
    <row r="94">
      <c r="A94" s="4" t="n"/>
      <c r="B94" s="4" t="n"/>
      <c r="C94" s="4" t="n"/>
      <c r="D94" s="5" t="n"/>
      <c r="E94" s="5" t="n"/>
      <c r="F94" s="4" t="n"/>
      <c r="G94" s="4" t="n"/>
      <c r="H94">
        <f>IF($A94="","",SUMIFS('Stock In'!$C:$C,'Stock In'!$B:$B,$A94,'Stock In'!$E:$E,"Received"))</f>
        <v/>
      </c>
      <c r="I94">
        <f>IF($A94="","",SUMIFS('Stock In'!$C:$C,'Stock In'!$B:$B,$A94,'Stock In'!$E:$E,"Incoming"))</f>
        <v/>
      </c>
      <c r="J94">
        <f>IF($A94="","",SUMIFS(Sales!$C:$C,Sales!$B:$B,$A94))</f>
        <v/>
      </c>
      <c r="K94">
        <f>IF($A94="","",MAX(0,N($F94)+N($H94)-N($J94)))</f>
        <v/>
      </c>
      <c r="L94" s="6">
        <f>IF($A94="","",$K94*N($D94))</f>
        <v/>
      </c>
      <c r="M94">
        <f>IF($A94="","",IF($K94&lt;=0,"OUT OF STOCK",IF($K94&lt;=N($G94),IF(N($I94)&gt;0,"LOW - ON ORDER","REORDER NOW"),"OK")))</f>
        <v/>
      </c>
      <c r="N94">
        <f>IF($A94="","",SUMIFS(Sales!$C:$C,Sales!$B:$B,$A94,Sales!$A:$A,"&gt;="&amp;(TODAY()-30)))</f>
        <v/>
      </c>
      <c r="O94">
        <f>IF($A94="","",IF(N($N94)=0,"no recent sales",MAX(0,ROUND($K94/($N94/30),0))))</f>
        <v/>
      </c>
    </row>
    <row r="95">
      <c r="A95" s="4" t="n"/>
      <c r="B95" s="4" t="n"/>
      <c r="C95" s="4" t="n"/>
      <c r="D95" s="5" t="n"/>
      <c r="E95" s="5" t="n"/>
      <c r="F95" s="4" t="n"/>
      <c r="G95" s="4" t="n"/>
      <c r="H95">
        <f>IF($A95="","",SUMIFS('Stock In'!$C:$C,'Stock In'!$B:$B,$A95,'Stock In'!$E:$E,"Received"))</f>
        <v/>
      </c>
      <c r="I95">
        <f>IF($A95="","",SUMIFS('Stock In'!$C:$C,'Stock In'!$B:$B,$A95,'Stock In'!$E:$E,"Incoming"))</f>
        <v/>
      </c>
      <c r="J95">
        <f>IF($A95="","",SUMIFS(Sales!$C:$C,Sales!$B:$B,$A95))</f>
        <v/>
      </c>
      <c r="K95">
        <f>IF($A95="","",MAX(0,N($F95)+N($H95)-N($J95)))</f>
        <v/>
      </c>
      <c r="L95" s="6">
        <f>IF($A95="","",$K95*N($D95))</f>
        <v/>
      </c>
      <c r="M95">
        <f>IF($A95="","",IF($K95&lt;=0,"OUT OF STOCK",IF($K95&lt;=N($G95),IF(N($I95)&gt;0,"LOW - ON ORDER","REORDER NOW"),"OK")))</f>
        <v/>
      </c>
      <c r="N95">
        <f>IF($A95="","",SUMIFS(Sales!$C:$C,Sales!$B:$B,$A95,Sales!$A:$A,"&gt;="&amp;(TODAY()-30)))</f>
        <v/>
      </c>
      <c r="O95">
        <f>IF($A95="","",IF(N($N95)=0,"no recent sales",MAX(0,ROUND($K95/($N95/30),0))))</f>
        <v/>
      </c>
    </row>
    <row r="96">
      <c r="A96" s="4" t="n"/>
      <c r="B96" s="4" t="n"/>
      <c r="C96" s="4" t="n"/>
      <c r="D96" s="5" t="n"/>
      <c r="E96" s="5" t="n"/>
      <c r="F96" s="4" t="n"/>
      <c r="G96" s="4" t="n"/>
      <c r="H96">
        <f>IF($A96="","",SUMIFS('Stock In'!$C:$C,'Stock In'!$B:$B,$A96,'Stock In'!$E:$E,"Received"))</f>
        <v/>
      </c>
      <c r="I96">
        <f>IF($A96="","",SUMIFS('Stock In'!$C:$C,'Stock In'!$B:$B,$A96,'Stock In'!$E:$E,"Incoming"))</f>
        <v/>
      </c>
      <c r="J96">
        <f>IF($A96="","",SUMIFS(Sales!$C:$C,Sales!$B:$B,$A96))</f>
        <v/>
      </c>
      <c r="K96">
        <f>IF($A96="","",MAX(0,N($F96)+N($H96)-N($J96)))</f>
        <v/>
      </c>
      <c r="L96" s="6">
        <f>IF($A96="","",$K96*N($D96))</f>
        <v/>
      </c>
      <c r="M96">
        <f>IF($A96="","",IF($K96&lt;=0,"OUT OF STOCK",IF($K96&lt;=N($G96),IF(N($I96)&gt;0,"LOW - ON ORDER","REORDER NOW"),"OK")))</f>
        <v/>
      </c>
      <c r="N96">
        <f>IF($A96="","",SUMIFS(Sales!$C:$C,Sales!$B:$B,$A96,Sales!$A:$A,"&gt;="&amp;(TODAY()-30)))</f>
        <v/>
      </c>
      <c r="O96">
        <f>IF($A96="","",IF(N($N96)=0,"no recent sales",MAX(0,ROUND($K96/($N96/30),0))))</f>
        <v/>
      </c>
    </row>
    <row r="97">
      <c r="A97" s="4" t="n"/>
      <c r="B97" s="4" t="n"/>
      <c r="C97" s="4" t="n"/>
      <c r="D97" s="5" t="n"/>
      <c r="E97" s="5" t="n"/>
      <c r="F97" s="4" t="n"/>
      <c r="G97" s="4" t="n"/>
      <c r="H97">
        <f>IF($A97="","",SUMIFS('Stock In'!$C:$C,'Stock In'!$B:$B,$A97,'Stock In'!$E:$E,"Received"))</f>
        <v/>
      </c>
      <c r="I97">
        <f>IF($A97="","",SUMIFS('Stock In'!$C:$C,'Stock In'!$B:$B,$A97,'Stock In'!$E:$E,"Incoming"))</f>
        <v/>
      </c>
      <c r="J97">
        <f>IF($A97="","",SUMIFS(Sales!$C:$C,Sales!$B:$B,$A97))</f>
        <v/>
      </c>
      <c r="K97">
        <f>IF($A97="","",MAX(0,N($F97)+N($H97)-N($J97)))</f>
        <v/>
      </c>
      <c r="L97" s="6">
        <f>IF($A97="","",$K97*N($D97))</f>
        <v/>
      </c>
      <c r="M97">
        <f>IF($A97="","",IF($K97&lt;=0,"OUT OF STOCK",IF($K97&lt;=N($G97),IF(N($I97)&gt;0,"LOW - ON ORDER","REORDER NOW"),"OK")))</f>
        <v/>
      </c>
      <c r="N97">
        <f>IF($A97="","",SUMIFS(Sales!$C:$C,Sales!$B:$B,$A97,Sales!$A:$A,"&gt;="&amp;(TODAY()-30)))</f>
        <v/>
      </c>
      <c r="O97">
        <f>IF($A97="","",IF(N($N97)=0,"no recent sales",MAX(0,ROUND($K97/($N97/30),0))))</f>
        <v/>
      </c>
    </row>
    <row r="98">
      <c r="A98" s="4" t="n"/>
      <c r="B98" s="4" t="n"/>
      <c r="C98" s="4" t="n"/>
      <c r="D98" s="5" t="n"/>
      <c r="E98" s="5" t="n"/>
      <c r="F98" s="4" t="n"/>
      <c r="G98" s="4" t="n"/>
      <c r="H98">
        <f>IF($A98="","",SUMIFS('Stock In'!$C:$C,'Stock In'!$B:$B,$A98,'Stock In'!$E:$E,"Received"))</f>
        <v/>
      </c>
      <c r="I98">
        <f>IF($A98="","",SUMIFS('Stock In'!$C:$C,'Stock In'!$B:$B,$A98,'Stock In'!$E:$E,"Incoming"))</f>
        <v/>
      </c>
      <c r="J98">
        <f>IF($A98="","",SUMIFS(Sales!$C:$C,Sales!$B:$B,$A98))</f>
        <v/>
      </c>
      <c r="K98">
        <f>IF($A98="","",MAX(0,N($F98)+N($H98)-N($J98)))</f>
        <v/>
      </c>
      <c r="L98" s="6">
        <f>IF($A98="","",$K98*N($D98))</f>
        <v/>
      </c>
      <c r="M98">
        <f>IF($A98="","",IF($K98&lt;=0,"OUT OF STOCK",IF($K98&lt;=N($G98),IF(N($I98)&gt;0,"LOW - ON ORDER","REORDER NOW"),"OK")))</f>
        <v/>
      </c>
      <c r="N98">
        <f>IF($A98="","",SUMIFS(Sales!$C:$C,Sales!$B:$B,$A98,Sales!$A:$A,"&gt;="&amp;(TODAY()-30)))</f>
        <v/>
      </c>
      <c r="O98">
        <f>IF($A98="","",IF(N($N98)=0,"no recent sales",MAX(0,ROUND($K98/($N98/30),0))))</f>
        <v/>
      </c>
    </row>
    <row r="99">
      <c r="A99" s="4" t="n"/>
      <c r="B99" s="4" t="n"/>
      <c r="C99" s="4" t="n"/>
      <c r="D99" s="5" t="n"/>
      <c r="E99" s="5" t="n"/>
      <c r="F99" s="4" t="n"/>
      <c r="G99" s="4" t="n"/>
      <c r="H99">
        <f>IF($A99="","",SUMIFS('Stock In'!$C:$C,'Stock In'!$B:$B,$A99,'Stock In'!$E:$E,"Received"))</f>
        <v/>
      </c>
      <c r="I99">
        <f>IF($A99="","",SUMIFS('Stock In'!$C:$C,'Stock In'!$B:$B,$A99,'Stock In'!$E:$E,"Incoming"))</f>
        <v/>
      </c>
      <c r="J99">
        <f>IF($A99="","",SUMIFS(Sales!$C:$C,Sales!$B:$B,$A99))</f>
        <v/>
      </c>
      <c r="K99">
        <f>IF($A99="","",MAX(0,N($F99)+N($H99)-N($J99)))</f>
        <v/>
      </c>
      <c r="L99" s="6">
        <f>IF($A99="","",$K99*N($D99))</f>
        <v/>
      </c>
      <c r="M99">
        <f>IF($A99="","",IF($K99&lt;=0,"OUT OF STOCK",IF($K99&lt;=N($G99),IF(N($I99)&gt;0,"LOW - ON ORDER","REORDER NOW"),"OK")))</f>
        <v/>
      </c>
      <c r="N99">
        <f>IF($A99="","",SUMIFS(Sales!$C:$C,Sales!$B:$B,$A99,Sales!$A:$A,"&gt;="&amp;(TODAY()-30)))</f>
        <v/>
      </c>
      <c r="O99">
        <f>IF($A99="","",IF(N($N99)=0,"no recent sales",MAX(0,ROUND($K99/($N99/30),0))))</f>
        <v/>
      </c>
    </row>
    <row r="100">
      <c r="A100" s="4" t="n"/>
      <c r="B100" s="4" t="n"/>
      <c r="C100" s="4" t="n"/>
      <c r="D100" s="5" t="n"/>
      <c r="E100" s="5" t="n"/>
      <c r="F100" s="4" t="n"/>
      <c r="G100" s="4" t="n"/>
      <c r="H100">
        <f>IF($A100="","",SUMIFS('Stock In'!$C:$C,'Stock In'!$B:$B,$A100,'Stock In'!$E:$E,"Received"))</f>
        <v/>
      </c>
      <c r="I100">
        <f>IF($A100="","",SUMIFS('Stock In'!$C:$C,'Stock In'!$B:$B,$A100,'Stock In'!$E:$E,"Incoming"))</f>
        <v/>
      </c>
      <c r="J100">
        <f>IF($A100="","",SUMIFS(Sales!$C:$C,Sales!$B:$B,$A100))</f>
        <v/>
      </c>
      <c r="K100">
        <f>IF($A100="","",MAX(0,N($F100)+N($H100)-N($J100)))</f>
        <v/>
      </c>
      <c r="L100" s="6">
        <f>IF($A100="","",$K100*N($D100))</f>
        <v/>
      </c>
      <c r="M100">
        <f>IF($A100="","",IF($K100&lt;=0,"OUT OF STOCK",IF($K100&lt;=N($G100),IF(N($I100)&gt;0,"LOW - ON ORDER","REORDER NOW"),"OK")))</f>
        <v/>
      </c>
      <c r="N100">
        <f>IF($A100="","",SUMIFS(Sales!$C:$C,Sales!$B:$B,$A100,Sales!$A:$A,"&gt;="&amp;(TODAY()-30)))</f>
        <v/>
      </c>
      <c r="O100">
        <f>IF($A100="","",IF(N($N100)=0,"no recent sales",MAX(0,ROUND($K100/($N100/30),0))))</f>
        <v/>
      </c>
    </row>
    <row r="101">
      <c r="A101" s="4" t="n"/>
      <c r="B101" s="4" t="n"/>
      <c r="C101" s="4" t="n"/>
      <c r="D101" s="5" t="n"/>
      <c r="E101" s="5" t="n"/>
      <c r="F101" s="4" t="n"/>
      <c r="G101" s="4" t="n"/>
      <c r="H101">
        <f>IF($A101="","",SUMIFS('Stock In'!$C:$C,'Stock In'!$B:$B,$A101,'Stock In'!$E:$E,"Received"))</f>
        <v/>
      </c>
      <c r="I101">
        <f>IF($A101="","",SUMIFS('Stock In'!$C:$C,'Stock In'!$B:$B,$A101,'Stock In'!$E:$E,"Incoming"))</f>
        <v/>
      </c>
      <c r="J101">
        <f>IF($A101="","",SUMIFS(Sales!$C:$C,Sales!$B:$B,$A101))</f>
        <v/>
      </c>
      <c r="K101">
        <f>IF($A101="","",MAX(0,N($F101)+N($H101)-N($J101)))</f>
        <v/>
      </c>
      <c r="L101" s="6">
        <f>IF($A101="","",$K101*N($D101))</f>
        <v/>
      </c>
      <c r="M101">
        <f>IF($A101="","",IF($K101&lt;=0,"OUT OF STOCK",IF($K101&lt;=N($G101),IF(N($I101)&gt;0,"LOW - ON ORDER","REORDER NOW"),"OK")))</f>
        <v/>
      </c>
      <c r="N101">
        <f>IF($A101="","",SUMIFS(Sales!$C:$C,Sales!$B:$B,$A101,Sales!$A:$A,"&gt;="&amp;(TODAY()-30)))</f>
        <v/>
      </c>
      <c r="O101">
        <f>IF($A101="","",IF(N($N101)=0,"no recent sales",MAX(0,ROUND($K101/($N101/30),0))))</f>
        <v/>
      </c>
    </row>
    <row r="102">
      <c r="A102" s="4" t="n"/>
      <c r="B102" s="4" t="n"/>
      <c r="C102" s="4" t="n"/>
      <c r="D102" s="5" t="n"/>
      <c r="E102" s="5" t="n"/>
      <c r="F102" s="4" t="n"/>
      <c r="G102" s="4" t="n"/>
      <c r="H102">
        <f>IF($A102="","",SUMIFS('Stock In'!$C:$C,'Stock In'!$B:$B,$A102,'Stock In'!$E:$E,"Received"))</f>
        <v/>
      </c>
      <c r="I102">
        <f>IF($A102="","",SUMIFS('Stock In'!$C:$C,'Stock In'!$B:$B,$A102,'Stock In'!$E:$E,"Incoming"))</f>
        <v/>
      </c>
      <c r="J102">
        <f>IF($A102="","",SUMIFS(Sales!$C:$C,Sales!$B:$B,$A102))</f>
        <v/>
      </c>
      <c r="K102">
        <f>IF($A102="","",MAX(0,N($F102)+N($H102)-N($J102)))</f>
        <v/>
      </c>
      <c r="L102" s="6">
        <f>IF($A102="","",$K102*N($D102))</f>
        <v/>
      </c>
      <c r="M102">
        <f>IF($A102="","",IF($K102&lt;=0,"OUT OF STOCK",IF($K102&lt;=N($G102),IF(N($I102)&gt;0,"LOW - ON ORDER","REORDER NOW"),"OK")))</f>
        <v/>
      </c>
      <c r="N102">
        <f>IF($A102="","",SUMIFS(Sales!$C:$C,Sales!$B:$B,$A102,Sales!$A:$A,"&gt;="&amp;(TODAY()-30)))</f>
        <v/>
      </c>
      <c r="O102">
        <f>IF($A102="","",IF(N($N102)=0,"no recent sales",MAX(0,ROUND($K102/($N102/30),0))))</f>
        <v/>
      </c>
    </row>
    <row r="103">
      <c r="A103" s="4" t="n"/>
      <c r="B103" s="4" t="n"/>
      <c r="C103" s="4" t="n"/>
      <c r="D103" s="5" t="n"/>
      <c r="E103" s="5" t="n"/>
      <c r="F103" s="4" t="n"/>
      <c r="G103" s="4" t="n"/>
      <c r="H103">
        <f>IF($A103="","",SUMIFS('Stock In'!$C:$C,'Stock In'!$B:$B,$A103,'Stock In'!$E:$E,"Received"))</f>
        <v/>
      </c>
      <c r="I103">
        <f>IF($A103="","",SUMIFS('Stock In'!$C:$C,'Stock In'!$B:$B,$A103,'Stock In'!$E:$E,"Incoming"))</f>
        <v/>
      </c>
      <c r="J103">
        <f>IF($A103="","",SUMIFS(Sales!$C:$C,Sales!$B:$B,$A103))</f>
        <v/>
      </c>
      <c r="K103">
        <f>IF($A103="","",MAX(0,N($F103)+N($H103)-N($J103)))</f>
        <v/>
      </c>
      <c r="L103" s="6">
        <f>IF($A103="","",$K103*N($D103))</f>
        <v/>
      </c>
      <c r="M103">
        <f>IF($A103="","",IF($K103&lt;=0,"OUT OF STOCK",IF($K103&lt;=N($G103),IF(N($I103)&gt;0,"LOW - ON ORDER","REORDER NOW"),"OK")))</f>
        <v/>
      </c>
      <c r="N103">
        <f>IF($A103="","",SUMIFS(Sales!$C:$C,Sales!$B:$B,$A103,Sales!$A:$A,"&gt;="&amp;(TODAY()-30)))</f>
        <v/>
      </c>
      <c r="O103">
        <f>IF($A103="","",IF(N($N103)=0,"no recent sales",MAX(0,ROUND($K103/($N103/30),0))))</f>
        <v/>
      </c>
    </row>
    <row r="104">
      <c r="A104" s="4" t="n"/>
      <c r="B104" s="4" t="n"/>
      <c r="C104" s="4" t="n"/>
      <c r="D104" s="5" t="n"/>
      <c r="E104" s="5" t="n"/>
      <c r="F104" s="4" t="n"/>
      <c r="G104" s="4" t="n"/>
      <c r="H104">
        <f>IF($A104="","",SUMIFS('Stock In'!$C:$C,'Stock In'!$B:$B,$A104,'Stock In'!$E:$E,"Received"))</f>
        <v/>
      </c>
      <c r="I104">
        <f>IF($A104="","",SUMIFS('Stock In'!$C:$C,'Stock In'!$B:$B,$A104,'Stock In'!$E:$E,"Incoming"))</f>
        <v/>
      </c>
      <c r="J104">
        <f>IF($A104="","",SUMIFS(Sales!$C:$C,Sales!$B:$B,$A104))</f>
        <v/>
      </c>
      <c r="K104">
        <f>IF($A104="","",MAX(0,N($F104)+N($H104)-N($J104)))</f>
        <v/>
      </c>
      <c r="L104" s="6">
        <f>IF($A104="","",$K104*N($D104))</f>
        <v/>
      </c>
      <c r="M104">
        <f>IF($A104="","",IF($K104&lt;=0,"OUT OF STOCK",IF($K104&lt;=N($G104),IF(N($I104)&gt;0,"LOW - ON ORDER","REORDER NOW"),"OK")))</f>
        <v/>
      </c>
      <c r="N104">
        <f>IF($A104="","",SUMIFS(Sales!$C:$C,Sales!$B:$B,$A104,Sales!$A:$A,"&gt;="&amp;(TODAY()-30)))</f>
        <v/>
      </c>
      <c r="O104">
        <f>IF($A104="","",IF(N($N104)=0,"no recent sales",MAX(0,ROUND($K104/($N104/30),0))))</f>
        <v/>
      </c>
    </row>
    <row r="105">
      <c r="A105" s="4" t="n"/>
      <c r="B105" s="4" t="n"/>
      <c r="C105" s="4" t="n"/>
      <c r="D105" s="5" t="n"/>
      <c r="E105" s="5" t="n"/>
      <c r="F105" s="4" t="n"/>
      <c r="G105" s="4" t="n"/>
      <c r="H105">
        <f>IF($A105="","",SUMIFS('Stock In'!$C:$C,'Stock In'!$B:$B,$A105,'Stock In'!$E:$E,"Received"))</f>
        <v/>
      </c>
      <c r="I105">
        <f>IF($A105="","",SUMIFS('Stock In'!$C:$C,'Stock In'!$B:$B,$A105,'Stock In'!$E:$E,"Incoming"))</f>
        <v/>
      </c>
      <c r="J105">
        <f>IF($A105="","",SUMIFS(Sales!$C:$C,Sales!$B:$B,$A105))</f>
        <v/>
      </c>
      <c r="K105">
        <f>IF($A105="","",MAX(0,N($F105)+N($H105)-N($J105)))</f>
        <v/>
      </c>
      <c r="L105" s="6">
        <f>IF($A105="","",$K105*N($D105))</f>
        <v/>
      </c>
      <c r="M105">
        <f>IF($A105="","",IF($K105&lt;=0,"OUT OF STOCK",IF($K105&lt;=N($G105),IF(N($I105)&gt;0,"LOW - ON ORDER","REORDER NOW"),"OK")))</f>
        <v/>
      </c>
      <c r="N105">
        <f>IF($A105="","",SUMIFS(Sales!$C:$C,Sales!$B:$B,$A105,Sales!$A:$A,"&gt;="&amp;(TODAY()-30)))</f>
        <v/>
      </c>
      <c r="O105">
        <f>IF($A105="","",IF(N($N105)=0,"no recent sales",MAX(0,ROUND($K105/($N105/30),0))))</f>
        <v/>
      </c>
    </row>
    <row r="106">
      <c r="A106" s="4" t="n"/>
      <c r="B106" s="4" t="n"/>
      <c r="C106" s="4" t="n"/>
      <c r="D106" s="5" t="n"/>
      <c r="E106" s="5" t="n"/>
      <c r="F106" s="4" t="n"/>
      <c r="G106" s="4" t="n"/>
      <c r="H106">
        <f>IF($A106="","",SUMIFS('Stock In'!$C:$C,'Stock In'!$B:$B,$A106,'Stock In'!$E:$E,"Received"))</f>
        <v/>
      </c>
      <c r="I106">
        <f>IF($A106="","",SUMIFS('Stock In'!$C:$C,'Stock In'!$B:$B,$A106,'Stock In'!$E:$E,"Incoming"))</f>
        <v/>
      </c>
      <c r="J106">
        <f>IF($A106="","",SUMIFS(Sales!$C:$C,Sales!$B:$B,$A106))</f>
        <v/>
      </c>
      <c r="K106">
        <f>IF($A106="","",MAX(0,N($F106)+N($H106)-N($J106)))</f>
        <v/>
      </c>
      <c r="L106" s="6">
        <f>IF($A106="","",$K106*N($D106))</f>
        <v/>
      </c>
      <c r="M106">
        <f>IF($A106="","",IF($K106&lt;=0,"OUT OF STOCK",IF($K106&lt;=N($G106),IF(N($I106)&gt;0,"LOW - ON ORDER","REORDER NOW"),"OK")))</f>
        <v/>
      </c>
      <c r="N106">
        <f>IF($A106="","",SUMIFS(Sales!$C:$C,Sales!$B:$B,$A106,Sales!$A:$A,"&gt;="&amp;(TODAY()-30)))</f>
        <v/>
      </c>
      <c r="O106">
        <f>IF($A106="","",IF(N($N106)=0,"no recent sales",MAX(0,ROUND($K106/($N106/30),0))))</f>
        <v/>
      </c>
    </row>
    <row r="107">
      <c r="A107" s="4" t="n"/>
      <c r="B107" s="4" t="n"/>
      <c r="C107" s="4" t="n"/>
      <c r="D107" s="5" t="n"/>
      <c r="E107" s="5" t="n"/>
      <c r="F107" s="4" t="n"/>
      <c r="G107" s="4" t="n"/>
      <c r="H107">
        <f>IF($A107="","",SUMIFS('Stock In'!$C:$C,'Stock In'!$B:$B,$A107,'Stock In'!$E:$E,"Received"))</f>
        <v/>
      </c>
      <c r="I107">
        <f>IF($A107="","",SUMIFS('Stock In'!$C:$C,'Stock In'!$B:$B,$A107,'Stock In'!$E:$E,"Incoming"))</f>
        <v/>
      </c>
      <c r="J107">
        <f>IF($A107="","",SUMIFS(Sales!$C:$C,Sales!$B:$B,$A107))</f>
        <v/>
      </c>
      <c r="K107">
        <f>IF($A107="","",MAX(0,N($F107)+N($H107)-N($J107)))</f>
        <v/>
      </c>
      <c r="L107" s="6">
        <f>IF($A107="","",$K107*N($D107))</f>
        <v/>
      </c>
      <c r="M107">
        <f>IF($A107="","",IF($K107&lt;=0,"OUT OF STOCK",IF($K107&lt;=N($G107),IF(N($I107)&gt;0,"LOW - ON ORDER","REORDER NOW"),"OK")))</f>
        <v/>
      </c>
      <c r="N107">
        <f>IF($A107="","",SUMIFS(Sales!$C:$C,Sales!$B:$B,$A107,Sales!$A:$A,"&gt;="&amp;(TODAY()-30)))</f>
        <v/>
      </c>
      <c r="O107">
        <f>IF($A107="","",IF(N($N107)=0,"no recent sales",MAX(0,ROUND($K107/($N107/30),0))))</f>
        <v/>
      </c>
    </row>
    <row r="108">
      <c r="A108" s="4" t="n"/>
      <c r="B108" s="4" t="n"/>
      <c r="C108" s="4" t="n"/>
      <c r="D108" s="5" t="n"/>
      <c r="E108" s="5" t="n"/>
      <c r="F108" s="4" t="n"/>
      <c r="G108" s="4" t="n"/>
      <c r="H108">
        <f>IF($A108="","",SUMIFS('Stock In'!$C:$C,'Stock In'!$B:$B,$A108,'Stock In'!$E:$E,"Received"))</f>
        <v/>
      </c>
      <c r="I108">
        <f>IF($A108="","",SUMIFS('Stock In'!$C:$C,'Stock In'!$B:$B,$A108,'Stock In'!$E:$E,"Incoming"))</f>
        <v/>
      </c>
      <c r="J108">
        <f>IF($A108="","",SUMIFS(Sales!$C:$C,Sales!$B:$B,$A108))</f>
        <v/>
      </c>
      <c r="K108">
        <f>IF($A108="","",MAX(0,N($F108)+N($H108)-N($J108)))</f>
        <v/>
      </c>
      <c r="L108" s="6">
        <f>IF($A108="","",$K108*N($D108))</f>
        <v/>
      </c>
      <c r="M108">
        <f>IF($A108="","",IF($K108&lt;=0,"OUT OF STOCK",IF($K108&lt;=N($G108),IF(N($I108)&gt;0,"LOW - ON ORDER","REORDER NOW"),"OK")))</f>
        <v/>
      </c>
      <c r="N108">
        <f>IF($A108="","",SUMIFS(Sales!$C:$C,Sales!$B:$B,$A108,Sales!$A:$A,"&gt;="&amp;(TODAY()-30)))</f>
        <v/>
      </c>
      <c r="O108">
        <f>IF($A108="","",IF(N($N108)=0,"no recent sales",MAX(0,ROUND($K108/($N108/30),0))))</f>
        <v/>
      </c>
    </row>
    <row r="109">
      <c r="A109" s="4" t="n"/>
      <c r="B109" s="4" t="n"/>
      <c r="C109" s="4" t="n"/>
      <c r="D109" s="5" t="n"/>
      <c r="E109" s="5" t="n"/>
      <c r="F109" s="4" t="n"/>
      <c r="G109" s="4" t="n"/>
      <c r="H109">
        <f>IF($A109="","",SUMIFS('Stock In'!$C:$C,'Stock In'!$B:$B,$A109,'Stock In'!$E:$E,"Received"))</f>
        <v/>
      </c>
      <c r="I109">
        <f>IF($A109="","",SUMIFS('Stock In'!$C:$C,'Stock In'!$B:$B,$A109,'Stock In'!$E:$E,"Incoming"))</f>
        <v/>
      </c>
      <c r="J109">
        <f>IF($A109="","",SUMIFS(Sales!$C:$C,Sales!$B:$B,$A109))</f>
        <v/>
      </c>
      <c r="K109">
        <f>IF($A109="","",MAX(0,N($F109)+N($H109)-N($J109)))</f>
        <v/>
      </c>
      <c r="L109" s="6">
        <f>IF($A109="","",$K109*N($D109))</f>
        <v/>
      </c>
      <c r="M109">
        <f>IF($A109="","",IF($K109&lt;=0,"OUT OF STOCK",IF($K109&lt;=N($G109),IF(N($I109)&gt;0,"LOW - ON ORDER","REORDER NOW"),"OK")))</f>
        <v/>
      </c>
      <c r="N109">
        <f>IF($A109="","",SUMIFS(Sales!$C:$C,Sales!$B:$B,$A109,Sales!$A:$A,"&gt;="&amp;(TODAY()-30)))</f>
        <v/>
      </c>
      <c r="O109">
        <f>IF($A109="","",IF(N($N109)=0,"no recent sales",MAX(0,ROUND($K109/($N109/30),0))))</f>
        <v/>
      </c>
    </row>
    <row r="110">
      <c r="A110" s="4" t="n"/>
      <c r="B110" s="4" t="n"/>
      <c r="C110" s="4" t="n"/>
      <c r="D110" s="5" t="n"/>
      <c r="E110" s="5" t="n"/>
      <c r="F110" s="4" t="n"/>
      <c r="G110" s="4" t="n"/>
      <c r="H110">
        <f>IF($A110="","",SUMIFS('Stock In'!$C:$C,'Stock In'!$B:$B,$A110,'Stock In'!$E:$E,"Received"))</f>
        <v/>
      </c>
      <c r="I110">
        <f>IF($A110="","",SUMIFS('Stock In'!$C:$C,'Stock In'!$B:$B,$A110,'Stock In'!$E:$E,"Incoming"))</f>
        <v/>
      </c>
      <c r="J110">
        <f>IF($A110="","",SUMIFS(Sales!$C:$C,Sales!$B:$B,$A110))</f>
        <v/>
      </c>
      <c r="K110">
        <f>IF($A110="","",MAX(0,N($F110)+N($H110)-N($J110)))</f>
        <v/>
      </c>
      <c r="L110" s="6">
        <f>IF($A110="","",$K110*N($D110))</f>
        <v/>
      </c>
      <c r="M110">
        <f>IF($A110="","",IF($K110&lt;=0,"OUT OF STOCK",IF($K110&lt;=N($G110),IF(N($I110)&gt;0,"LOW - ON ORDER","REORDER NOW"),"OK")))</f>
        <v/>
      </c>
      <c r="N110">
        <f>IF($A110="","",SUMIFS(Sales!$C:$C,Sales!$B:$B,$A110,Sales!$A:$A,"&gt;="&amp;(TODAY()-30)))</f>
        <v/>
      </c>
      <c r="O110">
        <f>IF($A110="","",IF(N($N110)=0,"no recent sales",MAX(0,ROUND($K110/($N110/30),0))))</f>
        <v/>
      </c>
    </row>
    <row r="111">
      <c r="A111" s="4" t="n"/>
      <c r="B111" s="4" t="n"/>
      <c r="C111" s="4" t="n"/>
      <c r="D111" s="5" t="n"/>
      <c r="E111" s="5" t="n"/>
      <c r="F111" s="4" t="n"/>
      <c r="G111" s="4" t="n"/>
      <c r="H111">
        <f>IF($A111="","",SUMIFS('Stock In'!$C:$C,'Stock In'!$B:$B,$A111,'Stock In'!$E:$E,"Received"))</f>
        <v/>
      </c>
      <c r="I111">
        <f>IF($A111="","",SUMIFS('Stock In'!$C:$C,'Stock In'!$B:$B,$A111,'Stock In'!$E:$E,"Incoming"))</f>
        <v/>
      </c>
      <c r="J111">
        <f>IF($A111="","",SUMIFS(Sales!$C:$C,Sales!$B:$B,$A111))</f>
        <v/>
      </c>
      <c r="K111">
        <f>IF($A111="","",MAX(0,N($F111)+N($H111)-N($J111)))</f>
        <v/>
      </c>
      <c r="L111" s="6">
        <f>IF($A111="","",$K111*N($D111))</f>
        <v/>
      </c>
      <c r="M111">
        <f>IF($A111="","",IF($K111&lt;=0,"OUT OF STOCK",IF($K111&lt;=N($G111),IF(N($I111)&gt;0,"LOW - ON ORDER","REORDER NOW"),"OK")))</f>
        <v/>
      </c>
      <c r="N111">
        <f>IF($A111="","",SUMIFS(Sales!$C:$C,Sales!$B:$B,$A111,Sales!$A:$A,"&gt;="&amp;(TODAY()-30)))</f>
        <v/>
      </c>
      <c r="O111">
        <f>IF($A111="","",IF(N($N111)=0,"no recent sales",MAX(0,ROUND($K111/($N111/30),0))))</f>
        <v/>
      </c>
    </row>
    <row r="112">
      <c r="A112" s="4" t="n"/>
      <c r="B112" s="4" t="n"/>
      <c r="C112" s="4" t="n"/>
      <c r="D112" s="5" t="n"/>
      <c r="E112" s="5" t="n"/>
      <c r="F112" s="4" t="n"/>
      <c r="G112" s="4" t="n"/>
      <c r="H112">
        <f>IF($A112="","",SUMIFS('Stock In'!$C:$C,'Stock In'!$B:$B,$A112,'Stock In'!$E:$E,"Received"))</f>
        <v/>
      </c>
      <c r="I112">
        <f>IF($A112="","",SUMIFS('Stock In'!$C:$C,'Stock In'!$B:$B,$A112,'Stock In'!$E:$E,"Incoming"))</f>
        <v/>
      </c>
      <c r="J112">
        <f>IF($A112="","",SUMIFS(Sales!$C:$C,Sales!$B:$B,$A112))</f>
        <v/>
      </c>
      <c r="K112">
        <f>IF($A112="","",MAX(0,N($F112)+N($H112)-N($J112)))</f>
        <v/>
      </c>
      <c r="L112" s="6">
        <f>IF($A112="","",$K112*N($D112))</f>
        <v/>
      </c>
      <c r="M112">
        <f>IF($A112="","",IF($K112&lt;=0,"OUT OF STOCK",IF($K112&lt;=N($G112),IF(N($I112)&gt;0,"LOW - ON ORDER","REORDER NOW"),"OK")))</f>
        <v/>
      </c>
      <c r="N112">
        <f>IF($A112="","",SUMIFS(Sales!$C:$C,Sales!$B:$B,$A112,Sales!$A:$A,"&gt;="&amp;(TODAY()-30)))</f>
        <v/>
      </c>
      <c r="O112">
        <f>IF($A112="","",IF(N($N112)=0,"no recent sales",MAX(0,ROUND($K112/($N112/30),0))))</f>
        <v/>
      </c>
    </row>
    <row r="113">
      <c r="A113" s="4" t="n"/>
      <c r="B113" s="4" t="n"/>
      <c r="C113" s="4" t="n"/>
      <c r="D113" s="5" t="n"/>
      <c r="E113" s="5" t="n"/>
      <c r="F113" s="4" t="n"/>
      <c r="G113" s="4" t="n"/>
      <c r="H113">
        <f>IF($A113="","",SUMIFS('Stock In'!$C:$C,'Stock In'!$B:$B,$A113,'Stock In'!$E:$E,"Received"))</f>
        <v/>
      </c>
      <c r="I113">
        <f>IF($A113="","",SUMIFS('Stock In'!$C:$C,'Stock In'!$B:$B,$A113,'Stock In'!$E:$E,"Incoming"))</f>
        <v/>
      </c>
      <c r="J113">
        <f>IF($A113="","",SUMIFS(Sales!$C:$C,Sales!$B:$B,$A113))</f>
        <v/>
      </c>
      <c r="K113">
        <f>IF($A113="","",MAX(0,N($F113)+N($H113)-N($J113)))</f>
        <v/>
      </c>
      <c r="L113" s="6">
        <f>IF($A113="","",$K113*N($D113))</f>
        <v/>
      </c>
      <c r="M113">
        <f>IF($A113="","",IF($K113&lt;=0,"OUT OF STOCK",IF($K113&lt;=N($G113),IF(N($I113)&gt;0,"LOW - ON ORDER","REORDER NOW"),"OK")))</f>
        <v/>
      </c>
      <c r="N113">
        <f>IF($A113="","",SUMIFS(Sales!$C:$C,Sales!$B:$B,$A113,Sales!$A:$A,"&gt;="&amp;(TODAY()-30)))</f>
        <v/>
      </c>
      <c r="O113">
        <f>IF($A113="","",IF(N($N113)=0,"no recent sales",MAX(0,ROUND($K113/($N113/30),0))))</f>
        <v/>
      </c>
    </row>
    <row r="114">
      <c r="A114" s="4" t="n"/>
      <c r="B114" s="4" t="n"/>
      <c r="C114" s="4" t="n"/>
      <c r="D114" s="5" t="n"/>
      <c r="E114" s="5" t="n"/>
      <c r="F114" s="4" t="n"/>
      <c r="G114" s="4" t="n"/>
      <c r="H114">
        <f>IF($A114="","",SUMIFS('Stock In'!$C:$C,'Stock In'!$B:$B,$A114,'Stock In'!$E:$E,"Received"))</f>
        <v/>
      </c>
      <c r="I114">
        <f>IF($A114="","",SUMIFS('Stock In'!$C:$C,'Stock In'!$B:$B,$A114,'Stock In'!$E:$E,"Incoming"))</f>
        <v/>
      </c>
      <c r="J114">
        <f>IF($A114="","",SUMIFS(Sales!$C:$C,Sales!$B:$B,$A114))</f>
        <v/>
      </c>
      <c r="K114">
        <f>IF($A114="","",MAX(0,N($F114)+N($H114)-N($J114)))</f>
        <v/>
      </c>
      <c r="L114" s="6">
        <f>IF($A114="","",$K114*N($D114))</f>
        <v/>
      </c>
      <c r="M114">
        <f>IF($A114="","",IF($K114&lt;=0,"OUT OF STOCK",IF($K114&lt;=N($G114),IF(N($I114)&gt;0,"LOW - ON ORDER","REORDER NOW"),"OK")))</f>
        <v/>
      </c>
      <c r="N114">
        <f>IF($A114="","",SUMIFS(Sales!$C:$C,Sales!$B:$B,$A114,Sales!$A:$A,"&gt;="&amp;(TODAY()-30)))</f>
        <v/>
      </c>
      <c r="O114">
        <f>IF($A114="","",IF(N($N114)=0,"no recent sales",MAX(0,ROUND($K114/($N114/30),0))))</f>
        <v/>
      </c>
    </row>
    <row r="115">
      <c r="A115" s="4" t="n"/>
      <c r="B115" s="4" t="n"/>
      <c r="C115" s="4" t="n"/>
      <c r="D115" s="5" t="n"/>
      <c r="E115" s="5" t="n"/>
      <c r="F115" s="4" t="n"/>
      <c r="G115" s="4" t="n"/>
      <c r="H115">
        <f>IF($A115="","",SUMIFS('Stock In'!$C:$C,'Stock In'!$B:$B,$A115,'Stock In'!$E:$E,"Received"))</f>
        <v/>
      </c>
      <c r="I115">
        <f>IF($A115="","",SUMIFS('Stock In'!$C:$C,'Stock In'!$B:$B,$A115,'Stock In'!$E:$E,"Incoming"))</f>
        <v/>
      </c>
      <c r="J115">
        <f>IF($A115="","",SUMIFS(Sales!$C:$C,Sales!$B:$B,$A115))</f>
        <v/>
      </c>
      <c r="K115">
        <f>IF($A115="","",MAX(0,N($F115)+N($H115)-N($J115)))</f>
        <v/>
      </c>
      <c r="L115" s="6">
        <f>IF($A115="","",$K115*N($D115))</f>
        <v/>
      </c>
      <c r="M115">
        <f>IF($A115="","",IF($K115&lt;=0,"OUT OF STOCK",IF($K115&lt;=N($G115),IF(N($I115)&gt;0,"LOW - ON ORDER","REORDER NOW"),"OK")))</f>
        <v/>
      </c>
      <c r="N115">
        <f>IF($A115="","",SUMIFS(Sales!$C:$C,Sales!$B:$B,$A115,Sales!$A:$A,"&gt;="&amp;(TODAY()-30)))</f>
        <v/>
      </c>
      <c r="O115">
        <f>IF($A115="","",IF(N($N115)=0,"no recent sales",MAX(0,ROUND($K115/($N115/30),0))))</f>
        <v/>
      </c>
    </row>
    <row r="116">
      <c r="A116" s="4" t="n"/>
      <c r="B116" s="4" t="n"/>
      <c r="C116" s="4" t="n"/>
      <c r="D116" s="5" t="n"/>
      <c r="E116" s="5" t="n"/>
      <c r="F116" s="4" t="n"/>
      <c r="G116" s="4" t="n"/>
      <c r="H116">
        <f>IF($A116="","",SUMIFS('Stock In'!$C:$C,'Stock In'!$B:$B,$A116,'Stock In'!$E:$E,"Received"))</f>
        <v/>
      </c>
      <c r="I116">
        <f>IF($A116="","",SUMIFS('Stock In'!$C:$C,'Stock In'!$B:$B,$A116,'Stock In'!$E:$E,"Incoming"))</f>
        <v/>
      </c>
      <c r="J116">
        <f>IF($A116="","",SUMIFS(Sales!$C:$C,Sales!$B:$B,$A116))</f>
        <v/>
      </c>
      <c r="K116">
        <f>IF($A116="","",MAX(0,N($F116)+N($H116)-N($J116)))</f>
        <v/>
      </c>
      <c r="L116" s="6">
        <f>IF($A116="","",$K116*N($D116))</f>
        <v/>
      </c>
      <c r="M116">
        <f>IF($A116="","",IF($K116&lt;=0,"OUT OF STOCK",IF($K116&lt;=N($G116),IF(N($I116)&gt;0,"LOW - ON ORDER","REORDER NOW"),"OK")))</f>
        <v/>
      </c>
      <c r="N116">
        <f>IF($A116="","",SUMIFS(Sales!$C:$C,Sales!$B:$B,$A116,Sales!$A:$A,"&gt;="&amp;(TODAY()-30)))</f>
        <v/>
      </c>
      <c r="O116">
        <f>IF($A116="","",IF(N($N116)=0,"no recent sales",MAX(0,ROUND($K116/($N116/30),0))))</f>
        <v/>
      </c>
    </row>
    <row r="117">
      <c r="A117" s="4" t="n"/>
      <c r="B117" s="4" t="n"/>
      <c r="C117" s="4" t="n"/>
      <c r="D117" s="5" t="n"/>
      <c r="E117" s="5" t="n"/>
      <c r="F117" s="4" t="n"/>
      <c r="G117" s="4" t="n"/>
      <c r="H117">
        <f>IF($A117="","",SUMIFS('Stock In'!$C:$C,'Stock In'!$B:$B,$A117,'Stock In'!$E:$E,"Received"))</f>
        <v/>
      </c>
      <c r="I117">
        <f>IF($A117="","",SUMIFS('Stock In'!$C:$C,'Stock In'!$B:$B,$A117,'Stock In'!$E:$E,"Incoming"))</f>
        <v/>
      </c>
      <c r="J117">
        <f>IF($A117="","",SUMIFS(Sales!$C:$C,Sales!$B:$B,$A117))</f>
        <v/>
      </c>
      <c r="K117">
        <f>IF($A117="","",MAX(0,N($F117)+N($H117)-N($J117)))</f>
        <v/>
      </c>
      <c r="L117" s="6">
        <f>IF($A117="","",$K117*N($D117))</f>
        <v/>
      </c>
      <c r="M117">
        <f>IF($A117="","",IF($K117&lt;=0,"OUT OF STOCK",IF($K117&lt;=N($G117),IF(N($I117)&gt;0,"LOW - ON ORDER","REORDER NOW"),"OK")))</f>
        <v/>
      </c>
      <c r="N117">
        <f>IF($A117="","",SUMIFS(Sales!$C:$C,Sales!$B:$B,$A117,Sales!$A:$A,"&gt;="&amp;(TODAY()-30)))</f>
        <v/>
      </c>
      <c r="O117">
        <f>IF($A117="","",IF(N($N117)=0,"no recent sales",MAX(0,ROUND($K117/($N117/30),0))))</f>
        <v/>
      </c>
    </row>
    <row r="118">
      <c r="A118" s="4" t="n"/>
      <c r="B118" s="4" t="n"/>
      <c r="C118" s="4" t="n"/>
      <c r="D118" s="5" t="n"/>
      <c r="E118" s="5" t="n"/>
      <c r="F118" s="4" t="n"/>
      <c r="G118" s="4" t="n"/>
      <c r="H118">
        <f>IF($A118="","",SUMIFS('Stock In'!$C:$C,'Stock In'!$B:$B,$A118,'Stock In'!$E:$E,"Received"))</f>
        <v/>
      </c>
      <c r="I118">
        <f>IF($A118="","",SUMIFS('Stock In'!$C:$C,'Stock In'!$B:$B,$A118,'Stock In'!$E:$E,"Incoming"))</f>
        <v/>
      </c>
      <c r="J118">
        <f>IF($A118="","",SUMIFS(Sales!$C:$C,Sales!$B:$B,$A118))</f>
        <v/>
      </c>
      <c r="K118">
        <f>IF($A118="","",MAX(0,N($F118)+N($H118)-N($J118)))</f>
        <v/>
      </c>
      <c r="L118" s="6">
        <f>IF($A118="","",$K118*N($D118))</f>
        <v/>
      </c>
      <c r="M118">
        <f>IF($A118="","",IF($K118&lt;=0,"OUT OF STOCK",IF($K118&lt;=N($G118),IF(N($I118)&gt;0,"LOW - ON ORDER","REORDER NOW"),"OK")))</f>
        <v/>
      </c>
      <c r="N118">
        <f>IF($A118="","",SUMIFS(Sales!$C:$C,Sales!$B:$B,$A118,Sales!$A:$A,"&gt;="&amp;(TODAY()-30)))</f>
        <v/>
      </c>
      <c r="O118">
        <f>IF($A118="","",IF(N($N118)=0,"no recent sales",MAX(0,ROUND($K118/($N118/30),0))))</f>
        <v/>
      </c>
    </row>
    <row r="119">
      <c r="A119" s="4" t="n"/>
      <c r="B119" s="4" t="n"/>
      <c r="C119" s="4" t="n"/>
      <c r="D119" s="5" t="n"/>
      <c r="E119" s="5" t="n"/>
      <c r="F119" s="4" t="n"/>
      <c r="G119" s="4" t="n"/>
      <c r="H119">
        <f>IF($A119="","",SUMIFS('Stock In'!$C:$C,'Stock In'!$B:$B,$A119,'Stock In'!$E:$E,"Received"))</f>
        <v/>
      </c>
      <c r="I119">
        <f>IF($A119="","",SUMIFS('Stock In'!$C:$C,'Stock In'!$B:$B,$A119,'Stock In'!$E:$E,"Incoming"))</f>
        <v/>
      </c>
      <c r="J119">
        <f>IF($A119="","",SUMIFS(Sales!$C:$C,Sales!$B:$B,$A119))</f>
        <v/>
      </c>
      <c r="K119">
        <f>IF($A119="","",MAX(0,N($F119)+N($H119)-N($J119)))</f>
        <v/>
      </c>
      <c r="L119" s="6">
        <f>IF($A119="","",$K119*N($D119))</f>
        <v/>
      </c>
      <c r="M119">
        <f>IF($A119="","",IF($K119&lt;=0,"OUT OF STOCK",IF($K119&lt;=N($G119),IF(N($I119)&gt;0,"LOW - ON ORDER","REORDER NOW"),"OK")))</f>
        <v/>
      </c>
      <c r="N119">
        <f>IF($A119="","",SUMIFS(Sales!$C:$C,Sales!$B:$B,$A119,Sales!$A:$A,"&gt;="&amp;(TODAY()-30)))</f>
        <v/>
      </c>
      <c r="O119">
        <f>IF($A119="","",IF(N($N119)=0,"no recent sales",MAX(0,ROUND($K119/($N119/30),0))))</f>
        <v/>
      </c>
    </row>
    <row r="120">
      <c r="A120" s="4" t="n"/>
      <c r="B120" s="4" t="n"/>
      <c r="C120" s="4" t="n"/>
      <c r="D120" s="5" t="n"/>
      <c r="E120" s="5" t="n"/>
      <c r="F120" s="4" t="n"/>
      <c r="G120" s="4" t="n"/>
      <c r="H120">
        <f>IF($A120="","",SUMIFS('Stock In'!$C:$C,'Stock In'!$B:$B,$A120,'Stock In'!$E:$E,"Received"))</f>
        <v/>
      </c>
      <c r="I120">
        <f>IF($A120="","",SUMIFS('Stock In'!$C:$C,'Stock In'!$B:$B,$A120,'Stock In'!$E:$E,"Incoming"))</f>
        <v/>
      </c>
      <c r="J120">
        <f>IF($A120="","",SUMIFS(Sales!$C:$C,Sales!$B:$B,$A120))</f>
        <v/>
      </c>
      <c r="K120">
        <f>IF($A120="","",MAX(0,N($F120)+N($H120)-N($J120)))</f>
        <v/>
      </c>
      <c r="L120" s="6">
        <f>IF($A120="","",$K120*N($D120))</f>
        <v/>
      </c>
      <c r="M120">
        <f>IF($A120="","",IF($K120&lt;=0,"OUT OF STOCK",IF($K120&lt;=N($G120),IF(N($I120)&gt;0,"LOW - ON ORDER","REORDER NOW"),"OK")))</f>
        <v/>
      </c>
      <c r="N120">
        <f>IF($A120="","",SUMIFS(Sales!$C:$C,Sales!$B:$B,$A120,Sales!$A:$A,"&gt;="&amp;(TODAY()-30)))</f>
        <v/>
      </c>
      <c r="O120">
        <f>IF($A120="","",IF(N($N120)=0,"no recent sales",MAX(0,ROUND($K120/($N120/30),0))))</f>
        <v/>
      </c>
    </row>
    <row r="121">
      <c r="A121" s="4" t="n"/>
      <c r="B121" s="4" t="n"/>
      <c r="C121" s="4" t="n"/>
      <c r="D121" s="5" t="n"/>
      <c r="E121" s="5" t="n"/>
      <c r="F121" s="4" t="n"/>
      <c r="G121" s="4" t="n"/>
      <c r="H121">
        <f>IF($A121="","",SUMIFS('Stock In'!$C:$C,'Stock In'!$B:$B,$A121,'Stock In'!$E:$E,"Received"))</f>
        <v/>
      </c>
      <c r="I121">
        <f>IF($A121="","",SUMIFS('Stock In'!$C:$C,'Stock In'!$B:$B,$A121,'Stock In'!$E:$E,"Incoming"))</f>
        <v/>
      </c>
      <c r="J121">
        <f>IF($A121="","",SUMIFS(Sales!$C:$C,Sales!$B:$B,$A121))</f>
        <v/>
      </c>
      <c r="K121">
        <f>IF($A121="","",MAX(0,N($F121)+N($H121)-N($J121)))</f>
        <v/>
      </c>
      <c r="L121" s="6">
        <f>IF($A121="","",$K121*N($D121))</f>
        <v/>
      </c>
      <c r="M121">
        <f>IF($A121="","",IF($K121&lt;=0,"OUT OF STOCK",IF($K121&lt;=N($G121),IF(N($I121)&gt;0,"LOW - ON ORDER","REORDER NOW"),"OK")))</f>
        <v/>
      </c>
      <c r="N121">
        <f>IF($A121="","",SUMIFS(Sales!$C:$C,Sales!$B:$B,$A121,Sales!$A:$A,"&gt;="&amp;(TODAY()-30)))</f>
        <v/>
      </c>
      <c r="O121">
        <f>IF($A121="","",IF(N($N121)=0,"no recent sales",MAX(0,ROUND($K121/($N121/30),0))))</f>
        <v/>
      </c>
    </row>
    <row r="122">
      <c r="A122" s="4" t="n"/>
      <c r="B122" s="4" t="n"/>
      <c r="C122" s="4" t="n"/>
      <c r="D122" s="5" t="n"/>
      <c r="E122" s="5" t="n"/>
      <c r="F122" s="4" t="n"/>
      <c r="G122" s="4" t="n"/>
      <c r="H122">
        <f>IF($A122="","",SUMIFS('Stock In'!$C:$C,'Stock In'!$B:$B,$A122,'Stock In'!$E:$E,"Received"))</f>
        <v/>
      </c>
      <c r="I122">
        <f>IF($A122="","",SUMIFS('Stock In'!$C:$C,'Stock In'!$B:$B,$A122,'Stock In'!$E:$E,"Incoming"))</f>
        <v/>
      </c>
      <c r="J122">
        <f>IF($A122="","",SUMIFS(Sales!$C:$C,Sales!$B:$B,$A122))</f>
        <v/>
      </c>
      <c r="K122">
        <f>IF($A122="","",MAX(0,N($F122)+N($H122)-N($J122)))</f>
        <v/>
      </c>
      <c r="L122" s="6">
        <f>IF($A122="","",$K122*N($D122))</f>
        <v/>
      </c>
      <c r="M122">
        <f>IF($A122="","",IF($K122&lt;=0,"OUT OF STOCK",IF($K122&lt;=N($G122),IF(N($I122)&gt;0,"LOW - ON ORDER","REORDER NOW"),"OK")))</f>
        <v/>
      </c>
      <c r="N122">
        <f>IF($A122="","",SUMIFS(Sales!$C:$C,Sales!$B:$B,$A122,Sales!$A:$A,"&gt;="&amp;(TODAY()-30)))</f>
        <v/>
      </c>
      <c r="O122">
        <f>IF($A122="","",IF(N($N122)=0,"no recent sales",MAX(0,ROUND($K122/($N122/30),0))))</f>
        <v/>
      </c>
    </row>
    <row r="123">
      <c r="A123" s="4" t="n"/>
      <c r="B123" s="4" t="n"/>
      <c r="C123" s="4" t="n"/>
      <c r="D123" s="5" t="n"/>
      <c r="E123" s="5" t="n"/>
      <c r="F123" s="4" t="n"/>
      <c r="G123" s="4" t="n"/>
      <c r="H123">
        <f>IF($A123="","",SUMIFS('Stock In'!$C:$C,'Stock In'!$B:$B,$A123,'Stock In'!$E:$E,"Received"))</f>
        <v/>
      </c>
      <c r="I123">
        <f>IF($A123="","",SUMIFS('Stock In'!$C:$C,'Stock In'!$B:$B,$A123,'Stock In'!$E:$E,"Incoming"))</f>
        <v/>
      </c>
      <c r="J123">
        <f>IF($A123="","",SUMIFS(Sales!$C:$C,Sales!$B:$B,$A123))</f>
        <v/>
      </c>
      <c r="K123">
        <f>IF($A123="","",MAX(0,N($F123)+N($H123)-N($J123)))</f>
        <v/>
      </c>
      <c r="L123" s="6">
        <f>IF($A123="","",$K123*N($D123))</f>
        <v/>
      </c>
      <c r="M123">
        <f>IF($A123="","",IF($K123&lt;=0,"OUT OF STOCK",IF($K123&lt;=N($G123),IF(N($I123)&gt;0,"LOW - ON ORDER","REORDER NOW"),"OK")))</f>
        <v/>
      </c>
      <c r="N123">
        <f>IF($A123="","",SUMIFS(Sales!$C:$C,Sales!$B:$B,$A123,Sales!$A:$A,"&gt;="&amp;(TODAY()-30)))</f>
        <v/>
      </c>
      <c r="O123">
        <f>IF($A123="","",IF(N($N123)=0,"no recent sales",MAX(0,ROUND($K123/($N123/30),0))))</f>
        <v/>
      </c>
    </row>
    <row r="124">
      <c r="A124" s="4" t="n"/>
      <c r="B124" s="4" t="n"/>
      <c r="C124" s="4" t="n"/>
      <c r="D124" s="5" t="n"/>
      <c r="E124" s="5" t="n"/>
      <c r="F124" s="4" t="n"/>
      <c r="G124" s="4" t="n"/>
      <c r="H124">
        <f>IF($A124="","",SUMIFS('Stock In'!$C:$C,'Stock In'!$B:$B,$A124,'Stock In'!$E:$E,"Received"))</f>
        <v/>
      </c>
      <c r="I124">
        <f>IF($A124="","",SUMIFS('Stock In'!$C:$C,'Stock In'!$B:$B,$A124,'Stock In'!$E:$E,"Incoming"))</f>
        <v/>
      </c>
      <c r="J124">
        <f>IF($A124="","",SUMIFS(Sales!$C:$C,Sales!$B:$B,$A124))</f>
        <v/>
      </c>
      <c r="K124">
        <f>IF($A124="","",MAX(0,N($F124)+N($H124)-N($J124)))</f>
        <v/>
      </c>
      <c r="L124" s="6">
        <f>IF($A124="","",$K124*N($D124))</f>
        <v/>
      </c>
      <c r="M124">
        <f>IF($A124="","",IF($K124&lt;=0,"OUT OF STOCK",IF($K124&lt;=N($G124),IF(N($I124)&gt;0,"LOW - ON ORDER","REORDER NOW"),"OK")))</f>
        <v/>
      </c>
      <c r="N124">
        <f>IF($A124="","",SUMIFS(Sales!$C:$C,Sales!$B:$B,$A124,Sales!$A:$A,"&gt;="&amp;(TODAY()-30)))</f>
        <v/>
      </c>
      <c r="O124">
        <f>IF($A124="","",IF(N($N124)=0,"no recent sales",MAX(0,ROUND($K124/($N124/30),0))))</f>
        <v/>
      </c>
    </row>
    <row r="125">
      <c r="A125" s="4" t="n"/>
      <c r="B125" s="4" t="n"/>
      <c r="C125" s="4" t="n"/>
      <c r="D125" s="5" t="n"/>
      <c r="E125" s="5" t="n"/>
      <c r="F125" s="4" t="n"/>
      <c r="G125" s="4" t="n"/>
      <c r="H125">
        <f>IF($A125="","",SUMIFS('Stock In'!$C:$C,'Stock In'!$B:$B,$A125,'Stock In'!$E:$E,"Received"))</f>
        <v/>
      </c>
      <c r="I125">
        <f>IF($A125="","",SUMIFS('Stock In'!$C:$C,'Stock In'!$B:$B,$A125,'Stock In'!$E:$E,"Incoming"))</f>
        <v/>
      </c>
      <c r="J125">
        <f>IF($A125="","",SUMIFS(Sales!$C:$C,Sales!$B:$B,$A125))</f>
        <v/>
      </c>
      <c r="K125">
        <f>IF($A125="","",MAX(0,N($F125)+N($H125)-N($J125)))</f>
        <v/>
      </c>
      <c r="L125" s="6">
        <f>IF($A125="","",$K125*N($D125))</f>
        <v/>
      </c>
      <c r="M125">
        <f>IF($A125="","",IF($K125&lt;=0,"OUT OF STOCK",IF($K125&lt;=N($G125),IF(N($I125)&gt;0,"LOW - ON ORDER","REORDER NOW"),"OK")))</f>
        <v/>
      </c>
      <c r="N125">
        <f>IF($A125="","",SUMIFS(Sales!$C:$C,Sales!$B:$B,$A125,Sales!$A:$A,"&gt;="&amp;(TODAY()-30)))</f>
        <v/>
      </c>
      <c r="O125">
        <f>IF($A125="","",IF(N($N125)=0,"no recent sales",MAX(0,ROUND($K125/($N125/30),0))))</f>
        <v/>
      </c>
    </row>
    <row r="126">
      <c r="A126" s="4" t="n"/>
      <c r="B126" s="4" t="n"/>
      <c r="C126" s="4" t="n"/>
      <c r="D126" s="5" t="n"/>
      <c r="E126" s="5" t="n"/>
      <c r="F126" s="4" t="n"/>
      <c r="G126" s="4" t="n"/>
      <c r="H126">
        <f>IF($A126="","",SUMIFS('Stock In'!$C:$C,'Stock In'!$B:$B,$A126,'Stock In'!$E:$E,"Received"))</f>
        <v/>
      </c>
      <c r="I126">
        <f>IF($A126="","",SUMIFS('Stock In'!$C:$C,'Stock In'!$B:$B,$A126,'Stock In'!$E:$E,"Incoming"))</f>
        <v/>
      </c>
      <c r="J126">
        <f>IF($A126="","",SUMIFS(Sales!$C:$C,Sales!$B:$B,$A126))</f>
        <v/>
      </c>
      <c r="K126">
        <f>IF($A126="","",MAX(0,N($F126)+N($H126)-N($J126)))</f>
        <v/>
      </c>
      <c r="L126" s="6">
        <f>IF($A126="","",$K126*N($D126))</f>
        <v/>
      </c>
      <c r="M126">
        <f>IF($A126="","",IF($K126&lt;=0,"OUT OF STOCK",IF($K126&lt;=N($G126),IF(N($I126)&gt;0,"LOW - ON ORDER","REORDER NOW"),"OK")))</f>
        <v/>
      </c>
      <c r="N126">
        <f>IF($A126="","",SUMIFS(Sales!$C:$C,Sales!$B:$B,$A126,Sales!$A:$A,"&gt;="&amp;(TODAY()-30)))</f>
        <v/>
      </c>
      <c r="O126">
        <f>IF($A126="","",IF(N($N126)=0,"no recent sales",MAX(0,ROUND($K126/($N126/30),0))))</f>
        <v/>
      </c>
    </row>
    <row r="127">
      <c r="A127" s="4" t="n"/>
      <c r="B127" s="4" t="n"/>
      <c r="C127" s="4" t="n"/>
      <c r="D127" s="5" t="n"/>
      <c r="E127" s="5" t="n"/>
      <c r="F127" s="4" t="n"/>
      <c r="G127" s="4" t="n"/>
      <c r="H127">
        <f>IF($A127="","",SUMIFS('Stock In'!$C:$C,'Stock In'!$B:$B,$A127,'Stock In'!$E:$E,"Received"))</f>
        <v/>
      </c>
      <c r="I127">
        <f>IF($A127="","",SUMIFS('Stock In'!$C:$C,'Stock In'!$B:$B,$A127,'Stock In'!$E:$E,"Incoming"))</f>
        <v/>
      </c>
      <c r="J127">
        <f>IF($A127="","",SUMIFS(Sales!$C:$C,Sales!$B:$B,$A127))</f>
        <v/>
      </c>
      <c r="K127">
        <f>IF($A127="","",MAX(0,N($F127)+N($H127)-N($J127)))</f>
        <v/>
      </c>
      <c r="L127" s="6">
        <f>IF($A127="","",$K127*N($D127))</f>
        <v/>
      </c>
      <c r="M127">
        <f>IF($A127="","",IF($K127&lt;=0,"OUT OF STOCK",IF($K127&lt;=N($G127),IF(N($I127)&gt;0,"LOW - ON ORDER","REORDER NOW"),"OK")))</f>
        <v/>
      </c>
      <c r="N127">
        <f>IF($A127="","",SUMIFS(Sales!$C:$C,Sales!$B:$B,$A127,Sales!$A:$A,"&gt;="&amp;(TODAY()-30)))</f>
        <v/>
      </c>
      <c r="O127">
        <f>IF($A127="","",IF(N($N127)=0,"no recent sales",MAX(0,ROUND($K127/($N127/30),0))))</f>
        <v/>
      </c>
    </row>
    <row r="128">
      <c r="A128" s="4" t="n"/>
      <c r="B128" s="4" t="n"/>
      <c r="C128" s="4" t="n"/>
      <c r="D128" s="5" t="n"/>
      <c r="E128" s="5" t="n"/>
      <c r="F128" s="4" t="n"/>
      <c r="G128" s="4" t="n"/>
      <c r="H128">
        <f>IF($A128="","",SUMIFS('Stock In'!$C:$C,'Stock In'!$B:$B,$A128,'Stock In'!$E:$E,"Received"))</f>
        <v/>
      </c>
      <c r="I128">
        <f>IF($A128="","",SUMIFS('Stock In'!$C:$C,'Stock In'!$B:$B,$A128,'Stock In'!$E:$E,"Incoming"))</f>
        <v/>
      </c>
      <c r="J128">
        <f>IF($A128="","",SUMIFS(Sales!$C:$C,Sales!$B:$B,$A128))</f>
        <v/>
      </c>
      <c r="K128">
        <f>IF($A128="","",MAX(0,N($F128)+N($H128)-N($J128)))</f>
        <v/>
      </c>
      <c r="L128" s="6">
        <f>IF($A128="","",$K128*N($D128))</f>
        <v/>
      </c>
      <c r="M128">
        <f>IF($A128="","",IF($K128&lt;=0,"OUT OF STOCK",IF($K128&lt;=N($G128),IF(N($I128)&gt;0,"LOW - ON ORDER","REORDER NOW"),"OK")))</f>
        <v/>
      </c>
      <c r="N128">
        <f>IF($A128="","",SUMIFS(Sales!$C:$C,Sales!$B:$B,$A128,Sales!$A:$A,"&gt;="&amp;(TODAY()-30)))</f>
        <v/>
      </c>
      <c r="O128">
        <f>IF($A128="","",IF(N($N128)=0,"no recent sales",MAX(0,ROUND($K128/($N128/30),0))))</f>
        <v/>
      </c>
    </row>
    <row r="129">
      <c r="A129" s="4" t="n"/>
      <c r="B129" s="4" t="n"/>
      <c r="C129" s="4" t="n"/>
      <c r="D129" s="5" t="n"/>
      <c r="E129" s="5" t="n"/>
      <c r="F129" s="4" t="n"/>
      <c r="G129" s="4" t="n"/>
      <c r="H129">
        <f>IF($A129="","",SUMIFS('Stock In'!$C:$C,'Stock In'!$B:$B,$A129,'Stock In'!$E:$E,"Received"))</f>
        <v/>
      </c>
      <c r="I129">
        <f>IF($A129="","",SUMIFS('Stock In'!$C:$C,'Stock In'!$B:$B,$A129,'Stock In'!$E:$E,"Incoming"))</f>
        <v/>
      </c>
      <c r="J129">
        <f>IF($A129="","",SUMIFS(Sales!$C:$C,Sales!$B:$B,$A129))</f>
        <v/>
      </c>
      <c r="K129">
        <f>IF($A129="","",MAX(0,N($F129)+N($H129)-N($J129)))</f>
        <v/>
      </c>
      <c r="L129" s="6">
        <f>IF($A129="","",$K129*N($D129))</f>
        <v/>
      </c>
      <c r="M129">
        <f>IF($A129="","",IF($K129&lt;=0,"OUT OF STOCK",IF($K129&lt;=N($G129),IF(N($I129)&gt;0,"LOW - ON ORDER","REORDER NOW"),"OK")))</f>
        <v/>
      </c>
      <c r="N129">
        <f>IF($A129="","",SUMIFS(Sales!$C:$C,Sales!$B:$B,$A129,Sales!$A:$A,"&gt;="&amp;(TODAY()-30)))</f>
        <v/>
      </c>
      <c r="O129">
        <f>IF($A129="","",IF(N($N129)=0,"no recent sales",MAX(0,ROUND($K129/($N129/30),0))))</f>
        <v/>
      </c>
    </row>
    <row r="130">
      <c r="A130" s="4" t="n"/>
      <c r="B130" s="4" t="n"/>
      <c r="C130" s="4" t="n"/>
      <c r="D130" s="5" t="n"/>
      <c r="E130" s="5" t="n"/>
      <c r="F130" s="4" t="n"/>
      <c r="G130" s="4" t="n"/>
      <c r="H130">
        <f>IF($A130="","",SUMIFS('Stock In'!$C:$C,'Stock In'!$B:$B,$A130,'Stock In'!$E:$E,"Received"))</f>
        <v/>
      </c>
      <c r="I130">
        <f>IF($A130="","",SUMIFS('Stock In'!$C:$C,'Stock In'!$B:$B,$A130,'Stock In'!$E:$E,"Incoming"))</f>
        <v/>
      </c>
      <c r="J130">
        <f>IF($A130="","",SUMIFS(Sales!$C:$C,Sales!$B:$B,$A130))</f>
        <v/>
      </c>
      <c r="K130">
        <f>IF($A130="","",MAX(0,N($F130)+N($H130)-N($J130)))</f>
        <v/>
      </c>
      <c r="L130" s="6">
        <f>IF($A130="","",$K130*N($D130))</f>
        <v/>
      </c>
      <c r="M130">
        <f>IF($A130="","",IF($K130&lt;=0,"OUT OF STOCK",IF($K130&lt;=N($G130),IF(N($I130)&gt;0,"LOW - ON ORDER","REORDER NOW"),"OK")))</f>
        <v/>
      </c>
      <c r="N130">
        <f>IF($A130="","",SUMIFS(Sales!$C:$C,Sales!$B:$B,$A130,Sales!$A:$A,"&gt;="&amp;(TODAY()-30)))</f>
        <v/>
      </c>
      <c r="O130">
        <f>IF($A130="","",IF(N($N130)=0,"no recent sales",MAX(0,ROUND($K130/($N130/30),0))))</f>
        <v/>
      </c>
    </row>
    <row r="131">
      <c r="A131" s="4" t="n"/>
      <c r="B131" s="4" t="n"/>
      <c r="C131" s="4" t="n"/>
      <c r="D131" s="5" t="n"/>
      <c r="E131" s="5" t="n"/>
      <c r="F131" s="4" t="n"/>
      <c r="G131" s="4" t="n"/>
      <c r="H131">
        <f>IF($A131="","",SUMIFS('Stock In'!$C:$C,'Stock In'!$B:$B,$A131,'Stock In'!$E:$E,"Received"))</f>
        <v/>
      </c>
      <c r="I131">
        <f>IF($A131="","",SUMIFS('Stock In'!$C:$C,'Stock In'!$B:$B,$A131,'Stock In'!$E:$E,"Incoming"))</f>
        <v/>
      </c>
      <c r="J131">
        <f>IF($A131="","",SUMIFS(Sales!$C:$C,Sales!$B:$B,$A131))</f>
        <v/>
      </c>
      <c r="K131">
        <f>IF($A131="","",MAX(0,N($F131)+N($H131)-N($J131)))</f>
        <v/>
      </c>
      <c r="L131" s="6">
        <f>IF($A131="","",$K131*N($D131))</f>
        <v/>
      </c>
      <c r="M131">
        <f>IF($A131="","",IF($K131&lt;=0,"OUT OF STOCK",IF($K131&lt;=N($G131),IF(N($I131)&gt;0,"LOW - ON ORDER","REORDER NOW"),"OK")))</f>
        <v/>
      </c>
      <c r="N131">
        <f>IF($A131="","",SUMIFS(Sales!$C:$C,Sales!$B:$B,$A131,Sales!$A:$A,"&gt;="&amp;(TODAY()-30)))</f>
        <v/>
      </c>
      <c r="O131">
        <f>IF($A131="","",IF(N($N131)=0,"no recent sales",MAX(0,ROUND($K131/($N131/30),0))))</f>
        <v/>
      </c>
    </row>
    <row r="132">
      <c r="A132" s="4" t="n"/>
      <c r="B132" s="4" t="n"/>
      <c r="C132" s="4" t="n"/>
      <c r="D132" s="5" t="n"/>
      <c r="E132" s="5" t="n"/>
      <c r="F132" s="4" t="n"/>
      <c r="G132" s="4" t="n"/>
      <c r="H132">
        <f>IF($A132="","",SUMIFS('Stock In'!$C:$C,'Stock In'!$B:$B,$A132,'Stock In'!$E:$E,"Received"))</f>
        <v/>
      </c>
      <c r="I132">
        <f>IF($A132="","",SUMIFS('Stock In'!$C:$C,'Stock In'!$B:$B,$A132,'Stock In'!$E:$E,"Incoming"))</f>
        <v/>
      </c>
      <c r="J132">
        <f>IF($A132="","",SUMIFS(Sales!$C:$C,Sales!$B:$B,$A132))</f>
        <v/>
      </c>
      <c r="K132">
        <f>IF($A132="","",MAX(0,N($F132)+N($H132)-N($J132)))</f>
        <v/>
      </c>
      <c r="L132" s="6">
        <f>IF($A132="","",$K132*N($D132))</f>
        <v/>
      </c>
      <c r="M132">
        <f>IF($A132="","",IF($K132&lt;=0,"OUT OF STOCK",IF($K132&lt;=N($G132),IF(N($I132)&gt;0,"LOW - ON ORDER","REORDER NOW"),"OK")))</f>
        <v/>
      </c>
      <c r="N132">
        <f>IF($A132="","",SUMIFS(Sales!$C:$C,Sales!$B:$B,$A132,Sales!$A:$A,"&gt;="&amp;(TODAY()-30)))</f>
        <v/>
      </c>
      <c r="O132">
        <f>IF($A132="","",IF(N($N132)=0,"no recent sales",MAX(0,ROUND($K132/($N132/30),0))))</f>
        <v/>
      </c>
    </row>
    <row r="133">
      <c r="A133" s="4" t="n"/>
      <c r="B133" s="4" t="n"/>
      <c r="C133" s="4" t="n"/>
      <c r="D133" s="5" t="n"/>
      <c r="E133" s="5" t="n"/>
      <c r="F133" s="4" t="n"/>
      <c r="G133" s="4" t="n"/>
      <c r="H133">
        <f>IF($A133="","",SUMIFS('Stock In'!$C:$C,'Stock In'!$B:$B,$A133,'Stock In'!$E:$E,"Received"))</f>
        <v/>
      </c>
      <c r="I133">
        <f>IF($A133="","",SUMIFS('Stock In'!$C:$C,'Stock In'!$B:$B,$A133,'Stock In'!$E:$E,"Incoming"))</f>
        <v/>
      </c>
      <c r="J133">
        <f>IF($A133="","",SUMIFS(Sales!$C:$C,Sales!$B:$B,$A133))</f>
        <v/>
      </c>
      <c r="K133">
        <f>IF($A133="","",MAX(0,N($F133)+N($H133)-N($J133)))</f>
        <v/>
      </c>
      <c r="L133" s="6">
        <f>IF($A133="","",$K133*N($D133))</f>
        <v/>
      </c>
      <c r="M133">
        <f>IF($A133="","",IF($K133&lt;=0,"OUT OF STOCK",IF($K133&lt;=N($G133),IF(N($I133)&gt;0,"LOW - ON ORDER","REORDER NOW"),"OK")))</f>
        <v/>
      </c>
      <c r="N133">
        <f>IF($A133="","",SUMIFS(Sales!$C:$C,Sales!$B:$B,$A133,Sales!$A:$A,"&gt;="&amp;(TODAY()-30)))</f>
        <v/>
      </c>
      <c r="O133">
        <f>IF($A133="","",IF(N($N133)=0,"no recent sales",MAX(0,ROUND($K133/($N133/30),0))))</f>
        <v/>
      </c>
    </row>
    <row r="134">
      <c r="A134" s="4" t="n"/>
      <c r="B134" s="4" t="n"/>
      <c r="C134" s="4" t="n"/>
      <c r="D134" s="5" t="n"/>
      <c r="E134" s="5" t="n"/>
      <c r="F134" s="4" t="n"/>
      <c r="G134" s="4" t="n"/>
      <c r="H134">
        <f>IF($A134="","",SUMIFS('Stock In'!$C:$C,'Stock In'!$B:$B,$A134,'Stock In'!$E:$E,"Received"))</f>
        <v/>
      </c>
      <c r="I134">
        <f>IF($A134="","",SUMIFS('Stock In'!$C:$C,'Stock In'!$B:$B,$A134,'Stock In'!$E:$E,"Incoming"))</f>
        <v/>
      </c>
      <c r="J134">
        <f>IF($A134="","",SUMIFS(Sales!$C:$C,Sales!$B:$B,$A134))</f>
        <v/>
      </c>
      <c r="K134">
        <f>IF($A134="","",MAX(0,N($F134)+N($H134)-N($J134)))</f>
        <v/>
      </c>
      <c r="L134" s="6">
        <f>IF($A134="","",$K134*N($D134))</f>
        <v/>
      </c>
      <c r="M134">
        <f>IF($A134="","",IF($K134&lt;=0,"OUT OF STOCK",IF($K134&lt;=N($G134),IF(N($I134)&gt;0,"LOW - ON ORDER","REORDER NOW"),"OK")))</f>
        <v/>
      </c>
      <c r="N134">
        <f>IF($A134="","",SUMIFS(Sales!$C:$C,Sales!$B:$B,$A134,Sales!$A:$A,"&gt;="&amp;(TODAY()-30)))</f>
        <v/>
      </c>
      <c r="O134">
        <f>IF($A134="","",IF(N($N134)=0,"no recent sales",MAX(0,ROUND($K134/($N134/30),0))))</f>
        <v/>
      </c>
    </row>
    <row r="135">
      <c r="A135" s="4" t="n"/>
      <c r="B135" s="4" t="n"/>
      <c r="C135" s="4" t="n"/>
      <c r="D135" s="5" t="n"/>
      <c r="E135" s="5" t="n"/>
      <c r="F135" s="4" t="n"/>
      <c r="G135" s="4" t="n"/>
      <c r="H135">
        <f>IF($A135="","",SUMIFS('Stock In'!$C:$C,'Stock In'!$B:$B,$A135,'Stock In'!$E:$E,"Received"))</f>
        <v/>
      </c>
      <c r="I135">
        <f>IF($A135="","",SUMIFS('Stock In'!$C:$C,'Stock In'!$B:$B,$A135,'Stock In'!$E:$E,"Incoming"))</f>
        <v/>
      </c>
      <c r="J135">
        <f>IF($A135="","",SUMIFS(Sales!$C:$C,Sales!$B:$B,$A135))</f>
        <v/>
      </c>
      <c r="K135">
        <f>IF($A135="","",MAX(0,N($F135)+N($H135)-N($J135)))</f>
        <v/>
      </c>
      <c r="L135" s="6">
        <f>IF($A135="","",$K135*N($D135))</f>
        <v/>
      </c>
      <c r="M135">
        <f>IF($A135="","",IF($K135&lt;=0,"OUT OF STOCK",IF($K135&lt;=N($G135),IF(N($I135)&gt;0,"LOW - ON ORDER","REORDER NOW"),"OK")))</f>
        <v/>
      </c>
      <c r="N135">
        <f>IF($A135="","",SUMIFS(Sales!$C:$C,Sales!$B:$B,$A135,Sales!$A:$A,"&gt;="&amp;(TODAY()-30)))</f>
        <v/>
      </c>
      <c r="O135">
        <f>IF($A135="","",IF(N($N135)=0,"no recent sales",MAX(0,ROUND($K135/($N135/30),0))))</f>
        <v/>
      </c>
    </row>
    <row r="136">
      <c r="A136" s="4" t="n"/>
      <c r="B136" s="4" t="n"/>
      <c r="C136" s="4" t="n"/>
      <c r="D136" s="5" t="n"/>
      <c r="E136" s="5" t="n"/>
      <c r="F136" s="4" t="n"/>
      <c r="G136" s="4" t="n"/>
      <c r="H136">
        <f>IF($A136="","",SUMIFS('Stock In'!$C:$C,'Stock In'!$B:$B,$A136,'Stock In'!$E:$E,"Received"))</f>
        <v/>
      </c>
      <c r="I136">
        <f>IF($A136="","",SUMIFS('Stock In'!$C:$C,'Stock In'!$B:$B,$A136,'Stock In'!$E:$E,"Incoming"))</f>
        <v/>
      </c>
      <c r="J136">
        <f>IF($A136="","",SUMIFS(Sales!$C:$C,Sales!$B:$B,$A136))</f>
        <v/>
      </c>
      <c r="K136">
        <f>IF($A136="","",MAX(0,N($F136)+N($H136)-N($J136)))</f>
        <v/>
      </c>
      <c r="L136" s="6">
        <f>IF($A136="","",$K136*N($D136))</f>
        <v/>
      </c>
      <c r="M136">
        <f>IF($A136="","",IF($K136&lt;=0,"OUT OF STOCK",IF($K136&lt;=N($G136),IF(N($I136)&gt;0,"LOW - ON ORDER","REORDER NOW"),"OK")))</f>
        <v/>
      </c>
      <c r="N136">
        <f>IF($A136="","",SUMIFS(Sales!$C:$C,Sales!$B:$B,$A136,Sales!$A:$A,"&gt;="&amp;(TODAY()-30)))</f>
        <v/>
      </c>
      <c r="O136">
        <f>IF($A136="","",IF(N($N136)=0,"no recent sales",MAX(0,ROUND($K136/($N136/30),0))))</f>
        <v/>
      </c>
    </row>
    <row r="137">
      <c r="A137" s="4" t="n"/>
      <c r="B137" s="4" t="n"/>
      <c r="C137" s="4" t="n"/>
      <c r="D137" s="5" t="n"/>
      <c r="E137" s="5" t="n"/>
      <c r="F137" s="4" t="n"/>
      <c r="G137" s="4" t="n"/>
      <c r="H137">
        <f>IF($A137="","",SUMIFS('Stock In'!$C:$C,'Stock In'!$B:$B,$A137,'Stock In'!$E:$E,"Received"))</f>
        <v/>
      </c>
      <c r="I137">
        <f>IF($A137="","",SUMIFS('Stock In'!$C:$C,'Stock In'!$B:$B,$A137,'Stock In'!$E:$E,"Incoming"))</f>
        <v/>
      </c>
      <c r="J137">
        <f>IF($A137="","",SUMIFS(Sales!$C:$C,Sales!$B:$B,$A137))</f>
        <v/>
      </c>
      <c r="K137">
        <f>IF($A137="","",MAX(0,N($F137)+N($H137)-N($J137)))</f>
        <v/>
      </c>
      <c r="L137" s="6">
        <f>IF($A137="","",$K137*N($D137))</f>
        <v/>
      </c>
      <c r="M137">
        <f>IF($A137="","",IF($K137&lt;=0,"OUT OF STOCK",IF($K137&lt;=N($G137),IF(N($I137)&gt;0,"LOW - ON ORDER","REORDER NOW"),"OK")))</f>
        <v/>
      </c>
      <c r="N137">
        <f>IF($A137="","",SUMIFS(Sales!$C:$C,Sales!$B:$B,$A137,Sales!$A:$A,"&gt;="&amp;(TODAY()-30)))</f>
        <v/>
      </c>
      <c r="O137">
        <f>IF($A137="","",IF(N($N137)=0,"no recent sales",MAX(0,ROUND($K137/($N137/30),0))))</f>
        <v/>
      </c>
    </row>
    <row r="138">
      <c r="A138" s="4" t="n"/>
      <c r="B138" s="4" t="n"/>
      <c r="C138" s="4" t="n"/>
      <c r="D138" s="5" t="n"/>
      <c r="E138" s="5" t="n"/>
      <c r="F138" s="4" t="n"/>
      <c r="G138" s="4" t="n"/>
      <c r="H138">
        <f>IF($A138="","",SUMIFS('Stock In'!$C:$C,'Stock In'!$B:$B,$A138,'Stock In'!$E:$E,"Received"))</f>
        <v/>
      </c>
      <c r="I138">
        <f>IF($A138="","",SUMIFS('Stock In'!$C:$C,'Stock In'!$B:$B,$A138,'Stock In'!$E:$E,"Incoming"))</f>
        <v/>
      </c>
      <c r="J138">
        <f>IF($A138="","",SUMIFS(Sales!$C:$C,Sales!$B:$B,$A138))</f>
        <v/>
      </c>
      <c r="K138">
        <f>IF($A138="","",MAX(0,N($F138)+N($H138)-N($J138)))</f>
        <v/>
      </c>
      <c r="L138" s="6">
        <f>IF($A138="","",$K138*N($D138))</f>
        <v/>
      </c>
      <c r="M138">
        <f>IF($A138="","",IF($K138&lt;=0,"OUT OF STOCK",IF($K138&lt;=N($G138),IF(N($I138)&gt;0,"LOW - ON ORDER","REORDER NOW"),"OK")))</f>
        <v/>
      </c>
      <c r="N138">
        <f>IF($A138="","",SUMIFS(Sales!$C:$C,Sales!$B:$B,$A138,Sales!$A:$A,"&gt;="&amp;(TODAY()-30)))</f>
        <v/>
      </c>
      <c r="O138">
        <f>IF($A138="","",IF(N($N138)=0,"no recent sales",MAX(0,ROUND($K138/($N138/30),0))))</f>
        <v/>
      </c>
    </row>
    <row r="139">
      <c r="A139" s="4" t="n"/>
      <c r="B139" s="4" t="n"/>
      <c r="C139" s="4" t="n"/>
      <c r="D139" s="5" t="n"/>
      <c r="E139" s="5" t="n"/>
      <c r="F139" s="4" t="n"/>
      <c r="G139" s="4" t="n"/>
      <c r="H139">
        <f>IF($A139="","",SUMIFS('Stock In'!$C:$C,'Stock In'!$B:$B,$A139,'Stock In'!$E:$E,"Received"))</f>
        <v/>
      </c>
      <c r="I139">
        <f>IF($A139="","",SUMIFS('Stock In'!$C:$C,'Stock In'!$B:$B,$A139,'Stock In'!$E:$E,"Incoming"))</f>
        <v/>
      </c>
      <c r="J139">
        <f>IF($A139="","",SUMIFS(Sales!$C:$C,Sales!$B:$B,$A139))</f>
        <v/>
      </c>
      <c r="K139">
        <f>IF($A139="","",MAX(0,N($F139)+N($H139)-N($J139)))</f>
        <v/>
      </c>
      <c r="L139" s="6">
        <f>IF($A139="","",$K139*N($D139))</f>
        <v/>
      </c>
      <c r="M139">
        <f>IF($A139="","",IF($K139&lt;=0,"OUT OF STOCK",IF($K139&lt;=N($G139),IF(N($I139)&gt;0,"LOW - ON ORDER","REORDER NOW"),"OK")))</f>
        <v/>
      </c>
      <c r="N139">
        <f>IF($A139="","",SUMIFS(Sales!$C:$C,Sales!$B:$B,$A139,Sales!$A:$A,"&gt;="&amp;(TODAY()-30)))</f>
        <v/>
      </c>
      <c r="O139">
        <f>IF($A139="","",IF(N($N139)=0,"no recent sales",MAX(0,ROUND($K139/($N139/30),0))))</f>
        <v/>
      </c>
    </row>
    <row r="140">
      <c r="A140" s="4" t="n"/>
      <c r="B140" s="4" t="n"/>
      <c r="C140" s="4" t="n"/>
      <c r="D140" s="5" t="n"/>
      <c r="E140" s="5" t="n"/>
      <c r="F140" s="4" t="n"/>
      <c r="G140" s="4" t="n"/>
      <c r="H140">
        <f>IF($A140="","",SUMIFS('Stock In'!$C:$C,'Stock In'!$B:$B,$A140,'Stock In'!$E:$E,"Received"))</f>
        <v/>
      </c>
      <c r="I140">
        <f>IF($A140="","",SUMIFS('Stock In'!$C:$C,'Stock In'!$B:$B,$A140,'Stock In'!$E:$E,"Incoming"))</f>
        <v/>
      </c>
      <c r="J140">
        <f>IF($A140="","",SUMIFS(Sales!$C:$C,Sales!$B:$B,$A140))</f>
        <v/>
      </c>
      <c r="K140">
        <f>IF($A140="","",MAX(0,N($F140)+N($H140)-N($J140)))</f>
        <v/>
      </c>
      <c r="L140" s="6">
        <f>IF($A140="","",$K140*N($D140))</f>
        <v/>
      </c>
      <c r="M140">
        <f>IF($A140="","",IF($K140&lt;=0,"OUT OF STOCK",IF($K140&lt;=N($G140),IF(N($I140)&gt;0,"LOW - ON ORDER","REORDER NOW"),"OK")))</f>
        <v/>
      </c>
      <c r="N140">
        <f>IF($A140="","",SUMIFS(Sales!$C:$C,Sales!$B:$B,$A140,Sales!$A:$A,"&gt;="&amp;(TODAY()-30)))</f>
        <v/>
      </c>
      <c r="O140">
        <f>IF($A140="","",IF(N($N140)=0,"no recent sales",MAX(0,ROUND($K140/($N140/30),0))))</f>
        <v/>
      </c>
    </row>
    <row r="141">
      <c r="A141" s="4" t="n"/>
      <c r="B141" s="4" t="n"/>
      <c r="C141" s="4" t="n"/>
      <c r="D141" s="5" t="n"/>
      <c r="E141" s="5" t="n"/>
      <c r="F141" s="4" t="n"/>
      <c r="G141" s="4" t="n"/>
      <c r="H141">
        <f>IF($A141="","",SUMIFS('Stock In'!$C:$C,'Stock In'!$B:$B,$A141,'Stock In'!$E:$E,"Received"))</f>
        <v/>
      </c>
      <c r="I141">
        <f>IF($A141="","",SUMIFS('Stock In'!$C:$C,'Stock In'!$B:$B,$A141,'Stock In'!$E:$E,"Incoming"))</f>
        <v/>
      </c>
      <c r="J141">
        <f>IF($A141="","",SUMIFS(Sales!$C:$C,Sales!$B:$B,$A141))</f>
        <v/>
      </c>
      <c r="K141">
        <f>IF($A141="","",MAX(0,N($F141)+N($H141)-N($J141)))</f>
        <v/>
      </c>
      <c r="L141" s="6">
        <f>IF($A141="","",$K141*N($D141))</f>
        <v/>
      </c>
      <c r="M141">
        <f>IF($A141="","",IF($K141&lt;=0,"OUT OF STOCK",IF($K141&lt;=N($G141),IF(N($I141)&gt;0,"LOW - ON ORDER","REORDER NOW"),"OK")))</f>
        <v/>
      </c>
      <c r="N141">
        <f>IF($A141="","",SUMIFS(Sales!$C:$C,Sales!$B:$B,$A141,Sales!$A:$A,"&gt;="&amp;(TODAY()-30)))</f>
        <v/>
      </c>
      <c r="O141">
        <f>IF($A141="","",IF(N($N141)=0,"no recent sales",MAX(0,ROUND($K141/($N141/30),0))))</f>
        <v/>
      </c>
    </row>
    <row r="142">
      <c r="A142" s="4" t="n"/>
      <c r="B142" s="4" t="n"/>
      <c r="C142" s="4" t="n"/>
      <c r="D142" s="5" t="n"/>
      <c r="E142" s="5" t="n"/>
      <c r="F142" s="4" t="n"/>
      <c r="G142" s="4" t="n"/>
      <c r="H142">
        <f>IF($A142="","",SUMIFS('Stock In'!$C:$C,'Stock In'!$B:$B,$A142,'Stock In'!$E:$E,"Received"))</f>
        <v/>
      </c>
      <c r="I142">
        <f>IF($A142="","",SUMIFS('Stock In'!$C:$C,'Stock In'!$B:$B,$A142,'Stock In'!$E:$E,"Incoming"))</f>
        <v/>
      </c>
      <c r="J142">
        <f>IF($A142="","",SUMIFS(Sales!$C:$C,Sales!$B:$B,$A142))</f>
        <v/>
      </c>
      <c r="K142">
        <f>IF($A142="","",MAX(0,N($F142)+N($H142)-N($J142)))</f>
        <v/>
      </c>
      <c r="L142" s="6">
        <f>IF($A142="","",$K142*N($D142))</f>
        <v/>
      </c>
      <c r="M142">
        <f>IF($A142="","",IF($K142&lt;=0,"OUT OF STOCK",IF($K142&lt;=N($G142),IF(N($I142)&gt;0,"LOW - ON ORDER","REORDER NOW"),"OK")))</f>
        <v/>
      </c>
      <c r="N142">
        <f>IF($A142="","",SUMIFS(Sales!$C:$C,Sales!$B:$B,$A142,Sales!$A:$A,"&gt;="&amp;(TODAY()-30)))</f>
        <v/>
      </c>
      <c r="O142">
        <f>IF($A142="","",IF(N($N142)=0,"no recent sales",MAX(0,ROUND($K142/($N142/30),0))))</f>
        <v/>
      </c>
    </row>
    <row r="143">
      <c r="A143" s="4" t="n"/>
      <c r="B143" s="4" t="n"/>
      <c r="C143" s="4" t="n"/>
      <c r="D143" s="5" t="n"/>
      <c r="E143" s="5" t="n"/>
      <c r="F143" s="4" t="n"/>
      <c r="G143" s="4" t="n"/>
      <c r="H143">
        <f>IF($A143="","",SUMIFS('Stock In'!$C:$C,'Stock In'!$B:$B,$A143,'Stock In'!$E:$E,"Received"))</f>
        <v/>
      </c>
      <c r="I143">
        <f>IF($A143="","",SUMIFS('Stock In'!$C:$C,'Stock In'!$B:$B,$A143,'Stock In'!$E:$E,"Incoming"))</f>
        <v/>
      </c>
      <c r="J143">
        <f>IF($A143="","",SUMIFS(Sales!$C:$C,Sales!$B:$B,$A143))</f>
        <v/>
      </c>
      <c r="K143">
        <f>IF($A143="","",MAX(0,N($F143)+N($H143)-N($J143)))</f>
        <v/>
      </c>
      <c r="L143" s="6">
        <f>IF($A143="","",$K143*N($D143))</f>
        <v/>
      </c>
      <c r="M143">
        <f>IF($A143="","",IF($K143&lt;=0,"OUT OF STOCK",IF($K143&lt;=N($G143),IF(N($I143)&gt;0,"LOW - ON ORDER","REORDER NOW"),"OK")))</f>
        <v/>
      </c>
      <c r="N143">
        <f>IF($A143="","",SUMIFS(Sales!$C:$C,Sales!$B:$B,$A143,Sales!$A:$A,"&gt;="&amp;(TODAY()-30)))</f>
        <v/>
      </c>
      <c r="O143">
        <f>IF($A143="","",IF(N($N143)=0,"no recent sales",MAX(0,ROUND($K143/($N143/30),0))))</f>
        <v/>
      </c>
    </row>
    <row r="144">
      <c r="A144" s="4" t="n"/>
      <c r="B144" s="4" t="n"/>
      <c r="C144" s="4" t="n"/>
      <c r="D144" s="5" t="n"/>
      <c r="E144" s="5" t="n"/>
      <c r="F144" s="4" t="n"/>
      <c r="G144" s="4" t="n"/>
      <c r="H144">
        <f>IF($A144="","",SUMIFS('Stock In'!$C:$C,'Stock In'!$B:$B,$A144,'Stock In'!$E:$E,"Received"))</f>
        <v/>
      </c>
      <c r="I144">
        <f>IF($A144="","",SUMIFS('Stock In'!$C:$C,'Stock In'!$B:$B,$A144,'Stock In'!$E:$E,"Incoming"))</f>
        <v/>
      </c>
      <c r="J144">
        <f>IF($A144="","",SUMIFS(Sales!$C:$C,Sales!$B:$B,$A144))</f>
        <v/>
      </c>
      <c r="K144">
        <f>IF($A144="","",MAX(0,N($F144)+N($H144)-N($J144)))</f>
        <v/>
      </c>
      <c r="L144" s="6">
        <f>IF($A144="","",$K144*N($D144))</f>
        <v/>
      </c>
      <c r="M144">
        <f>IF($A144="","",IF($K144&lt;=0,"OUT OF STOCK",IF($K144&lt;=N($G144),IF(N($I144)&gt;0,"LOW - ON ORDER","REORDER NOW"),"OK")))</f>
        <v/>
      </c>
      <c r="N144">
        <f>IF($A144="","",SUMIFS(Sales!$C:$C,Sales!$B:$B,$A144,Sales!$A:$A,"&gt;="&amp;(TODAY()-30)))</f>
        <v/>
      </c>
      <c r="O144">
        <f>IF($A144="","",IF(N($N144)=0,"no recent sales",MAX(0,ROUND($K144/($N144/30),0))))</f>
        <v/>
      </c>
    </row>
    <row r="145">
      <c r="A145" s="4" t="n"/>
      <c r="B145" s="4" t="n"/>
      <c r="C145" s="4" t="n"/>
      <c r="D145" s="5" t="n"/>
      <c r="E145" s="5" t="n"/>
      <c r="F145" s="4" t="n"/>
      <c r="G145" s="4" t="n"/>
      <c r="H145">
        <f>IF($A145="","",SUMIFS('Stock In'!$C:$C,'Stock In'!$B:$B,$A145,'Stock In'!$E:$E,"Received"))</f>
        <v/>
      </c>
      <c r="I145">
        <f>IF($A145="","",SUMIFS('Stock In'!$C:$C,'Stock In'!$B:$B,$A145,'Stock In'!$E:$E,"Incoming"))</f>
        <v/>
      </c>
      <c r="J145">
        <f>IF($A145="","",SUMIFS(Sales!$C:$C,Sales!$B:$B,$A145))</f>
        <v/>
      </c>
      <c r="K145">
        <f>IF($A145="","",MAX(0,N($F145)+N($H145)-N($J145)))</f>
        <v/>
      </c>
      <c r="L145" s="6">
        <f>IF($A145="","",$K145*N($D145))</f>
        <v/>
      </c>
      <c r="M145">
        <f>IF($A145="","",IF($K145&lt;=0,"OUT OF STOCK",IF($K145&lt;=N($G145),IF(N($I145)&gt;0,"LOW - ON ORDER","REORDER NOW"),"OK")))</f>
        <v/>
      </c>
      <c r="N145">
        <f>IF($A145="","",SUMIFS(Sales!$C:$C,Sales!$B:$B,$A145,Sales!$A:$A,"&gt;="&amp;(TODAY()-30)))</f>
        <v/>
      </c>
      <c r="O145">
        <f>IF($A145="","",IF(N($N145)=0,"no recent sales",MAX(0,ROUND($K145/($N145/30),0))))</f>
        <v/>
      </c>
    </row>
    <row r="146">
      <c r="A146" s="4" t="n"/>
      <c r="B146" s="4" t="n"/>
      <c r="C146" s="4" t="n"/>
      <c r="D146" s="5" t="n"/>
      <c r="E146" s="5" t="n"/>
      <c r="F146" s="4" t="n"/>
      <c r="G146" s="4" t="n"/>
      <c r="H146">
        <f>IF($A146="","",SUMIFS('Stock In'!$C:$C,'Stock In'!$B:$B,$A146,'Stock In'!$E:$E,"Received"))</f>
        <v/>
      </c>
      <c r="I146">
        <f>IF($A146="","",SUMIFS('Stock In'!$C:$C,'Stock In'!$B:$B,$A146,'Stock In'!$E:$E,"Incoming"))</f>
        <v/>
      </c>
      <c r="J146">
        <f>IF($A146="","",SUMIFS(Sales!$C:$C,Sales!$B:$B,$A146))</f>
        <v/>
      </c>
      <c r="K146">
        <f>IF($A146="","",MAX(0,N($F146)+N($H146)-N($J146)))</f>
        <v/>
      </c>
      <c r="L146" s="6">
        <f>IF($A146="","",$K146*N($D146))</f>
        <v/>
      </c>
      <c r="M146">
        <f>IF($A146="","",IF($K146&lt;=0,"OUT OF STOCK",IF($K146&lt;=N($G146),IF(N($I146)&gt;0,"LOW - ON ORDER","REORDER NOW"),"OK")))</f>
        <v/>
      </c>
      <c r="N146">
        <f>IF($A146="","",SUMIFS(Sales!$C:$C,Sales!$B:$B,$A146,Sales!$A:$A,"&gt;="&amp;(TODAY()-30)))</f>
        <v/>
      </c>
      <c r="O146">
        <f>IF($A146="","",IF(N($N146)=0,"no recent sales",MAX(0,ROUND($K146/($N146/30),0))))</f>
        <v/>
      </c>
    </row>
    <row r="147">
      <c r="A147" s="4" t="n"/>
      <c r="B147" s="4" t="n"/>
      <c r="C147" s="4" t="n"/>
      <c r="D147" s="5" t="n"/>
      <c r="E147" s="5" t="n"/>
      <c r="F147" s="4" t="n"/>
      <c r="G147" s="4" t="n"/>
      <c r="H147">
        <f>IF($A147="","",SUMIFS('Stock In'!$C:$C,'Stock In'!$B:$B,$A147,'Stock In'!$E:$E,"Received"))</f>
        <v/>
      </c>
      <c r="I147">
        <f>IF($A147="","",SUMIFS('Stock In'!$C:$C,'Stock In'!$B:$B,$A147,'Stock In'!$E:$E,"Incoming"))</f>
        <v/>
      </c>
      <c r="J147">
        <f>IF($A147="","",SUMIFS(Sales!$C:$C,Sales!$B:$B,$A147))</f>
        <v/>
      </c>
      <c r="K147">
        <f>IF($A147="","",MAX(0,N($F147)+N($H147)-N($J147)))</f>
        <v/>
      </c>
      <c r="L147" s="6">
        <f>IF($A147="","",$K147*N($D147))</f>
        <v/>
      </c>
      <c r="M147">
        <f>IF($A147="","",IF($K147&lt;=0,"OUT OF STOCK",IF($K147&lt;=N($G147),IF(N($I147)&gt;0,"LOW - ON ORDER","REORDER NOW"),"OK")))</f>
        <v/>
      </c>
      <c r="N147">
        <f>IF($A147="","",SUMIFS(Sales!$C:$C,Sales!$B:$B,$A147,Sales!$A:$A,"&gt;="&amp;(TODAY()-30)))</f>
        <v/>
      </c>
      <c r="O147">
        <f>IF($A147="","",IF(N($N147)=0,"no recent sales",MAX(0,ROUND($K147/($N147/30),0))))</f>
        <v/>
      </c>
    </row>
    <row r="148">
      <c r="A148" s="4" t="n"/>
      <c r="B148" s="4" t="n"/>
      <c r="C148" s="4" t="n"/>
      <c r="D148" s="5" t="n"/>
      <c r="E148" s="5" t="n"/>
      <c r="F148" s="4" t="n"/>
      <c r="G148" s="4" t="n"/>
      <c r="H148">
        <f>IF($A148="","",SUMIFS('Stock In'!$C:$C,'Stock In'!$B:$B,$A148,'Stock In'!$E:$E,"Received"))</f>
        <v/>
      </c>
      <c r="I148">
        <f>IF($A148="","",SUMIFS('Stock In'!$C:$C,'Stock In'!$B:$B,$A148,'Stock In'!$E:$E,"Incoming"))</f>
        <v/>
      </c>
      <c r="J148">
        <f>IF($A148="","",SUMIFS(Sales!$C:$C,Sales!$B:$B,$A148))</f>
        <v/>
      </c>
      <c r="K148">
        <f>IF($A148="","",MAX(0,N($F148)+N($H148)-N($J148)))</f>
        <v/>
      </c>
      <c r="L148" s="6">
        <f>IF($A148="","",$K148*N($D148))</f>
        <v/>
      </c>
      <c r="M148">
        <f>IF($A148="","",IF($K148&lt;=0,"OUT OF STOCK",IF($K148&lt;=N($G148),IF(N($I148)&gt;0,"LOW - ON ORDER","REORDER NOW"),"OK")))</f>
        <v/>
      </c>
      <c r="N148">
        <f>IF($A148="","",SUMIFS(Sales!$C:$C,Sales!$B:$B,$A148,Sales!$A:$A,"&gt;="&amp;(TODAY()-30)))</f>
        <v/>
      </c>
      <c r="O148">
        <f>IF($A148="","",IF(N($N148)=0,"no recent sales",MAX(0,ROUND($K148/($N148/30),0))))</f>
        <v/>
      </c>
    </row>
    <row r="149">
      <c r="A149" s="4" t="n"/>
      <c r="B149" s="4" t="n"/>
      <c r="C149" s="4" t="n"/>
      <c r="D149" s="5" t="n"/>
      <c r="E149" s="5" t="n"/>
      <c r="F149" s="4" t="n"/>
      <c r="G149" s="4" t="n"/>
      <c r="H149">
        <f>IF($A149="","",SUMIFS('Stock In'!$C:$C,'Stock In'!$B:$B,$A149,'Stock In'!$E:$E,"Received"))</f>
        <v/>
      </c>
      <c r="I149">
        <f>IF($A149="","",SUMIFS('Stock In'!$C:$C,'Stock In'!$B:$B,$A149,'Stock In'!$E:$E,"Incoming"))</f>
        <v/>
      </c>
      <c r="J149">
        <f>IF($A149="","",SUMIFS(Sales!$C:$C,Sales!$B:$B,$A149))</f>
        <v/>
      </c>
      <c r="K149">
        <f>IF($A149="","",MAX(0,N($F149)+N($H149)-N($J149)))</f>
        <v/>
      </c>
      <c r="L149" s="6">
        <f>IF($A149="","",$K149*N($D149))</f>
        <v/>
      </c>
      <c r="M149">
        <f>IF($A149="","",IF($K149&lt;=0,"OUT OF STOCK",IF($K149&lt;=N($G149),IF(N($I149)&gt;0,"LOW - ON ORDER","REORDER NOW"),"OK")))</f>
        <v/>
      </c>
      <c r="N149">
        <f>IF($A149="","",SUMIFS(Sales!$C:$C,Sales!$B:$B,$A149,Sales!$A:$A,"&gt;="&amp;(TODAY()-30)))</f>
        <v/>
      </c>
      <c r="O149">
        <f>IF($A149="","",IF(N($N149)=0,"no recent sales",MAX(0,ROUND($K149/($N149/30),0))))</f>
        <v/>
      </c>
    </row>
    <row r="150">
      <c r="A150" s="4" t="n"/>
      <c r="B150" s="4" t="n"/>
      <c r="C150" s="4" t="n"/>
      <c r="D150" s="5" t="n"/>
      <c r="E150" s="5" t="n"/>
      <c r="F150" s="4" t="n"/>
      <c r="G150" s="4" t="n"/>
      <c r="H150">
        <f>IF($A150="","",SUMIFS('Stock In'!$C:$C,'Stock In'!$B:$B,$A150,'Stock In'!$E:$E,"Received"))</f>
        <v/>
      </c>
      <c r="I150">
        <f>IF($A150="","",SUMIFS('Stock In'!$C:$C,'Stock In'!$B:$B,$A150,'Stock In'!$E:$E,"Incoming"))</f>
        <v/>
      </c>
      <c r="J150">
        <f>IF($A150="","",SUMIFS(Sales!$C:$C,Sales!$B:$B,$A150))</f>
        <v/>
      </c>
      <c r="K150">
        <f>IF($A150="","",MAX(0,N($F150)+N($H150)-N($J150)))</f>
        <v/>
      </c>
      <c r="L150" s="6">
        <f>IF($A150="","",$K150*N($D150))</f>
        <v/>
      </c>
      <c r="M150">
        <f>IF($A150="","",IF($K150&lt;=0,"OUT OF STOCK",IF($K150&lt;=N($G150),IF(N($I150)&gt;0,"LOW - ON ORDER","REORDER NOW"),"OK")))</f>
        <v/>
      </c>
      <c r="N150">
        <f>IF($A150="","",SUMIFS(Sales!$C:$C,Sales!$B:$B,$A150,Sales!$A:$A,"&gt;="&amp;(TODAY()-30)))</f>
        <v/>
      </c>
      <c r="O150">
        <f>IF($A150="","",IF(N($N150)=0,"no recent sales",MAX(0,ROUND($K150/($N150/30),0))))</f>
        <v/>
      </c>
    </row>
    <row r="151">
      <c r="A151" s="4" t="n"/>
      <c r="B151" s="4" t="n"/>
      <c r="C151" s="4" t="n"/>
      <c r="D151" s="5" t="n"/>
      <c r="E151" s="5" t="n"/>
      <c r="F151" s="4" t="n"/>
      <c r="G151" s="4" t="n"/>
      <c r="H151">
        <f>IF($A151="","",SUMIFS('Stock In'!$C:$C,'Stock In'!$B:$B,$A151,'Stock In'!$E:$E,"Received"))</f>
        <v/>
      </c>
      <c r="I151">
        <f>IF($A151="","",SUMIFS('Stock In'!$C:$C,'Stock In'!$B:$B,$A151,'Stock In'!$E:$E,"Incoming"))</f>
        <v/>
      </c>
      <c r="J151">
        <f>IF($A151="","",SUMIFS(Sales!$C:$C,Sales!$B:$B,$A151))</f>
        <v/>
      </c>
      <c r="K151">
        <f>IF($A151="","",MAX(0,N($F151)+N($H151)-N($J151)))</f>
        <v/>
      </c>
      <c r="L151" s="6">
        <f>IF($A151="","",$K151*N($D151))</f>
        <v/>
      </c>
      <c r="M151">
        <f>IF($A151="","",IF($K151&lt;=0,"OUT OF STOCK",IF($K151&lt;=N($G151),IF(N($I151)&gt;0,"LOW - ON ORDER","REORDER NOW"),"OK")))</f>
        <v/>
      </c>
      <c r="N151">
        <f>IF($A151="","",SUMIFS(Sales!$C:$C,Sales!$B:$B,$A151,Sales!$A:$A,"&gt;="&amp;(TODAY()-30)))</f>
        <v/>
      </c>
      <c r="O151">
        <f>IF($A151="","",IF(N($N151)=0,"no recent sales",MAX(0,ROUND($K151/($N151/30),0))))</f>
        <v/>
      </c>
    </row>
    <row r="152">
      <c r="A152" s="4" t="n"/>
      <c r="B152" s="4" t="n"/>
      <c r="C152" s="4" t="n"/>
      <c r="D152" s="5" t="n"/>
      <c r="E152" s="5" t="n"/>
      <c r="F152" s="4" t="n"/>
      <c r="G152" s="4" t="n"/>
      <c r="H152">
        <f>IF($A152="","",SUMIFS('Stock In'!$C:$C,'Stock In'!$B:$B,$A152,'Stock In'!$E:$E,"Received"))</f>
        <v/>
      </c>
      <c r="I152">
        <f>IF($A152="","",SUMIFS('Stock In'!$C:$C,'Stock In'!$B:$B,$A152,'Stock In'!$E:$E,"Incoming"))</f>
        <v/>
      </c>
      <c r="J152">
        <f>IF($A152="","",SUMIFS(Sales!$C:$C,Sales!$B:$B,$A152))</f>
        <v/>
      </c>
      <c r="K152">
        <f>IF($A152="","",MAX(0,N($F152)+N($H152)-N($J152)))</f>
        <v/>
      </c>
      <c r="L152" s="6">
        <f>IF($A152="","",$K152*N($D152))</f>
        <v/>
      </c>
      <c r="M152">
        <f>IF($A152="","",IF($K152&lt;=0,"OUT OF STOCK",IF($K152&lt;=N($G152),IF(N($I152)&gt;0,"LOW - ON ORDER","REORDER NOW"),"OK")))</f>
        <v/>
      </c>
      <c r="N152">
        <f>IF($A152="","",SUMIFS(Sales!$C:$C,Sales!$B:$B,$A152,Sales!$A:$A,"&gt;="&amp;(TODAY()-30)))</f>
        <v/>
      </c>
      <c r="O152">
        <f>IF($A152="","",IF(N($N152)=0,"no recent sales",MAX(0,ROUND($K152/($N152/30),0))))</f>
        <v/>
      </c>
    </row>
    <row r="153">
      <c r="A153" s="4" t="n"/>
      <c r="B153" s="4" t="n"/>
      <c r="C153" s="4" t="n"/>
      <c r="D153" s="5" t="n"/>
      <c r="E153" s="5" t="n"/>
      <c r="F153" s="4" t="n"/>
      <c r="G153" s="4" t="n"/>
      <c r="H153">
        <f>IF($A153="","",SUMIFS('Stock In'!$C:$C,'Stock In'!$B:$B,$A153,'Stock In'!$E:$E,"Received"))</f>
        <v/>
      </c>
      <c r="I153">
        <f>IF($A153="","",SUMIFS('Stock In'!$C:$C,'Stock In'!$B:$B,$A153,'Stock In'!$E:$E,"Incoming"))</f>
        <v/>
      </c>
      <c r="J153">
        <f>IF($A153="","",SUMIFS(Sales!$C:$C,Sales!$B:$B,$A153))</f>
        <v/>
      </c>
      <c r="K153">
        <f>IF($A153="","",MAX(0,N($F153)+N($H153)-N($J153)))</f>
        <v/>
      </c>
      <c r="L153" s="6">
        <f>IF($A153="","",$K153*N($D153))</f>
        <v/>
      </c>
      <c r="M153">
        <f>IF($A153="","",IF($K153&lt;=0,"OUT OF STOCK",IF($K153&lt;=N($G153),IF(N($I153)&gt;0,"LOW - ON ORDER","REORDER NOW"),"OK")))</f>
        <v/>
      </c>
      <c r="N153">
        <f>IF($A153="","",SUMIFS(Sales!$C:$C,Sales!$B:$B,$A153,Sales!$A:$A,"&gt;="&amp;(TODAY()-30)))</f>
        <v/>
      </c>
      <c r="O153">
        <f>IF($A153="","",IF(N($N153)=0,"no recent sales",MAX(0,ROUND($K153/($N153/30),0))))</f>
        <v/>
      </c>
    </row>
    <row r="154">
      <c r="A154" s="4" t="n"/>
      <c r="B154" s="4" t="n"/>
      <c r="C154" s="4" t="n"/>
      <c r="D154" s="5" t="n"/>
      <c r="E154" s="5" t="n"/>
      <c r="F154" s="4" t="n"/>
      <c r="G154" s="4" t="n"/>
      <c r="H154">
        <f>IF($A154="","",SUMIFS('Stock In'!$C:$C,'Stock In'!$B:$B,$A154,'Stock In'!$E:$E,"Received"))</f>
        <v/>
      </c>
      <c r="I154">
        <f>IF($A154="","",SUMIFS('Stock In'!$C:$C,'Stock In'!$B:$B,$A154,'Stock In'!$E:$E,"Incoming"))</f>
        <v/>
      </c>
      <c r="J154">
        <f>IF($A154="","",SUMIFS(Sales!$C:$C,Sales!$B:$B,$A154))</f>
        <v/>
      </c>
      <c r="K154">
        <f>IF($A154="","",MAX(0,N($F154)+N($H154)-N($J154)))</f>
        <v/>
      </c>
      <c r="L154" s="6">
        <f>IF($A154="","",$K154*N($D154))</f>
        <v/>
      </c>
      <c r="M154">
        <f>IF($A154="","",IF($K154&lt;=0,"OUT OF STOCK",IF($K154&lt;=N($G154),IF(N($I154)&gt;0,"LOW - ON ORDER","REORDER NOW"),"OK")))</f>
        <v/>
      </c>
      <c r="N154">
        <f>IF($A154="","",SUMIFS(Sales!$C:$C,Sales!$B:$B,$A154,Sales!$A:$A,"&gt;="&amp;(TODAY()-30)))</f>
        <v/>
      </c>
      <c r="O154">
        <f>IF($A154="","",IF(N($N154)=0,"no recent sales",MAX(0,ROUND($K154/($N154/30),0))))</f>
        <v/>
      </c>
    </row>
    <row r="155">
      <c r="A155" s="4" t="n"/>
      <c r="B155" s="4" t="n"/>
      <c r="C155" s="4" t="n"/>
      <c r="D155" s="5" t="n"/>
      <c r="E155" s="5" t="n"/>
      <c r="F155" s="4" t="n"/>
      <c r="G155" s="4" t="n"/>
      <c r="H155">
        <f>IF($A155="","",SUMIFS('Stock In'!$C:$C,'Stock In'!$B:$B,$A155,'Stock In'!$E:$E,"Received"))</f>
        <v/>
      </c>
      <c r="I155">
        <f>IF($A155="","",SUMIFS('Stock In'!$C:$C,'Stock In'!$B:$B,$A155,'Stock In'!$E:$E,"Incoming"))</f>
        <v/>
      </c>
      <c r="J155">
        <f>IF($A155="","",SUMIFS(Sales!$C:$C,Sales!$B:$B,$A155))</f>
        <v/>
      </c>
      <c r="K155">
        <f>IF($A155="","",MAX(0,N($F155)+N($H155)-N($J155)))</f>
        <v/>
      </c>
      <c r="L155" s="6">
        <f>IF($A155="","",$K155*N($D155))</f>
        <v/>
      </c>
      <c r="M155">
        <f>IF($A155="","",IF($K155&lt;=0,"OUT OF STOCK",IF($K155&lt;=N($G155),IF(N($I155)&gt;0,"LOW - ON ORDER","REORDER NOW"),"OK")))</f>
        <v/>
      </c>
      <c r="N155">
        <f>IF($A155="","",SUMIFS(Sales!$C:$C,Sales!$B:$B,$A155,Sales!$A:$A,"&gt;="&amp;(TODAY()-30)))</f>
        <v/>
      </c>
      <c r="O155">
        <f>IF($A155="","",IF(N($N155)=0,"no recent sales",MAX(0,ROUND($K155/($N155/30),0))))</f>
        <v/>
      </c>
    </row>
    <row r="156">
      <c r="A156" s="4" t="n"/>
      <c r="B156" s="4" t="n"/>
      <c r="C156" s="4" t="n"/>
      <c r="D156" s="5" t="n"/>
      <c r="E156" s="5" t="n"/>
      <c r="F156" s="4" t="n"/>
      <c r="G156" s="4" t="n"/>
      <c r="H156">
        <f>IF($A156="","",SUMIFS('Stock In'!$C:$C,'Stock In'!$B:$B,$A156,'Stock In'!$E:$E,"Received"))</f>
        <v/>
      </c>
      <c r="I156">
        <f>IF($A156="","",SUMIFS('Stock In'!$C:$C,'Stock In'!$B:$B,$A156,'Stock In'!$E:$E,"Incoming"))</f>
        <v/>
      </c>
      <c r="J156">
        <f>IF($A156="","",SUMIFS(Sales!$C:$C,Sales!$B:$B,$A156))</f>
        <v/>
      </c>
      <c r="K156">
        <f>IF($A156="","",MAX(0,N($F156)+N($H156)-N($J156)))</f>
        <v/>
      </c>
      <c r="L156" s="6">
        <f>IF($A156="","",$K156*N($D156))</f>
        <v/>
      </c>
      <c r="M156">
        <f>IF($A156="","",IF($K156&lt;=0,"OUT OF STOCK",IF($K156&lt;=N($G156),IF(N($I156)&gt;0,"LOW - ON ORDER","REORDER NOW"),"OK")))</f>
        <v/>
      </c>
      <c r="N156">
        <f>IF($A156="","",SUMIFS(Sales!$C:$C,Sales!$B:$B,$A156,Sales!$A:$A,"&gt;="&amp;(TODAY()-30)))</f>
        <v/>
      </c>
      <c r="O156">
        <f>IF($A156="","",IF(N($N156)=0,"no recent sales",MAX(0,ROUND($K156/($N156/30),0))))</f>
        <v/>
      </c>
    </row>
    <row r="157">
      <c r="A157" s="4" t="n"/>
      <c r="B157" s="4" t="n"/>
      <c r="C157" s="4" t="n"/>
      <c r="D157" s="5" t="n"/>
      <c r="E157" s="5" t="n"/>
      <c r="F157" s="4" t="n"/>
      <c r="G157" s="4" t="n"/>
      <c r="H157">
        <f>IF($A157="","",SUMIFS('Stock In'!$C:$C,'Stock In'!$B:$B,$A157,'Stock In'!$E:$E,"Received"))</f>
        <v/>
      </c>
      <c r="I157">
        <f>IF($A157="","",SUMIFS('Stock In'!$C:$C,'Stock In'!$B:$B,$A157,'Stock In'!$E:$E,"Incoming"))</f>
        <v/>
      </c>
      <c r="J157">
        <f>IF($A157="","",SUMIFS(Sales!$C:$C,Sales!$B:$B,$A157))</f>
        <v/>
      </c>
      <c r="K157">
        <f>IF($A157="","",MAX(0,N($F157)+N($H157)-N($J157)))</f>
        <v/>
      </c>
      <c r="L157" s="6">
        <f>IF($A157="","",$K157*N($D157))</f>
        <v/>
      </c>
      <c r="M157">
        <f>IF($A157="","",IF($K157&lt;=0,"OUT OF STOCK",IF($K157&lt;=N($G157),IF(N($I157)&gt;0,"LOW - ON ORDER","REORDER NOW"),"OK")))</f>
        <v/>
      </c>
      <c r="N157">
        <f>IF($A157="","",SUMIFS(Sales!$C:$C,Sales!$B:$B,$A157,Sales!$A:$A,"&gt;="&amp;(TODAY()-30)))</f>
        <v/>
      </c>
      <c r="O157">
        <f>IF($A157="","",IF(N($N157)=0,"no recent sales",MAX(0,ROUND($K157/($N157/30),0))))</f>
        <v/>
      </c>
    </row>
    <row r="158">
      <c r="A158" s="4" t="n"/>
      <c r="B158" s="4" t="n"/>
      <c r="C158" s="4" t="n"/>
      <c r="D158" s="5" t="n"/>
      <c r="E158" s="5" t="n"/>
      <c r="F158" s="4" t="n"/>
      <c r="G158" s="4" t="n"/>
      <c r="H158">
        <f>IF($A158="","",SUMIFS('Stock In'!$C:$C,'Stock In'!$B:$B,$A158,'Stock In'!$E:$E,"Received"))</f>
        <v/>
      </c>
      <c r="I158">
        <f>IF($A158="","",SUMIFS('Stock In'!$C:$C,'Stock In'!$B:$B,$A158,'Stock In'!$E:$E,"Incoming"))</f>
        <v/>
      </c>
      <c r="J158">
        <f>IF($A158="","",SUMIFS(Sales!$C:$C,Sales!$B:$B,$A158))</f>
        <v/>
      </c>
      <c r="K158">
        <f>IF($A158="","",MAX(0,N($F158)+N($H158)-N($J158)))</f>
        <v/>
      </c>
      <c r="L158" s="6">
        <f>IF($A158="","",$K158*N($D158))</f>
        <v/>
      </c>
      <c r="M158">
        <f>IF($A158="","",IF($K158&lt;=0,"OUT OF STOCK",IF($K158&lt;=N($G158),IF(N($I158)&gt;0,"LOW - ON ORDER","REORDER NOW"),"OK")))</f>
        <v/>
      </c>
      <c r="N158">
        <f>IF($A158="","",SUMIFS(Sales!$C:$C,Sales!$B:$B,$A158,Sales!$A:$A,"&gt;="&amp;(TODAY()-30)))</f>
        <v/>
      </c>
      <c r="O158">
        <f>IF($A158="","",IF(N($N158)=0,"no recent sales",MAX(0,ROUND($K158/($N158/30),0))))</f>
        <v/>
      </c>
    </row>
    <row r="159">
      <c r="A159" s="4" t="n"/>
      <c r="B159" s="4" t="n"/>
      <c r="C159" s="4" t="n"/>
      <c r="D159" s="5" t="n"/>
      <c r="E159" s="5" t="n"/>
      <c r="F159" s="4" t="n"/>
      <c r="G159" s="4" t="n"/>
      <c r="H159">
        <f>IF($A159="","",SUMIFS('Stock In'!$C:$C,'Stock In'!$B:$B,$A159,'Stock In'!$E:$E,"Received"))</f>
        <v/>
      </c>
      <c r="I159">
        <f>IF($A159="","",SUMIFS('Stock In'!$C:$C,'Stock In'!$B:$B,$A159,'Stock In'!$E:$E,"Incoming"))</f>
        <v/>
      </c>
      <c r="J159">
        <f>IF($A159="","",SUMIFS(Sales!$C:$C,Sales!$B:$B,$A159))</f>
        <v/>
      </c>
      <c r="K159">
        <f>IF($A159="","",MAX(0,N($F159)+N($H159)-N($J159)))</f>
        <v/>
      </c>
      <c r="L159" s="6">
        <f>IF($A159="","",$K159*N($D159))</f>
        <v/>
      </c>
      <c r="M159">
        <f>IF($A159="","",IF($K159&lt;=0,"OUT OF STOCK",IF($K159&lt;=N($G159),IF(N($I159)&gt;0,"LOW - ON ORDER","REORDER NOW"),"OK")))</f>
        <v/>
      </c>
      <c r="N159">
        <f>IF($A159="","",SUMIFS(Sales!$C:$C,Sales!$B:$B,$A159,Sales!$A:$A,"&gt;="&amp;(TODAY()-30)))</f>
        <v/>
      </c>
      <c r="O159">
        <f>IF($A159="","",IF(N($N159)=0,"no recent sales",MAX(0,ROUND($K159/($N159/30),0))))</f>
        <v/>
      </c>
    </row>
    <row r="160">
      <c r="A160" s="4" t="n"/>
      <c r="B160" s="4" t="n"/>
      <c r="C160" s="4" t="n"/>
      <c r="D160" s="5" t="n"/>
      <c r="E160" s="5" t="n"/>
      <c r="F160" s="4" t="n"/>
      <c r="G160" s="4" t="n"/>
      <c r="H160">
        <f>IF($A160="","",SUMIFS('Stock In'!$C:$C,'Stock In'!$B:$B,$A160,'Stock In'!$E:$E,"Received"))</f>
        <v/>
      </c>
      <c r="I160">
        <f>IF($A160="","",SUMIFS('Stock In'!$C:$C,'Stock In'!$B:$B,$A160,'Stock In'!$E:$E,"Incoming"))</f>
        <v/>
      </c>
      <c r="J160">
        <f>IF($A160="","",SUMIFS(Sales!$C:$C,Sales!$B:$B,$A160))</f>
        <v/>
      </c>
      <c r="K160">
        <f>IF($A160="","",MAX(0,N($F160)+N($H160)-N($J160)))</f>
        <v/>
      </c>
      <c r="L160" s="6">
        <f>IF($A160="","",$K160*N($D160))</f>
        <v/>
      </c>
      <c r="M160">
        <f>IF($A160="","",IF($K160&lt;=0,"OUT OF STOCK",IF($K160&lt;=N($G160),IF(N($I160)&gt;0,"LOW - ON ORDER","REORDER NOW"),"OK")))</f>
        <v/>
      </c>
      <c r="N160">
        <f>IF($A160="","",SUMIFS(Sales!$C:$C,Sales!$B:$B,$A160,Sales!$A:$A,"&gt;="&amp;(TODAY()-30)))</f>
        <v/>
      </c>
      <c r="O160">
        <f>IF($A160="","",IF(N($N160)=0,"no recent sales",MAX(0,ROUND($K160/($N160/30),0))))</f>
        <v/>
      </c>
    </row>
    <row r="161">
      <c r="A161" s="4" t="n"/>
      <c r="B161" s="4" t="n"/>
      <c r="C161" s="4" t="n"/>
      <c r="D161" s="5" t="n"/>
      <c r="E161" s="5" t="n"/>
      <c r="F161" s="4" t="n"/>
      <c r="G161" s="4" t="n"/>
      <c r="H161">
        <f>IF($A161="","",SUMIFS('Stock In'!$C:$C,'Stock In'!$B:$B,$A161,'Stock In'!$E:$E,"Received"))</f>
        <v/>
      </c>
      <c r="I161">
        <f>IF($A161="","",SUMIFS('Stock In'!$C:$C,'Stock In'!$B:$B,$A161,'Stock In'!$E:$E,"Incoming"))</f>
        <v/>
      </c>
      <c r="J161">
        <f>IF($A161="","",SUMIFS(Sales!$C:$C,Sales!$B:$B,$A161))</f>
        <v/>
      </c>
      <c r="K161">
        <f>IF($A161="","",MAX(0,N($F161)+N($H161)-N($J161)))</f>
        <v/>
      </c>
      <c r="L161" s="6">
        <f>IF($A161="","",$K161*N($D161))</f>
        <v/>
      </c>
      <c r="M161">
        <f>IF($A161="","",IF($K161&lt;=0,"OUT OF STOCK",IF($K161&lt;=N($G161),IF(N($I161)&gt;0,"LOW - ON ORDER","REORDER NOW"),"OK")))</f>
        <v/>
      </c>
      <c r="N161">
        <f>IF($A161="","",SUMIFS(Sales!$C:$C,Sales!$B:$B,$A161,Sales!$A:$A,"&gt;="&amp;(TODAY()-30)))</f>
        <v/>
      </c>
      <c r="O161">
        <f>IF($A161="","",IF(N($N161)=0,"no recent sales",MAX(0,ROUND($K161/($N161/30),0))))</f>
        <v/>
      </c>
    </row>
    <row r="162">
      <c r="A162" s="4" t="n"/>
      <c r="B162" s="4" t="n"/>
      <c r="C162" s="4" t="n"/>
      <c r="D162" s="5" t="n"/>
      <c r="E162" s="5" t="n"/>
      <c r="F162" s="4" t="n"/>
      <c r="G162" s="4" t="n"/>
      <c r="H162">
        <f>IF($A162="","",SUMIFS('Stock In'!$C:$C,'Stock In'!$B:$B,$A162,'Stock In'!$E:$E,"Received"))</f>
        <v/>
      </c>
      <c r="I162">
        <f>IF($A162="","",SUMIFS('Stock In'!$C:$C,'Stock In'!$B:$B,$A162,'Stock In'!$E:$E,"Incoming"))</f>
        <v/>
      </c>
      <c r="J162">
        <f>IF($A162="","",SUMIFS(Sales!$C:$C,Sales!$B:$B,$A162))</f>
        <v/>
      </c>
      <c r="K162">
        <f>IF($A162="","",MAX(0,N($F162)+N($H162)-N($J162)))</f>
        <v/>
      </c>
      <c r="L162" s="6">
        <f>IF($A162="","",$K162*N($D162))</f>
        <v/>
      </c>
      <c r="M162">
        <f>IF($A162="","",IF($K162&lt;=0,"OUT OF STOCK",IF($K162&lt;=N($G162),IF(N($I162)&gt;0,"LOW - ON ORDER","REORDER NOW"),"OK")))</f>
        <v/>
      </c>
      <c r="N162">
        <f>IF($A162="","",SUMIFS(Sales!$C:$C,Sales!$B:$B,$A162,Sales!$A:$A,"&gt;="&amp;(TODAY()-30)))</f>
        <v/>
      </c>
      <c r="O162">
        <f>IF($A162="","",IF(N($N162)=0,"no recent sales",MAX(0,ROUND($K162/($N162/30),0))))</f>
        <v/>
      </c>
    </row>
    <row r="163">
      <c r="A163" s="4" t="n"/>
      <c r="B163" s="4" t="n"/>
      <c r="C163" s="4" t="n"/>
      <c r="D163" s="5" t="n"/>
      <c r="E163" s="5" t="n"/>
      <c r="F163" s="4" t="n"/>
      <c r="G163" s="4" t="n"/>
      <c r="H163">
        <f>IF($A163="","",SUMIFS('Stock In'!$C:$C,'Stock In'!$B:$B,$A163,'Stock In'!$E:$E,"Received"))</f>
        <v/>
      </c>
      <c r="I163">
        <f>IF($A163="","",SUMIFS('Stock In'!$C:$C,'Stock In'!$B:$B,$A163,'Stock In'!$E:$E,"Incoming"))</f>
        <v/>
      </c>
      <c r="J163">
        <f>IF($A163="","",SUMIFS(Sales!$C:$C,Sales!$B:$B,$A163))</f>
        <v/>
      </c>
      <c r="K163">
        <f>IF($A163="","",MAX(0,N($F163)+N($H163)-N($J163)))</f>
        <v/>
      </c>
      <c r="L163" s="6">
        <f>IF($A163="","",$K163*N($D163))</f>
        <v/>
      </c>
      <c r="M163">
        <f>IF($A163="","",IF($K163&lt;=0,"OUT OF STOCK",IF($K163&lt;=N($G163),IF(N($I163)&gt;0,"LOW - ON ORDER","REORDER NOW"),"OK")))</f>
        <v/>
      </c>
      <c r="N163">
        <f>IF($A163="","",SUMIFS(Sales!$C:$C,Sales!$B:$B,$A163,Sales!$A:$A,"&gt;="&amp;(TODAY()-30)))</f>
        <v/>
      </c>
      <c r="O163">
        <f>IF($A163="","",IF(N($N163)=0,"no recent sales",MAX(0,ROUND($K163/($N163/30),0))))</f>
        <v/>
      </c>
    </row>
    <row r="164">
      <c r="A164" s="4" t="n"/>
      <c r="B164" s="4" t="n"/>
      <c r="C164" s="4" t="n"/>
      <c r="D164" s="5" t="n"/>
      <c r="E164" s="5" t="n"/>
      <c r="F164" s="4" t="n"/>
      <c r="G164" s="4" t="n"/>
      <c r="H164">
        <f>IF($A164="","",SUMIFS('Stock In'!$C:$C,'Stock In'!$B:$B,$A164,'Stock In'!$E:$E,"Received"))</f>
        <v/>
      </c>
      <c r="I164">
        <f>IF($A164="","",SUMIFS('Stock In'!$C:$C,'Stock In'!$B:$B,$A164,'Stock In'!$E:$E,"Incoming"))</f>
        <v/>
      </c>
      <c r="J164">
        <f>IF($A164="","",SUMIFS(Sales!$C:$C,Sales!$B:$B,$A164))</f>
        <v/>
      </c>
      <c r="K164">
        <f>IF($A164="","",MAX(0,N($F164)+N($H164)-N($J164)))</f>
        <v/>
      </c>
      <c r="L164" s="6">
        <f>IF($A164="","",$K164*N($D164))</f>
        <v/>
      </c>
      <c r="M164">
        <f>IF($A164="","",IF($K164&lt;=0,"OUT OF STOCK",IF($K164&lt;=N($G164),IF(N($I164)&gt;0,"LOW - ON ORDER","REORDER NOW"),"OK")))</f>
        <v/>
      </c>
      <c r="N164">
        <f>IF($A164="","",SUMIFS(Sales!$C:$C,Sales!$B:$B,$A164,Sales!$A:$A,"&gt;="&amp;(TODAY()-30)))</f>
        <v/>
      </c>
      <c r="O164">
        <f>IF($A164="","",IF(N($N164)=0,"no recent sales",MAX(0,ROUND($K164/($N164/30),0))))</f>
        <v/>
      </c>
    </row>
    <row r="165">
      <c r="A165" s="4" t="n"/>
      <c r="B165" s="4" t="n"/>
      <c r="C165" s="4" t="n"/>
      <c r="D165" s="5" t="n"/>
      <c r="E165" s="5" t="n"/>
      <c r="F165" s="4" t="n"/>
      <c r="G165" s="4" t="n"/>
      <c r="H165">
        <f>IF($A165="","",SUMIFS('Stock In'!$C:$C,'Stock In'!$B:$B,$A165,'Stock In'!$E:$E,"Received"))</f>
        <v/>
      </c>
      <c r="I165">
        <f>IF($A165="","",SUMIFS('Stock In'!$C:$C,'Stock In'!$B:$B,$A165,'Stock In'!$E:$E,"Incoming"))</f>
        <v/>
      </c>
      <c r="J165">
        <f>IF($A165="","",SUMIFS(Sales!$C:$C,Sales!$B:$B,$A165))</f>
        <v/>
      </c>
      <c r="K165">
        <f>IF($A165="","",MAX(0,N($F165)+N($H165)-N($J165)))</f>
        <v/>
      </c>
      <c r="L165" s="6">
        <f>IF($A165="","",$K165*N($D165))</f>
        <v/>
      </c>
      <c r="M165">
        <f>IF($A165="","",IF($K165&lt;=0,"OUT OF STOCK",IF($K165&lt;=N($G165),IF(N($I165)&gt;0,"LOW - ON ORDER","REORDER NOW"),"OK")))</f>
        <v/>
      </c>
      <c r="N165">
        <f>IF($A165="","",SUMIFS(Sales!$C:$C,Sales!$B:$B,$A165,Sales!$A:$A,"&gt;="&amp;(TODAY()-30)))</f>
        <v/>
      </c>
      <c r="O165">
        <f>IF($A165="","",IF(N($N165)=0,"no recent sales",MAX(0,ROUND($K165/($N165/30),0))))</f>
        <v/>
      </c>
    </row>
    <row r="166">
      <c r="A166" s="4" t="n"/>
      <c r="B166" s="4" t="n"/>
      <c r="C166" s="4" t="n"/>
      <c r="D166" s="5" t="n"/>
      <c r="E166" s="5" t="n"/>
      <c r="F166" s="4" t="n"/>
      <c r="G166" s="4" t="n"/>
      <c r="H166">
        <f>IF($A166="","",SUMIFS('Stock In'!$C:$C,'Stock In'!$B:$B,$A166,'Stock In'!$E:$E,"Received"))</f>
        <v/>
      </c>
      <c r="I166">
        <f>IF($A166="","",SUMIFS('Stock In'!$C:$C,'Stock In'!$B:$B,$A166,'Stock In'!$E:$E,"Incoming"))</f>
        <v/>
      </c>
      <c r="J166">
        <f>IF($A166="","",SUMIFS(Sales!$C:$C,Sales!$B:$B,$A166))</f>
        <v/>
      </c>
      <c r="K166">
        <f>IF($A166="","",MAX(0,N($F166)+N($H166)-N($J166)))</f>
        <v/>
      </c>
      <c r="L166" s="6">
        <f>IF($A166="","",$K166*N($D166))</f>
        <v/>
      </c>
      <c r="M166">
        <f>IF($A166="","",IF($K166&lt;=0,"OUT OF STOCK",IF($K166&lt;=N($G166),IF(N($I166)&gt;0,"LOW - ON ORDER","REORDER NOW"),"OK")))</f>
        <v/>
      </c>
      <c r="N166">
        <f>IF($A166="","",SUMIFS(Sales!$C:$C,Sales!$B:$B,$A166,Sales!$A:$A,"&gt;="&amp;(TODAY()-30)))</f>
        <v/>
      </c>
      <c r="O166">
        <f>IF($A166="","",IF(N($N166)=0,"no recent sales",MAX(0,ROUND($K166/($N166/30),0))))</f>
        <v/>
      </c>
    </row>
    <row r="167">
      <c r="A167" s="4" t="n"/>
      <c r="B167" s="4" t="n"/>
      <c r="C167" s="4" t="n"/>
      <c r="D167" s="5" t="n"/>
      <c r="E167" s="5" t="n"/>
      <c r="F167" s="4" t="n"/>
      <c r="G167" s="4" t="n"/>
      <c r="H167">
        <f>IF($A167="","",SUMIFS('Stock In'!$C:$C,'Stock In'!$B:$B,$A167,'Stock In'!$E:$E,"Received"))</f>
        <v/>
      </c>
      <c r="I167">
        <f>IF($A167="","",SUMIFS('Stock In'!$C:$C,'Stock In'!$B:$B,$A167,'Stock In'!$E:$E,"Incoming"))</f>
        <v/>
      </c>
      <c r="J167">
        <f>IF($A167="","",SUMIFS(Sales!$C:$C,Sales!$B:$B,$A167))</f>
        <v/>
      </c>
      <c r="K167">
        <f>IF($A167="","",MAX(0,N($F167)+N($H167)-N($J167)))</f>
        <v/>
      </c>
      <c r="L167" s="6">
        <f>IF($A167="","",$K167*N($D167))</f>
        <v/>
      </c>
      <c r="M167">
        <f>IF($A167="","",IF($K167&lt;=0,"OUT OF STOCK",IF($K167&lt;=N($G167),IF(N($I167)&gt;0,"LOW - ON ORDER","REORDER NOW"),"OK")))</f>
        <v/>
      </c>
      <c r="N167">
        <f>IF($A167="","",SUMIFS(Sales!$C:$C,Sales!$B:$B,$A167,Sales!$A:$A,"&gt;="&amp;(TODAY()-30)))</f>
        <v/>
      </c>
      <c r="O167">
        <f>IF($A167="","",IF(N($N167)=0,"no recent sales",MAX(0,ROUND($K167/($N167/30),0))))</f>
        <v/>
      </c>
    </row>
    <row r="168">
      <c r="A168" s="4" t="n"/>
      <c r="B168" s="4" t="n"/>
      <c r="C168" s="4" t="n"/>
      <c r="D168" s="5" t="n"/>
      <c r="E168" s="5" t="n"/>
      <c r="F168" s="4" t="n"/>
      <c r="G168" s="4" t="n"/>
      <c r="H168">
        <f>IF($A168="","",SUMIFS('Stock In'!$C:$C,'Stock In'!$B:$B,$A168,'Stock In'!$E:$E,"Received"))</f>
        <v/>
      </c>
      <c r="I168">
        <f>IF($A168="","",SUMIFS('Stock In'!$C:$C,'Stock In'!$B:$B,$A168,'Stock In'!$E:$E,"Incoming"))</f>
        <v/>
      </c>
      <c r="J168">
        <f>IF($A168="","",SUMIFS(Sales!$C:$C,Sales!$B:$B,$A168))</f>
        <v/>
      </c>
      <c r="K168">
        <f>IF($A168="","",MAX(0,N($F168)+N($H168)-N($J168)))</f>
        <v/>
      </c>
      <c r="L168" s="6">
        <f>IF($A168="","",$K168*N($D168))</f>
        <v/>
      </c>
      <c r="M168">
        <f>IF($A168="","",IF($K168&lt;=0,"OUT OF STOCK",IF($K168&lt;=N($G168),IF(N($I168)&gt;0,"LOW - ON ORDER","REORDER NOW"),"OK")))</f>
        <v/>
      </c>
      <c r="N168">
        <f>IF($A168="","",SUMIFS(Sales!$C:$C,Sales!$B:$B,$A168,Sales!$A:$A,"&gt;="&amp;(TODAY()-30)))</f>
        <v/>
      </c>
      <c r="O168">
        <f>IF($A168="","",IF(N($N168)=0,"no recent sales",MAX(0,ROUND($K168/($N168/30),0))))</f>
        <v/>
      </c>
    </row>
    <row r="169">
      <c r="A169" s="4" t="n"/>
      <c r="B169" s="4" t="n"/>
      <c r="C169" s="4" t="n"/>
      <c r="D169" s="5" t="n"/>
      <c r="E169" s="5" t="n"/>
      <c r="F169" s="4" t="n"/>
      <c r="G169" s="4" t="n"/>
      <c r="H169">
        <f>IF($A169="","",SUMIFS('Stock In'!$C:$C,'Stock In'!$B:$B,$A169,'Stock In'!$E:$E,"Received"))</f>
        <v/>
      </c>
      <c r="I169">
        <f>IF($A169="","",SUMIFS('Stock In'!$C:$C,'Stock In'!$B:$B,$A169,'Stock In'!$E:$E,"Incoming"))</f>
        <v/>
      </c>
      <c r="J169">
        <f>IF($A169="","",SUMIFS(Sales!$C:$C,Sales!$B:$B,$A169))</f>
        <v/>
      </c>
      <c r="K169">
        <f>IF($A169="","",MAX(0,N($F169)+N($H169)-N($J169)))</f>
        <v/>
      </c>
      <c r="L169" s="6">
        <f>IF($A169="","",$K169*N($D169))</f>
        <v/>
      </c>
      <c r="M169">
        <f>IF($A169="","",IF($K169&lt;=0,"OUT OF STOCK",IF($K169&lt;=N($G169),IF(N($I169)&gt;0,"LOW - ON ORDER","REORDER NOW"),"OK")))</f>
        <v/>
      </c>
      <c r="N169">
        <f>IF($A169="","",SUMIFS(Sales!$C:$C,Sales!$B:$B,$A169,Sales!$A:$A,"&gt;="&amp;(TODAY()-30)))</f>
        <v/>
      </c>
      <c r="O169">
        <f>IF($A169="","",IF(N($N169)=0,"no recent sales",MAX(0,ROUND($K169/($N169/30),0))))</f>
        <v/>
      </c>
    </row>
    <row r="170">
      <c r="A170" s="4" t="n"/>
      <c r="B170" s="4" t="n"/>
      <c r="C170" s="4" t="n"/>
      <c r="D170" s="5" t="n"/>
      <c r="E170" s="5" t="n"/>
      <c r="F170" s="4" t="n"/>
      <c r="G170" s="4" t="n"/>
      <c r="H170">
        <f>IF($A170="","",SUMIFS('Stock In'!$C:$C,'Stock In'!$B:$B,$A170,'Stock In'!$E:$E,"Received"))</f>
        <v/>
      </c>
      <c r="I170">
        <f>IF($A170="","",SUMIFS('Stock In'!$C:$C,'Stock In'!$B:$B,$A170,'Stock In'!$E:$E,"Incoming"))</f>
        <v/>
      </c>
      <c r="J170">
        <f>IF($A170="","",SUMIFS(Sales!$C:$C,Sales!$B:$B,$A170))</f>
        <v/>
      </c>
      <c r="K170">
        <f>IF($A170="","",MAX(0,N($F170)+N($H170)-N($J170)))</f>
        <v/>
      </c>
      <c r="L170" s="6">
        <f>IF($A170="","",$K170*N($D170))</f>
        <v/>
      </c>
      <c r="M170">
        <f>IF($A170="","",IF($K170&lt;=0,"OUT OF STOCK",IF($K170&lt;=N($G170),IF(N($I170)&gt;0,"LOW - ON ORDER","REORDER NOW"),"OK")))</f>
        <v/>
      </c>
      <c r="N170">
        <f>IF($A170="","",SUMIFS(Sales!$C:$C,Sales!$B:$B,$A170,Sales!$A:$A,"&gt;="&amp;(TODAY()-30)))</f>
        <v/>
      </c>
      <c r="O170">
        <f>IF($A170="","",IF(N($N170)=0,"no recent sales",MAX(0,ROUND($K170/($N170/30),0))))</f>
        <v/>
      </c>
    </row>
    <row r="171">
      <c r="A171" s="4" t="n"/>
      <c r="B171" s="4" t="n"/>
      <c r="C171" s="4" t="n"/>
      <c r="D171" s="5" t="n"/>
      <c r="E171" s="5" t="n"/>
      <c r="F171" s="4" t="n"/>
      <c r="G171" s="4" t="n"/>
      <c r="H171">
        <f>IF($A171="","",SUMIFS('Stock In'!$C:$C,'Stock In'!$B:$B,$A171,'Stock In'!$E:$E,"Received"))</f>
        <v/>
      </c>
      <c r="I171">
        <f>IF($A171="","",SUMIFS('Stock In'!$C:$C,'Stock In'!$B:$B,$A171,'Stock In'!$E:$E,"Incoming"))</f>
        <v/>
      </c>
      <c r="J171">
        <f>IF($A171="","",SUMIFS(Sales!$C:$C,Sales!$B:$B,$A171))</f>
        <v/>
      </c>
      <c r="K171">
        <f>IF($A171="","",MAX(0,N($F171)+N($H171)-N($J171)))</f>
        <v/>
      </c>
      <c r="L171" s="6">
        <f>IF($A171="","",$K171*N($D171))</f>
        <v/>
      </c>
      <c r="M171">
        <f>IF($A171="","",IF($K171&lt;=0,"OUT OF STOCK",IF($K171&lt;=N($G171),IF(N($I171)&gt;0,"LOW - ON ORDER","REORDER NOW"),"OK")))</f>
        <v/>
      </c>
      <c r="N171">
        <f>IF($A171="","",SUMIFS(Sales!$C:$C,Sales!$B:$B,$A171,Sales!$A:$A,"&gt;="&amp;(TODAY()-30)))</f>
        <v/>
      </c>
      <c r="O171">
        <f>IF($A171="","",IF(N($N171)=0,"no recent sales",MAX(0,ROUND($K171/($N171/30),0))))</f>
        <v/>
      </c>
    </row>
    <row r="172">
      <c r="A172" s="4" t="n"/>
      <c r="B172" s="4" t="n"/>
      <c r="C172" s="4" t="n"/>
      <c r="D172" s="5" t="n"/>
      <c r="E172" s="5" t="n"/>
      <c r="F172" s="4" t="n"/>
      <c r="G172" s="4" t="n"/>
      <c r="H172">
        <f>IF($A172="","",SUMIFS('Stock In'!$C:$C,'Stock In'!$B:$B,$A172,'Stock In'!$E:$E,"Received"))</f>
        <v/>
      </c>
      <c r="I172">
        <f>IF($A172="","",SUMIFS('Stock In'!$C:$C,'Stock In'!$B:$B,$A172,'Stock In'!$E:$E,"Incoming"))</f>
        <v/>
      </c>
      <c r="J172">
        <f>IF($A172="","",SUMIFS(Sales!$C:$C,Sales!$B:$B,$A172))</f>
        <v/>
      </c>
      <c r="K172">
        <f>IF($A172="","",MAX(0,N($F172)+N($H172)-N($J172)))</f>
        <v/>
      </c>
      <c r="L172" s="6">
        <f>IF($A172="","",$K172*N($D172))</f>
        <v/>
      </c>
      <c r="M172">
        <f>IF($A172="","",IF($K172&lt;=0,"OUT OF STOCK",IF($K172&lt;=N($G172),IF(N($I172)&gt;0,"LOW - ON ORDER","REORDER NOW"),"OK")))</f>
        <v/>
      </c>
      <c r="N172">
        <f>IF($A172="","",SUMIFS(Sales!$C:$C,Sales!$B:$B,$A172,Sales!$A:$A,"&gt;="&amp;(TODAY()-30)))</f>
        <v/>
      </c>
      <c r="O172">
        <f>IF($A172="","",IF(N($N172)=0,"no recent sales",MAX(0,ROUND($K172/($N172/30),0))))</f>
        <v/>
      </c>
    </row>
    <row r="173">
      <c r="A173" s="4" t="n"/>
      <c r="B173" s="4" t="n"/>
      <c r="C173" s="4" t="n"/>
      <c r="D173" s="5" t="n"/>
      <c r="E173" s="5" t="n"/>
      <c r="F173" s="4" t="n"/>
      <c r="G173" s="4" t="n"/>
      <c r="H173">
        <f>IF($A173="","",SUMIFS('Stock In'!$C:$C,'Stock In'!$B:$B,$A173,'Stock In'!$E:$E,"Received"))</f>
        <v/>
      </c>
      <c r="I173">
        <f>IF($A173="","",SUMIFS('Stock In'!$C:$C,'Stock In'!$B:$B,$A173,'Stock In'!$E:$E,"Incoming"))</f>
        <v/>
      </c>
      <c r="J173">
        <f>IF($A173="","",SUMIFS(Sales!$C:$C,Sales!$B:$B,$A173))</f>
        <v/>
      </c>
      <c r="K173">
        <f>IF($A173="","",MAX(0,N($F173)+N($H173)-N($J173)))</f>
        <v/>
      </c>
      <c r="L173" s="6">
        <f>IF($A173="","",$K173*N($D173))</f>
        <v/>
      </c>
      <c r="M173">
        <f>IF($A173="","",IF($K173&lt;=0,"OUT OF STOCK",IF($K173&lt;=N($G173),IF(N($I173)&gt;0,"LOW - ON ORDER","REORDER NOW"),"OK")))</f>
        <v/>
      </c>
      <c r="N173">
        <f>IF($A173="","",SUMIFS(Sales!$C:$C,Sales!$B:$B,$A173,Sales!$A:$A,"&gt;="&amp;(TODAY()-30)))</f>
        <v/>
      </c>
      <c r="O173">
        <f>IF($A173="","",IF(N($N173)=0,"no recent sales",MAX(0,ROUND($K173/($N173/30),0))))</f>
        <v/>
      </c>
    </row>
    <row r="174">
      <c r="A174" s="4" t="n"/>
      <c r="B174" s="4" t="n"/>
      <c r="C174" s="4" t="n"/>
      <c r="D174" s="5" t="n"/>
      <c r="E174" s="5" t="n"/>
      <c r="F174" s="4" t="n"/>
      <c r="G174" s="4" t="n"/>
      <c r="H174">
        <f>IF($A174="","",SUMIFS('Stock In'!$C:$C,'Stock In'!$B:$B,$A174,'Stock In'!$E:$E,"Received"))</f>
        <v/>
      </c>
      <c r="I174">
        <f>IF($A174="","",SUMIFS('Stock In'!$C:$C,'Stock In'!$B:$B,$A174,'Stock In'!$E:$E,"Incoming"))</f>
        <v/>
      </c>
      <c r="J174">
        <f>IF($A174="","",SUMIFS(Sales!$C:$C,Sales!$B:$B,$A174))</f>
        <v/>
      </c>
      <c r="K174">
        <f>IF($A174="","",MAX(0,N($F174)+N($H174)-N($J174)))</f>
        <v/>
      </c>
      <c r="L174" s="6">
        <f>IF($A174="","",$K174*N($D174))</f>
        <v/>
      </c>
      <c r="M174">
        <f>IF($A174="","",IF($K174&lt;=0,"OUT OF STOCK",IF($K174&lt;=N($G174),IF(N($I174)&gt;0,"LOW - ON ORDER","REORDER NOW"),"OK")))</f>
        <v/>
      </c>
      <c r="N174">
        <f>IF($A174="","",SUMIFS(Sales!$C:$C,Sales!$B:$B,$A174,Sales!$A:$A,"&gt;="&amp;(TODAY()-30)))</f>
        <v/>
      </c>
      <c r="O174">
        <f>IF($A174="","",IF(N($N174)=0,"no recent sales",MAX(0,ROUND($K174/($N174/30),0))))</f>
        <v/>
      </c>
    </row>
    <row r="175">
      <c r="A175" s="4" t="n"/>
      <c r="B175" s="4" t="n"/>
      <c r="C175" s="4" t="n"/>
      <c r="D175" s="5" t="n"/>
      <c r="E175" s="5" t="n"/>
      <c r="F175" s="4" t="n"/>
      <c r="G175" s="4" t="n"/>
      <c r="H175">
        <f>IF($A175="","",SUMIFS('Stock In'!$C:$C,'Stock In'!$B:$B,$A175,'Stock In'!$E:$E,"Received"))</f>
        <v/>
      </c>
      <c r="I175">
        <f>IF($A175="","",SUMIFS('Stock In'!$C:$C,'Stock In'!$B:$B,$A175,'Stock In'!$E:$E,"Incoming"))</f>
        <v/>
      </c>
      <c r="J175">
        <f>IF($A175="","",SUMIFS(Sales!$C:$C,Sales!$B:$B,$A175))</f>
        <v/>
      </c>
      <c r="K175">
        <f>IF($A175="","",MAX(0,N($F175)+N($H175)-N($J175)))</f>
        <v/>
      </c>
      <c r="L175" s="6">
        <f>IF($A175="","",$K175*N($D175))</f>
        <v/>
      </c>
      <c r="M175">
        <f>IF($A175="","",IF($K175&lt;=0,"OUT OF STOCK",IF($K175&lt;=N($G175),IF(N($I175)&gt;0,"LOW - ON ORDER","REORDER NOW"),"OK")))</f>
        <v/>
      </c>
      <c r="N175">
        <f>IF($A175="","",SUMIFS(Sales!$C:$C,Sales!$B:$B,$A175,Sales!$A:$A,"&gt;="&amp;(TODAY()-30)))</f>
        <v/>
      </c>
      <c r="O175">
        <f>IF($A175="","",IF(N($N175)=0,"no recent sales",MAX(0,ROUND($K175/($N175/30),0))))</f>
        <v/>
      </c>
    </row>
    <row r="176">
      <c r="A176" s="4" t="n"/>
      <c r="B176" s="4" t="n"/>
      <c r="C176" s="4" t="n"/>
      <c r="D176" s="5" t="n"/>
      <c r="E176" s="5" t="n"/>
      <c r="F176" s="4" t="n"/>
      <c r="G176" s="4" t="n"/>
      <c r="H176">
        <f>IF($A176="","",SUMIFS('Stock In'!$C:$C,'Stock In'!$B:$B,$A176,'Stock In'!$E:$E,"Received"))</f>
        <v/>
      </c>
      <c r="I176">
        <f>IF($A176="","",SUMIFS('Stock In'!$C:$C,'Stock In'!$B:$B,$A176,'Stock In'!$E:$E,"Incoming"))</f>
        <v/>
      </c>
      <c r="J176">
        <f>IF($A176="","",SUMIFS(Sales!$C:$C,Sales!$B:$B,$A176))</f>
        <v/>
      </c>
      <c r="K176">
        <f>IF($A176="","",MAX(0,N($F176)+N($H176)-N($J176)))</f>
        <v/>
      </c>
      <c r="L176" s="6">
        <f>IF($A176="","",$K176*N($D176))</f>
        <v/>
      </c>
      <c r="M176">
        <f>IF($A176="","",IF($K176&lt;=0,"OUT OF STOCK",IF($K176&lt;=N($G176),IF(N($I176)&gt;0,"LOW - ON ORDER","REORDER NOW"),"OK")))</f>
        <v/>
      </c>
      <c r="N176">
        <f>IF($A176="","",SUMIFS(Sales!$C:$C,Sales!$B:$B,$A176,Sales!$A:$A,"&gt;="&amp;(TODAY()-30)))</f>
        <v/>
      </c>
      <c r="O176">
        <f>IF($A176="","",IF(N($N176)=0,"no recent sales",MAX(0,ROUND($K176/($N176/30),0))))</f>
        <v/>
      </c>
    </row>
    <row r="177">
      <c r="A177" s="4" t="n"/>
      <c r="B177" s="4" t="n"/>
      <c r="C177" s="4" t="n"/>
      <c r="D177" s="5" t="n"/>
      <c r="E177" s="5" t="n"/>
      <c r="F177" s="4" t="n"/>
      <c r="G177" s="4" t="n"/>
      <c r="H177">
        <f>IF($A177="","",SUMIFS('Stock In'!$C:$C,'Stock In'!$B:$B,$A177,'Stock In'!$E:$E,"Received"))</f>
        <v/>
      </c>
      <c r="I177">
        <f>IF($A177="","",SUMIFS('Stock In'!$C:$C,'Stock In'!$B:$B,$A177,'Stock In'!$E:$E,"Incoming"))</f>
        <v/>
      </c>
      <c r="J177">
        <f>IF($A177="","",SUMIFS(Sales!$C:$C,Sales!$B:$B,$A177))</f>
        <v/>
      </c>
      <c r="K177">
        <f>IF($A177="","",MAX(0,N($F177)+N($H177)-N($J177)))</f>
        <v/>
      </c>
      <c r="L177" s="6">
        <f>IF($A177="","",$K177*N($D177))</f>
        <v/>
      </c>
      <c r="M177">
        <f>IF($A177="","",IF($K177&lt;=0,"OUT OF STOCK",IF($K177&lt;=N($G177),IF(N($I177)&gt;0,"LOW - ON ORDER","REORDER NOW"),"OK")))</f>
        <v/>
      </c>
      <c r="N177">
        <f>IF($A177="","",SUMIFS(Sales!$C:$C,Sales!$B:$B,$A177,Sales!$A:$A,"&gt;="&amp;(TODAY()-30)))</f>
        <v/>
      </c>
      <c r="O177">
        <f>IF($A177="","",IF(N($N177)=0,"no recent sales",MAX(0,ROUND($K177/($N177/30),0))))</f>
        <v/>
      </c>
    </row>
    <row r="178">
      <c r="A178" s="4" t="n"/>
      <c r="B178" s="4" t="n"/>
      <c r="C178" s="4" t="n"/>
      <c r="D178" s="5" t="n"/>
      <c r="E178" s="5" t="n"/>
      <c r="F178" s="4" t="n"/>
      <c r="G178" s="4" t="n"/>
      <c r="H178">
        <f>IF($A178="","",SUMIFS('Stock In'!$C:$C,'Stock In'!$B:$B,$A178,'Stock In'!$E:$E,"Received"))</f>
        <v/>
      </c>
      <c r="I178">
        <f>IF($A178="","",SUMIFS('Stock In'!$C:$C,'Stock In'!$B:$B,$A178,'Stock In'!$E:$E,"Incoming"))</f>
        <v/>
      </c>
      <c r="J178">
        <f>IF($A178="","",SUMIFS(Sales!$C:$C,Sales!$B:$B,$A178))</f>
        <v/>
      </c>
      <c r="K178">
        <f>IF($A178="","",MAX(0,N($F178)+N($H178)-N($J178)))</f>
        <v/>
      </c>
      <c r="L178" s="6">
        <f>IF($A178="","",$K178*N($D178))</f>
        <v/>
      </c>
      <c r="M178">
        <f>IF($A178="","",IF($K178&lt;=0,"OUT OF STOCK",IF($K178&lt;=N($G178),IF(N($I178)&gt;0,"LOW - ON ORDER","REORDER NOW"),"OK")))</f>
        <v/>
      </c>
      <c r="N178">
        <f>IF($A178="","",SUMIFS(Sales!$C:$C,Sales!$B:$B,$A178,Sales!$A:$A,"&gt;="&amp;(TODAY()-30)))</f>
        <v/>
      </c>
      <c r="O178">
        <f>IF($A178="","",IF(N($N178)=0,"no recent sales",MAX(0,ROUND($K178/($N178/30),0))))</f>
        <v/>
      </c>
    </row>
    <row r="179">
      <c r="A179" s="4" t="n"/>
      <c r="B179" s="4" t="n"/>
      <c r="C179" s="4" t="n"/>
      <c r="D179" s="5" t="n"/>
      <c r="E179" s="5" t="n"/>
      <c r="F179" s="4" t="n"/>
      <c r="G179" s="4" t="n"/>
      <c r="H179">
        <f>IF($A179="","",SUMIFS('Stock In'!$C:$C,'Stock In'!$B:$B,$A179,'Stock In'!$E:$E,"Received"))</f>
        <v/>
      </c>
      <c r="I179">
        <f>IF($A179="","",SUMIFS('Stock In'!$C:$C,'Stock In'!$B:$B,$A179,'Stock In'!$E:$E,"Incoming"))</f>
        <v/>
      </c>
      <c r="J179">
        <f>IF($A179="","",SUMIFS(Sales!$C:$C,Sales!$B:$B,$A179))</f>
        <v/>
      </c>
      <c r="K179">
        <f>IF($A179="","",MAX(0,N($F179)+N($H179)-N($J179)))</f>
        <v/>
      </c>
      <c r="L179" s="6">
        <f>IF($A179="","",$K179*N($D179))</f>
        <v/>
      </c>
      <c r="M179">
        <f>IF($A179="","",IF($K179&lt;=0,"OUT OF STOCK",IF($K179&lt;=N($G179),IF(N($I179)&gt;0,"LOW - ON ORDER","REORDER NOW"),"OK")))</f>
        <v/>
      </c>
      <c r="N179">
        <f>IF($A179="","",SUMIFS(Sales!$C:$C,Sales!$B:$B,$A179,Sales!$A:$A,"&gt;="&amp;(TODAY()-30)))</f>
        <v/>
      </c>
      <c r="O179">
        <f>IF($A179="","",IF(N($N179)=0,"no recent sales",MAX(0,ROUND($K179/($N179/30),0))))</f>
        <v/>
      </c>
    </row>
    <row r="180">
      <c r="A180" s="4" t="n"/>
      <c r="B180" s="4" t="n"/>
      <c r="C180" s="4" t="n"/>
      <c r="D180" s="5" t="n"/>
      <c r="E180" s="5" t="n"/>
      <c r="F180" s="4" t="n"/>
      <c r="G180" s="4" t="n"/>
      <c r="H180">
        <f>IF($A180="","",SUMIFS('Stock In'!$C:$C,'Stock In'!$B:$B,$A180,'Stock In'!$E:$E,"Received"))</f>
        <v/>
      </c>
      <c r="I180">
        <f>IF($A180="","",SUMIFS('Stock In'!$C:$C,'Stock In'!$B:$B,$A180,'Stock In'!$E:$E,"Incoming"))</f>
        <v/>
      </c>
      <c r="J180">
        <f>IF($A180="","",SUMIFS(Sales!$C:$C,Sales!$B:$B,$A180))</f>
        <v/>
      </c>
      <c r="K180">
        <f>IF($A180="","",MAX(0,N($F180)+N($H180)-N($J180)))</f>
        <v/>
      </c>
      <c r="L180" s="6">
        <f>IF($A180="","",$K180*N($D180))</f>
        <v/>
      </c>
      <c r="M180">
        <f>IF($A180="","",IF($K180&lt;=0,"OUT OF STOCK",IF($K180&lt;=N($G180),IF(N($I180)&gt;0,"LOW - ON ORDER","REORDER NOW"),"OK")))</f>
        <v/>
      </c>
      <c r="N180">
        <f>IF($A180="","",SUMIFS(Sales!$C:$C,Sales!$B:$B,$A180,Sales!$A:$A,"&gt;="&amp;(TODAY()-30)))</f>
        <v/>
      </c>
      <c r="O180">
        <f>IF($A180="","",IF(N($N180)=0,"no recent sales",MAX(0,ROUND($K180/($N180/30),0))))</f>
        <v/>
      </c>
    </row>
    <row r="181">
      <c r="A181" s="4" t="n"/>
      <c r="B181" s="4" t="n"/>
      <c r="C181" s="4" t="n"/>
      <c r="D181" s="5" t="n"/>
      <c r="E181" s="5" t="n"/>
      <c r="F181" s="4" t="n"/>
      <c r="G181" s="4" t="n"/>
      <c r="H181">
        <f>IF($A181="","",SUMIFS('Stock In'!$C:$C,'Stock In'!$B:$B,$A181,'Stock In'!$E:$E,"Received"))</f>
        <v/>
      </c>
      <c r="I181">
        <f>IF($A181="","",SUMIFS('Stock In'!$C:$C,'Stock In'!$B:$B,$A181,'Stock In'!$E:$E,"Incoming"))</f>
        <v/>
      </c>
      <c r="J181">
        <f>IF($A181="","",SUMIFS(Sales!$C:$C,Sales!$B:$B,$A181))</f>
        <v/>
      </c>
      <c r="K181">
        <f>IF($A181="","",MAX(0,N($F181)+N($H181)-N($J181)))</f>
        <v/>
      </c>
      <c r="L181" s="6">
        <f>IF($A181="","",$K181*N($D181))</f>
        <v/>
      </c>
      <c r="M181">
        <f>IF($A181="","",IF($K181&lt;=0,"OUT OF STOCK",IF($K181&lt;=N($G181),IF(N($I181)&gt;0,"LOW - ON ORDER","REORDER NOW"),"OK")))</f>
        <v/>
      </c>
      <c r="N181">
        <f>IF($A181="","",SUMIFS(Sales!$C:$C,Sales!$B:$B,$A181,Sales!$A:$A,"&gt;="&amp;(TODAY()-30)))</f>
        <v/>
      </c>
      <c r="O181">
        <f>IF($A181="","",IF(N($N181)=0,"no recent sales",MAX(0,ROUND($K181/($N181/30),0))))</f>
        <v/>
      </c>
    </row>
    <row r="182">
      <c r="A182" s="4" t="n"/>
      <c r="B182" s="4" t="n"/>
      <c r="C182" s="4" t="n"/>
      <c r="D182" s="5" t="n"/>
      <c r="E182" s="5" t="n"/>
      <c r="F182" s="4" t="n"/>
      <c r="G182" s="4" t="n"/>
      <c r="H182">
        <f>IF($A182="","",SUMIFS('Stock In'!$C:$C,'Stock In'!$B:$B,$A182,'Stock In'!$E:$E,"Received"))</f>
        <v/>
      </c>
      <c r="I182">
        <f>IF($A182="","",SUMIFS('Stock In'!$C:$C,'Stock In'!$B:$B,$A182,'Stock In'!$E:$E,"Incoming"))</f>
        <v/>
      </c>
      <c r="J182">
        <f>IF($A182="","",SUMIFS(Sales!$C:$C,Sales!$B:$B,$A182))</f>
        <v/>
      </c>
      <c r="K182">
        <f>IF($A182="","",MAX(0,N($F182)+N($H182)-N($J182)))</f>
        <v/>
      </c>
      <c r="L182" s="6">
        <f>IF($A182="","",$K182*N($D182))</f>
        <v/>
      </c>
      <c r="M182">
        <f>IF($A182="","",IF($K182&lt;=0,"OUT OF STOCK",IF($K182&lt;=N($G182),IF(N($I182)&gt;0,"LOW - ON ORDER","REORDER NOW"),"OK")))</f>
        <v/>
      </c>
      <c r="N182">
        <f>IF($A182="","",SUMIFS(Sales!$C:$C,Sales!$B:$B,$A182,Sales!$A:$A,"&gt;="&amp;(TODAY()-30)))</f>
        <v/>
      </c>
      <c r="O182">
        <f>IF($A182="","",IF(N($N182)=0,"no recent sales",MAX(0,ROUND($K182/($N182/30),0))))</f>
        <v/>
      </c>
    </row>
    <row r="183">
      <c r="A183" s="4" t="n"/>
      <c r="B183" s="4" t="n"/>
      <c r="C183" s="4" t="n"/>
      <c r="D183" s="5" t="n"/>
      <c r="E183" s="5" t="n"/>
      <c r="F183" s="4" t="n"/>
      <c r="G183" s="4" t="n"/>
      <c r="H183">
        <f>IF($A183="","",SUMIFS('Stock In'!$C:$C,'Stock In'!$B:$B,$A183,'Stock In'!$E:$E,"Received"))</f>
        <v/>
      </c>
      <c r="I183">
        <f>IF($A183="","",SUMIFS('Stock In'!$C:$C,'Stock In'!$B:$B,$A183,'Stock In'!$E:$E,"Incoming"))</f>
        <v/>
      </c>
      <c r="J183">
        <f>IF($A183="","",SUMIFS(Sales!$C:$C,Sales!$B:$B,$A183))</f>
        <v/>
      </c>
      <c r="K183">
        <f>IF($A183="","",MAX(0,N($F183)+N($H183)-N($J183)))</f>
        <v/>
      </c>
      <c r="L183" s="6">
        <f>IF($A183="","",$K183*N($D183))</f>
        <v/>
      </c>
      <c r="M183">
        <f>IF($A183="","",IF($K183&lt;=0,"OUT OF STOCK",IF($K183&lt;=N($G183),IF(N($I183)&gt;0,"LOW - ON ORDER","REORDER NOW"),"OK")))</f>
        <v/>
      </c>
      <c r="N183">
        <f>IF($A183="","",SUMIFS(Sales!$C:$C,Sales!$B:$B,$A183,Sales!$A:$A,"&gt;="&amp;(TODAY()-30)))</f>
        <v/>
      </c>
      <c r="O183">
        <f>IF($A183="","",IF(N($N183)=0,"no recent sales",MAX(0,ROUND($K183/($N183/30),0))))</f>
        <v/>
      </c>
    </row>
    <row r="184">
      <c r="A184" s="4" t="n"/>
      <c r="B184" s="4" t="n"/>
      <c r="C184" s="4" t="n"/>
      <c r="D184" s="5" t="n"/>
      <c r="E184" s="5" t="n"/>
      <c r="F184" s="4" t="n"/>
      <c r="G184" s="4" t="n"/>
      <c r="H184">
        <f>IF($A184="","",SUMIFS('Stock In'!$C:$C,'Stock In'!$B:$B,$A184,'Stock In'!$E:$E,"Received"))</f>
        <v/>
      </c>
      <c r="I184">
        <f>IF($A184="","",SUMIFS('Stock In'!$C:$C,'Stock In'!$B:$B,$A184,'Stock In'!$E:$E,"Incoming"))</f>
        <v/>
      </c>
      <c r="J184">
        <f>IF($A184="","",SUMIFS(Sales!$C:$C,Sales!$B:$B,$A184))</f>
        <v/>
      </c>
      <c r="K184">
        <f>IF($A184="","",MAX(0,N($F184)+N($H184)-N($J184)))</f>
        <v/>
      </c>
      <c r="L184" s="6">
        <f>IF($A184="","",$K184*N($D184))</f>
        <v/>
      </c>
      <c r="M184">
        <f>IF($A184="","",IF($K184&lt;=0,"OUT OF STOCK",IF($K184&lt;=N($G184),IF(N($I184)&gt;0,"LOW - ON ORDER","REORDER NOW"),"OK")))</f>
        <v/>
      </c>
      <c r="N184">
        <f>IF($A184="","",SUMIFS(Sales!$C:$C,Sales!$B:$B,$A184,Sales!$A:$A,"&gt;="&amp;(TODAY()-30)))</f>
        <v/>
      </c>
      <c r="O184">
        <f>IF($A184="","",IF(N($N184)=0,"no recent sales",MAX(0,ROUND($K184/($N184/30),0))))</f>
        <v/>
      </c>
    </row>
    <row r="185">
      <c r="A185" s="4" t="n"/>
      <c r="B185" s="4" t="n"/>
      <c r="C185" s="4" t="n"/>
      <c r="D185" s="5" t="n"/>
      <c r="E185" s="5" t="n"/>
      <c r="F185" s="4" t="n"/>
      <c r="G185" s="4" t="n"/>
      <c r="H185">
        <f>IF($A185="","",SUMIFS('Stock In'!$C:$C,'Stock In'!$B:$B,$A185,'Stock In'!$E:$E,"Received"))</f>
        <v/>
      </c>
      <c r="I185">
        <f>IF($A185="","",SUMIFS('Stock In'!$C:$C,'Stock In'!$B:$B,$A185,'Stock In'!$E:$E,"Incoming"))</f>
        <v/>
      </c>
      <c r="J185">
        <f>IF($A185="","",SUMIFS(Sales!$C:$C,Sales!$B:$B,$A185))</f>
        <v/>
      </c>
      <c r="K185">
        <f>IF($A185="","",MAX(0,N($F185)+N($H185)-N($J185)))</f>
        <v/>
      </c>
      <c r="L185" s="6">
        <f>IF($A185="","",$K185*N($D185))</f>
        <v/>
      </c>
      <c r="M185">
        <f>IF($A185="","",IF($K185&lt;=0,"OUT OF STOCK",IF($K185&lt;=N($G185),IF(N($I185)&gt;0,"LOW - ON ORDER","REORDER NOW"),"OK")))</f>
        <v/>
      </c>
      <c r="N185">
        <f>IF($A185="","",SUMIFS(Sales!$C:$C,Sales!$B:$B,$A185,Sales!$A:$A,"&gt;="&amp;(TODAY()-30)))</f>
        <v/>
      </c>
      <c r="O185">
        <f>IF($A185="","",IF(N($N185)=0,"no recent sales",MAX(0,ROUND($K185/($N185/30),0))))</f>
        <v/>
      </c>
    </row>
    <row r="186">
      <c r="A186" s="4" t="n"/>
      <c r="B186" s="4" t="n"/>
      <c r="C186" s="4" t="n"/>
      <c r="D186" s="5" t="n"/>
      <c r="E186" s="5" t="n"/>
      <c r="F186" s="4" t="n"/>
      <c r="G186" s="4" t="n"/>
      <c r="H186">
        <f>IF($A186="","",SUMIFS('Stock In'!$C:$C,'Stock In'!$B:$B,$A186,'Stock In'!$E:$E,"Received"))</f>
        <v/>
      </c>
      <c r="I186">
        <f>IF($A186="","",SUMIFS('Stock In'!$C:$C,'Stock In'!$B:$B,$A186,'Stock In'!$E:$E,"Incoming"))</f>
        <v/>
      </c>
      <c r="J186">
        <f>IF($A186="","",SUMIFS(Sales!$C:$C,Sales!$B:$B,$A186))</f>
        <v/>
      </c>
      <c r="K186">
        <f>IF($A186="","",MAX(0,N($F186)+N($H186)-N($J186)))</f>
        <v/>
      </c>
      <c r="L186" s="6">
        <f>IF($A186="","",$K186*N($D186))</f>
        <v/>
      </c>
      <c r="M186">
        <f>IF($A186="","",IF($K186&lt;=0,"OUT OF STOCK",IF($K186&lt;=N($G186),IF(N($I186)&gt;0,"LOW - ON ORDER","REORDER NOW"),"OK")))</f>
        <v/>
      </c>
      <c r="N186">
        <f>IF($A186="","",SUMIFS(Sales!$C:$C,Sales!$B:$B,$A186,Sales!$A:$A,"&gt;="&amp;(TODAY()-30)))</f>
        <v/>
      </c>
      <c r="O186">
        <f>IF($A186="","",IF(N($N186)=0,"no recent sales",MAX(0,ROUND($K186/($N186/30),0))))</f>
        <v/>
      </c>
    </row>
    <row r="187">
      <c r="A187" s="4" t="n"/>
      <c r="B187" s="4" t="n"/>
      <c r="C187" s="4" t="n"/>
      <c r="D187" s="5" t="n"/>
      <c r="E187" s="5" t="n"/>
      <c r="F187" s="4" t="n"/>
      <c r="G187" s="4" t="n"/>
      <c r="H187">
        <f>IF($A187="","",SUMIFS('Stock In'!$C:$C,'Stock In'!$B:$B,$A187,'Stock In'!$E:$E,"Received"))</f>
        <v/>
      </c>
      <c r="I187">
        <f>IF($A187="","",SUMIFS('Stock In'!$C:$C,'Stock In'!$B:$B,$A187,'Stock In'!$E:$E,"Incoming"))</f>
        <v/>
      </c>
      <c r="J187">
        <f>IF($A187="","",SUMIFS(Sales!$C:$C,Sales!$B:$B,$A187))</f>
        <v/>
      </c>
      <c r="K187">
        <f>IF($A187="","",MAX(0,N($F187)+N($H187)-N($J187)))</f>
        <v/>
      </c>
      <c r="L187" s="6">
        <f>IF($A187="","",$K187*N($D187))</f>
        <v/>
      </c>
      <c r="M187">
        <f>IF($A187="","",IF($K187&lt;=0,"OUT OF STOCK",IF($K187&lt;=N($G187),IF(N($I187)&gt;0,"LOW - ON ORDER","REORDER NOW"),"OK")))</f>
        <v/>
      </c>
      <c r="N187">
        <f>IF($A187="","",SUMIFS(Sales!$C:$C,Sales!$B:$B,$A187,Sales!$A:$A,"&gt;="&amp;(TODAY()-30)))</f>
        <v/>
      </c>
      <c r="O187">
        <f>IF($A187="","",IF(N($N187)=0,"no recent sales",MAX(0,ROUND($K187/($N187/30),0))))</f>
        <v/>
      </c>
    </row>
    <row r="188">
      <c r="A188" s="4" t="n"/>
      <c r="B188" s="4" t="n"/>
      <c r="C188" s="4" t="n"/>
      <c r="D188" s="5" t="n"/>
      <c r="E188" s="5" t="n"/>
      <c r="F188" s="4" t="n"/>
      <c r="G188" s="4" t="n"/>
      <c r="H188">
        <f>IF($A188="","",SUMIFS('Stock In'!$C:$C,'Stock In'!$B:$B,$A188,'Stock In'!$E:$E,"Received"))</f>
        <v/>
      </c>
      <c r="I188">
        <f>IF($A188="","",SUMIFS('Stock In'!$C:$C,'Stock In'!$B:$B,$A188,'Stock In'!$E:$E,"Incoming"))</f>
        <v/>
      </c>
      <c r="J188">
        <f>IF($A188="","",SUMIFS(Sales!$C:$C,Sales!$B:$B,$A188))</f>
        <v/>
      </c>
      <c r="K188">
        <f>IF($A188="","",MAX(0,N($F188)+N($H188)-N($J188)))</f>
        <v/>
      </c>
      <c r="L188" s="6">
        <f>IF($A188="","",$K188*N($D188))</f>
        <v/>
      </c>
      <c r="M188">
        <f>IF($A188="","",IF($K188&lt;=0,"OUT OF STOCK",IF($K188&lt;=N($G188),IF(N($I188)&gt;0,"LOW - ON ORDER","REORDER NOW"),"OK")))</f>
        <v/>
      </c>
      <c r="N188">
        <f>IF($A188="","",SUMIFS(Sales!$C:$C,Sales!$B:$B,$A188,Sales!$A:$A,"&gt;="&amp;(TODAY()-30)))</f>
        <v/>
      </c>
      <c r="O188">
        <f>IF($A188="","",IF(N($N188)=0,"no recent sales",MAX(0,ROUND($K188/($N188/30),0))))</f>
        <v/>
      </c>
    </row>
    <row r="189">
      <c r="A189" s="4" t="n"/>
      <c r="B189" s="4" t="n"/>
      <c r="C189" s="4" t="n"/>
      <c r="D189" s="5" t="n"/>
      <c r="E189" s="5" t="n"/>
      <c r="F189" s="4" t="n"/>
      <c r="G189" s="4" t="n"/>
      <c r="H189">
        <f>IF($A189="","",SUMIFS('Stock In'!$C:$C,'Stock In'!$B:$B,$A189,'Stock In'!$E:$E,"Received"))</f>
        <v/>
      </c>
      <c r="I189">
        <f>IF($A189="","",SUMIFS('Stock In'!$C:$C,'Stock In'!$B:$B,$A189,'Stock In'!$E:$E,"Incoming"))</f>
        <v/>
      </c>
      <c r="J189">
        <f>IF($A189="","",SUMIFS(Sales!$C:$C,Sales!$B:$B,$A189))</f>
        <v/>
      </c>
      <c r="K189">
        <f>IF($A189="","",MAX(0,N($F189)+N($H189)-N($J189)))</f>
        <v/>
      </c>
      <c r="L189" s="6">
        <f>IF($A189="","",$K189*N($D189))</f>
        <v/>
      </c>
      <c r="M189">
        <f>IF($A189="","",IF($K189&lt;=0,"OUT OF STOCK",IF($K189&lt;=N($G189),IF(N($I189)&gt;0,"LOW - ON ORDER","REORDER NOW"),"OK")))</f>
        <v/>
      </c>
      <c r="N189">
        <f>IF($A189="","",SUMIFS(Sales!$C:$C,Sales!$B:$B,$A189,Sales!$A:$A,"&gt;="&amp;(TODAY()-30)))</f>
        <v/>
      </c>
      <c r="O189">
        <f>IF($A189="","",IF(N($N189)=0,"no recent sales",MAX(0,ROUND($K189/($N189/30),0))))</f>
        <v/>
      </c>
    </row>
    <row r="190">
      <c r="A190" s="4" t="n"/>
      <c r="B190" s="4" t="n"/>
      <c r="C190" s="4" t="n"/>
      <c r="D190" s="5" t="n"/>
      <c r="E190" s="5" t="n"/>
      <c r="F190" s="4" t="n"/>
      <c r="G190" s="4" t="n"/>
      <c r="H190">
        <f>IF($A190="","",SUMIFS('Stock In'!$C:$C,'Stock In'!$B:$B,$A190,'Stock In'!$E:$E,"Received"))</f>
        <v/>
      </c>
      <c r="I190">
        <f>IF($A190="","",SUMIFS('Stock In'!$C:$C,'Stock In'!$B:$B,$A190,'Stock In'!$E:$E,"Incoming"))</f>
        <v/>
      </c>
      <c r="J190">
        <f>IF($A190="","",SUMIFS(Sales!$C:$C,Sales!$B:$B,$A190))</f>
        <v/>
      </c>
      <c r="K190">
        <f>IF($A190="","",MAX(0,N($F190)+N($H190)-N($J190)))</f>
        <v/>
      </c>
      <c r="L190" s="6">
        <f>IF($A190="","",$K190*N($D190))</f>
        <v/>
      </c>
      <c r="M190">
        <f>IF($A190="","",IF($K190&lt;=0,"OUT OF STOCK",IF($K190&lt;=N($G190),IF(N($I190)&gt;0,"LOW - ON ORDER","REORDER NOW"),"OK")))</f>
        <v/>
      </c>
      <c r="N190">
        <f>IF($A190="","",SUMIFS(Sales!$C:$C,Sales!$B:$B,$A190,Sales!$A:$A,"&gt;="&amp;(TODAY()-30)))</f>
        <v/>
      </c>
      <c r="O190">
        <f>IF($A190="","",IF(N($N190)=0,"no recent sales",MAX(0,ROUND($K190/($N190/30),0))))</f>
        <v/>
      </c>
    </row>
    <row r="191">
      <c r="A191" s="4" t="n"/>
      <c r="B191" s="4" t="n"/>
      <c r="C191" s="4" t="n"/>
      <c r="D191" s="5" t="n"/>
      <c r="E191" s="5" t="n"/>
      <c r="F191" s="4" t="n"/>
      <c r="G191" s="4" t="n"/>
      <c r="H191">
        <f>IF($A191="","",SUMIFS('Stock In'!$C:$C,'Stock In'!$B:$B,$A191,'Stock In'!$E:$E,"Received"))</f>
        <v/>
      </c>
      <c r="I191">
        <f>IF($A191="","",SUMIFS('Stock In'!$C:$C,'Stock In'!$B:$B,$A191,'Stock In'!$E:$E,"Incoming"))</f>
        <v/>
      </c>
      <c r="J191">
        <f>IF($A191="","",SUMIFS(Sales!$C:$C,Sales!$B:$B,$A191))</f>
        <v/>
      </c>
      <c r="K191">
        <f>IF($A191="","",MAX(0,N($F191)+N($H191)-N($J191)))</f>
        <v/>
      </c>
      <c r="L191" s="6">
        <f>IF($A191="","",$K191*N($D191))</f>
        <v/>
      </c>
      <c r="M191">
        <f>IF($A191="","",IF($K191&lt;=0,"OUT OF STOCK",IF($K191&lt;=N($G191),IF(N($I191)&gt;0,"LOW - ON ORDER","REORDER NOW"),"OK")))</f>
        <v/>
      </c>
      <c r="N191">
        <f>IF($A191="","",SUMIFS(Sales!$C:$C,Sales!$B:$B,$A191,Sales!$A:$A,"&gt;="&amp;(TODAY()-30)))</f>
        <v/>
      </c>
      <c r="O191">
        <f>IF($A191="","",IF(N($N191)=0,"no recent sales",MAX(0,ROUND($K191/($N191/30),0))))</f>
        <v/>
      </c>
    </row>
    <row r="192">
      <c r="A192" s="4" t="n"/>
      <c r="B192" s="4" t="n"/>
      <c r="C192" s="4" t="n"/>
      <c r="D192" s="5" t="n"/>
      <c r="E192" s="5" t="n"/>
      <c r="F192" s="4" t="n"/>
      <c r="G192" s="4" t="n"/>
      <c r="H192">
        <f>IF($A192="","",SUMIFS('Stock In'!$C:$C,'Stock In'!$B:$B,$A192,'Stock In'!$E:$E,"Received"))</f>
        <v/>
      </c>
      <c r="I192">
        <f>IF($A192="","",SUMIFS('Stock In'!$C:$C,'Stock In'!$B:$B,$A192,'Stock In'!$E:$E,"Incoming"))</f>
        <v/>
      </c>
      <c r="J192">
        <f>IF($A192="","",SUMIFS(Sales!$C:$C,Sales!$B:$B,$A192))</f>
        <v/>
      </c>
      <c r="K192">
        <f>IF($A192="","",MAX(0,N($F192)+N($H192)-N($J192)))</f>
        <v/>
      </c>
      <c r="L192" s="6">
        <f>IF($A192="","",$K192*N($D192))</f>
        <v/>
      </c>
      <c r="M192">
        <f>IF($A192="","",IF($K192&lt;=0,"OUT OF STOCK",IF($K192&lt;=N($G192),IF(N($I192)&gt;0,"LOW - ON ORDER","REORDER NOW"),"OK")))</f>
        <v/>
      </c>
      <c r="N192">
        <f>IF($A192="","",SUMIFS(Sales!$C:$C,Sales!$B:$B,$A192,Sales!$A:$A,"&gt;="&amp;(TODAY()-30)))</f>
        <v/>
      </c>
      <c r="O192">
        <f>IF($A192="","",IF(N($N192)=0,"no recent sales",MAX(0,ROUND($K192/($N192/30),0))))</f>
        <v/>
      </c>
    </row>
    <row r="193">
      <c r="A193" s="4" t="n"/>
      <c r="B193" s="4" t="n"/>
      <c r="C193" s="4" t="n"/>
      <c r="D193" s="5" t="n"/>
      <c r="E193" s="5" t="n"/>
      <c r="F193" s="4" t="n"/>
      <c r="G193" s="4" t="n"/>
      <c r="H193">
        <f>IF($A193="","",SUMIFS('Stock In'!$C:$C,'Stock In'!$B:$B,$A193,'Stock In'!$E:$E,"Received"))</f>
        <v/>
      </c>
      <c r="I193">
        <f>IF($A193="","",SUMIFS('Stock In'!$C:$C,'Stock In'!$B:$B,$A193,'Stock In'!$E:$E,"Incoming"))</f>
        <v/>
      </c>
      <c r="J193">
        <f>IF($A193="","",SUMIFS(Sales!$C:$C,Sales!$B:$B,$A193))</f>
        <v/>
      </c>
      <c r="K193">
        <f>IF($A193="","",MAX(0,N($F193)+N($H193)-N($J193)))</f>
        <v/>
      </c>
      <c r="L193" s="6">
        <f>IF($A193="","",$K193*N($D193))</f>
        <v/>
      </c>
      <c r="M193">
        <f>IF($A193="","",IF($K193&lt;=0,"OUT OF STOCK",IF($K193&lt;=N($G193),IF(N($I193)&gt;0,"LOW - ON ORDER","REORDER NOW"),"OK")))</f>
        <v/>
      </c>
      <c r="N193">
        <f>IF($A193="","",SUMIFS(Sales!$C:$C,Sales!$B:$B,$A193,Sales!$A:$A,"&gt;="&amp;(TODAY()-30)))</f>
        <v/>
      </c>
      <c r="O193">
        <f>IF($A193="","",IF(N($N193)=0,"no recent sales",MAX(0,ROUND($K193/($N193/30),0))))</f>
        <v/>
      </c>
    </row>
    <row r="194">
      <c r="A194" s="4" t="n"/>
      <c r="B194" s="4" t="n"/>
      <c r="C194" s="4" t="n"/>
      <c r="D194" s="5" t="n"/>
      <c r="E194" s="5" t="n"/>
      <c r="F194" s="4" t="n"/>
      <c r="G194" s="4" t="n"/>
      <c r="H194">
        <f>IF($A194="","",SUMIFS('Stock In'!$C:$C,'Stock In'!$B:$B,$A194,'Stock In'!$E:$E,"Received"))</f>
        <v/>
      </c>
      <c r="I194">
        <f>IF($A194="","",SUMIFS('Stock In'!$C:$C,'Stock In'!$B:$B,$A194,'Stock In'!$E:$E,"Incoming"))</f>
        <v/>
      </c>
      <c r="J194">
        <f>IF($A194="","",SUMIFS(Sales!$C:$C,Sales!$B:$B,$A194))</f>
        <v/>
      </c>
      <c r="K194">
        <f>IF($A194="","",MAX(0,N($F194)+N($H194)-N($J194)))</f>
        <v/>
      </c>
      <c r="L194" s="6">
        <f>IF($A194="","",$K194*N($D194))</f>
        <v/>
      </c>
      <c r="M194">
        <f>IF($A194="","",IF($K194&lt;=0,"OUT OF STOCK",IF($K194&lt;=N($G194),IF(N($I194)&gt;0,"LOW - ON ORDER","REORDER NOW"),"OK")))</f>
        <v/>
      </c>
      <c r="N194">
        <f>IF($A194="","",SUMIFS(Sales!$C:$C,Sales!$B:$B,$A194,Sales!$A:$A,"&gt;="&amp;(TODAY()-30)))</f>
        <v/>
      </c>
      <c r="O194">
        <f>IF($A194="","",IF(N($N194)=0,"no recent sales",MAX(0,ROUND($K194/($N194/30),0))))</f>
        <v/>
      </c>
    </row>
    <row r="195">
      <c r="A195" s="4" t="n"/>
      <c r="B195" s="4" t="n"/>
      <c r="C195" s="4" t="n"/>
      <c r="D195" s="5" t="n"/>
      <c r="E195" s="5" t="n"/>
      <c r="F195" s="4" t="n"/>
      <c r="G195" s="4" t="n"/>
      <c r="H195">
        <f>IF($A195="","",SUMIFS('Stock In'!$C:$C,'Stock In'!$B:$B,$A195,'Stock In'!$E:$E,"Received"))</f>
        <v/>
      </c>
      <c r="I195">
        <f>IF($A195="","",SUMIFS('Stock In'!$C:$C,'Stock In'!$B:$B,$A195,'Stock In'!$E:$E,"Incoming"))</f>
        <v/>
      </c>
      <c r="J195">
        <f>IF($A195="","",SUMIFS(Sales!$C:$C,Sales!$B:$B,$A195))</f>
        <v/>
      </c>
      <c r="K195">
        <f>IF($A195="","",MAX(0,N($F195)+N($H195)-N($J195)))</f>
        <v/>
      </c>
      <c r="L195" s="6">
        <f>IF($A195="","",$K195*N($D195))</f>
        <v/>
      </c>
      <c r="M195">
        <f>IF($A195="","",IF($K195&lt;=0,"OUT OF STOCK",IF($K195&lt;=N($G195),IF(N($I195)&gt;0,"LOW - ON ORDER","REORDER NOW"),"OK")))</f>
        <v/>
      </c>
      <c r="N195">
        <f>IF($A195="","",SUMIFS(Sales!$C:$C,Sales!$B:$B,$A195,Sales!$A:$A,"&gt;="&amp;(TODAY()-30)))</f>
        <v/>
      </c>
      <c r="O195">
        <f>IF($A195="","",IF(N($N195)=0,"no recent sales",MAX(0,ROUND($K195/($N195/30),0))))</f>
        <v/>
      </c>
    </row>
    <row r="196">
      <c r="A196" s="4" t="n"/>
      <c r="B196" s="4" t="n"/>
      <c r="C196" s="4" t="n"/>
      <c r="D196" s="5" t="n"/>
      <c r="E196" s="5" t="n"/>
      <c r="F196" s="4" t="n"/>
      <c r="G196" s="4" t="n"/>
      <c r="H196">
        <f>IF($A196="","",SUMIFS('Stock In'!$C:$C,'Stock In'!$B:$B,$A196,'Stock In'!$E:$E,"Received"))</f>
        <v/>
      </c>
      <c r="I196">
        <f>IF($A196="","",SUMIFS('Stock In'!$C:$C,'Stock In'!$B:$B,$A196,'Stock In'!$E:$E,"Incoming"))</f>
        <v/>
      </c>
      <c r="J196">
        <f>IF($A196="","",SUMIFS(Sales!$C:$C,Sales!$B:$B,$A196))</f>
        <v/>
      </c>
      <c r="K196">
        <f>IF($A196="","",MAX(0,N($F196)+N($H196)-N($J196)))</f>
        <v/>
      </c>
      <c r="L196" s="6">
        <f>IF($A196="","",$K196*N($D196))</f>
        <v/>
      </c>
      <c r="M196">
        <f>IF($A196="","",IF($K196&lt;=0,"OUT OF STOCK",IF($K196&lt;=N($G196),IF(N($I196)&gt;0,"LOW - ON ORDER","REORDER NOW"),"OK")))</f>
        <v/>
      </c>
      <c r="N196">
        <f>IF($A196="","",SUMIFS(Sales!$C:$C,Sales!$B:$B,$A196,Sales!$A:$A,"&gt;="&amp;(TODAY()-30)))</f>
        <v/>
      </c>
      <c r="O196">
        <f>IF($A196="","",IF(N($N196)=0,"no recent sales",MAX(0,ROUND($K196/($N196/30),0))))</f>
        <v/>
      </c>
    </row>
    <row r="197">
      <c r="A197" s="4" t="n"/>
      <c r="B197" s="4" t="n"/>
      <c r="C197" s="4" t="n"/>
      <c r="D197" s="5" t="n"/>
      <c r="E197" s="5" t="n"/>
      <c r="F197" s="4" t="n"/>
      <c r="G197" s="4" t="n"/>
      <c r="H197">
        <f>IF($A197="","",SUMIFS('Stock In'!$C:$C,'Stock In'!$B:$B,$A197,'Stock In'!$E:$E,"Received"))</f>
        <v/>
      </c>
      <c r="I197">
        <f>IF($A197="","",SUMIFS('Stock In'!$C:$C,'Stock In'!$B:$B,$A197,'Stock In'!$E:$E,"Incoming"))</f>
        <v/>
      </c>
      <c r="J197">
        <f>IF($A197="","",SUMIFS(Sales!$C:$C,Sales!$B:$B,$A197))</f>
        <v/>
      </c>
      <c r="K197">
        <f>IF($A197="","",MAX(0,N($F197)+N($H197)-N($J197)))</f>
        <v/>
      </c>
      <c r="L197" s="6">
        <f>IF($A197="","",$K197*N($D197))</f>
        <v/>
      </c>
      <c r="M197">
        <f>IF($A197="","",IF($K197&lt;=0,"OUT OF STOCK",IF($K197&lt;=N($G197),IF(N($I197)&gt;0,"LOW - ON ORDER","REORDER NOW"),"OK")))</f>
        <v/>
      </c>
      <c r="N197">
        <f>IF($A197="","",SUMIFS(Sales!$C:$C,Sales!$B:$B,$A197,Sales!$A:$A,"&gt;="&amp;(TODAY()-30)))</f>
        <v/>
      </c>
      <c r="O197">
        <f>IF($A197="","",IF(N($N197)=0,"no recent sales",MAX(0,ROUND($K197/($N197/30),0))))</f>
        <v/>
      </c>
    </row>
    <row r="198">
      <c r="A198" s="4" t="n"/>
      <c r="B198" s="4" t="n"/>
      <c r="C198" s="4" t="n"/>
      <c r="D198" s="5" t="n"/>
      <c r="E198" s="5" t="n"/>
      <c r="F198" s="4" t="n"/>
      <c r="G198" s="4" t="n"/>
      <c r="H198">
        <f>IF($A198="","",SUMIFS('Stock In'!$C:$C,'Stock In'!$B:$B,$A198,'Stock In'!$E:$E,"Received"))</f>
        <v/>
      </c>
      <c r="I198">
        <f>IF($A198="","",SUMIFS('Stock In'!$C:$C,'Stock In'!$B:$B,$A198,'Stock In'!$E:$E,"Incoming"))</f>
        <v/>
      </c>
      <c r="J198">
        <f>IF($A198="","",SUMIFS(Sales!$C:$C,Sales!$B:$B,$A198))</f>
        <v/>
      </c>
      <c r="K198">
        <f>IF($A198="","",MAX(0,N($F198)+N($H198)-N($J198)))</f>
        <v/>
      </c>
      <c r="L198" s="6">
        <f>IF($A198="","",$K198*N($D198))</f>
        <v/>
      </c>
      <c r="M198">
        <f>IF($A198="","",IF($K198&lt;=0,"OUT OF STOCK",IF($K198&lt;=N($G198),IF(N($I198)&gt;0,"LOW - ON ORDER","REORDER NOW"),"OK")))</f>
        <v/>
      </c>
      <c r="N198">
        <f>IF($A198="","",SUMIFS(Sales!$C:$C,Sales!$B:$B,$A198,Sales!$A:$A,"&gt;="&amp;(TODAY()-30)))</f>
        <v/>
      </c>
      <c r="O198">
        <f>IF($A198="","",IF(N($N198)=0,"no recent sales",MAX(0,ROUND($K198/($N198/30),0))))</f>
        <v/>
      </c>
    </row>
    <row r="199">
      <c r="A199" s="4" t="n"/>
      <c r="B199" s="4" t="n"/>
      <c r="C199" s="4" t="n"/>
      <c r="D199" s="5" t="n"/>
      <c r="E199" s="5" t="n"/>
      <c r="F199" s="4" t="n"/>
      <c r="G199" s="4" t="n"/>
      <c r="H199">
        <f>IF($A199="","",SUMIFS('Stock In'!$C:$C,'Stock In'!$B:$B,$A199,'Stock In'!$E:$E,"Received"))</f>
        <v/>
      </c>
      <c r="I199">
        <f>IF($A199="","",SUMIFS('Stock In'!$C:$C,'Stock In'!$B:$B,$A199,'Stock In'!$E:$E,"Incoming"))</f>
        <v/>
      </c>
      <c r="J199">
        <f>IF($A199="","",SUMIFS(Sales!$C:$C,Sales!$B:$B,$A199))</f>
        <v/>
      </c>
      <c r="K199">
        <f>IF($A199="","",MAX(0,N($F199)+N($H199)-N($J199)))</f>
        <v/>
      </c>
      <c r="L199" s="6">
        <f>IF($A199="","",$K199*N($D199))</f>
        <v/>
      </c>
      <c r="M199">
        <f>IF($A199="","",IF($K199&lt;=0,"OUT OF STOCK",IF($K199&lt;=N($G199),IF(N($I199)&gt;0,"LOW - ON ORDER","REORDER NOW"),"OK")))</f>
        <v/>
      </c>
      <c r="N199">
        <f>IF($A199="","",SUMIFS(Sales!$C:$C,Sales!$B:$B,$A199,Sales!$A:$A,"&gt;="&amp;(TODAY()-30)))</f>
        <v/>
      </c>
      <c r="O199">
        <f>IF($A199="","",IF(N($N199)=0,"no recent sales",MAX(0,ROUND($K199/($N199/30),0))))</f>
        <v/>
      </c>
    </row>
    <row r="200">
      <c r="A200" s="4" t="n"/>
      <c r="B200" s="4" t="n"/>
      <c r="C200" s="4" t="n"/>
      <c r="D200" s="5" t="n"/>
      <c r="E200" s="5" t="n"/>
      <c r="F200" s="4" t="n"/>
      <c r="G200" s="4" t="n"/>
      <c r="H200">
        <f>IF($A200="","",SUMIFS('Stock In'!$C:$C,'Stock In'!$B:$B,$A200,'Stock In'!$E:$E,"Received"))</f>
        <v/>
      </c>
      <c r="I200">
        <f>IF($A200="","",SUMIFS('Stock In'!$C:$C,'Stock In'!$B:$B,$A200,'Stock In'!$E:$E,"Incoming"))</f>
        <v/>
      </c>
      <c r="J200">
        <f>IF($A200="","",SUMIFS(Sales!$C:$C,Sales!$B:$B,$A200))</f>
        <v/>
      </c>
      <c r="K200">
        <f>IF($A200="","",MAX(0,N($F200)+N($H200)-N($J200)))</f>
        <v/>
      </c>
      <c r="L200" s="6">
        <f>IF($A200="","",$K200*N($D200))</f>
        <v/>
      </c>
      <c r="M200">
        <f>IF($A200="","",IF($K200&lt;=0,"OUT OF STOCK",IF($K200&lt;=N($G200),IF(N($I200)&gt;0,"LOW - ON ORDER","REORDER NOW"),"OK")))</f>
        <v/>
      </c>
      <c r="N200">
        <f>IF($A200="","",SUMIFS(Sales!$C:$C,Sales!$B:$B,$A200,Sales!$A:$A,"&gt;="&amp;(TODAY()-30)))</f>
        <v/>
      </c>
      <c r="O200">
        <f>IF($A200="","",IF(N($N200)=0,"no recent sales",MAX(0,ROUND($K200/($N200/30),0))))</f>
        <v/>
      </c>
    </row>
    <row r="201">
      <c r="A201" s="4" t="n"/>
      <c r="B201" s="4" t="n"/>
      <c r="C201" s="4" t="n"/>
      <c r="D201" s="5" t="n"/>
      <c r="E201" s="5" t="n"/>
      <c r="F201" s="4" t="n"/>
      <c r="G201" s="4" t="n"/>
      <c r="H201">
        <f>IF($A201="","",SUMIFS('Stock In'!$C:$C,'Stock In'!$B:$B,$A201,'Stock In'!$E:$E,"Received"))</f>
        <v/>
      </c>
      <c r="I201">
        <f>IF($A201="","",SUMIFS('Stock In'!$C:$C,'Stock In'!$B:$B,$A201,'Stock In'!$E:$E,"Incoming"))</f>
        <v/>
      </c>
      <c r="J201">
        <f>IF($A201="","",SUMIFS(Sales!$C:$C,Sales!$B:$B,$A201))</f>
        <v/>
      </c>
      <c r="K201">
        <f>IF($A201="","",MAX(0,N($F201)+N($H201)-N($J201)))</f>
        <v/>
      </c>
      <c r="L201" s="6">
        <f>IF($A201="","",$K201*N($D201))</f>
        <v/>
      </c>
      <c r="M201">
        <f>IF($A201="","",IF($K201&lt;=0,"OUT OF STOCK",IF($K201&lt;=N($G201),IF(N($I201)&gt;0,"LOW - ON ORDER","REORDER NOW"),"OK")))</f>
        <v/>
      </c>
      <c r="N201">
        <f>IF($A201="","",SUMIFS(Sales!$C:$C,Sales!$B:$B,$A201,Sales!$A:$A,"&gt;="&amp;(TODAY()-30)))</f>
        <v/>
      </c>
      <c r="O201">
        <f>IF($A201="","",IF(N($N201)=0,"no recent sales",MAX(0,ROUND($K201/($N201/30),0))))</f>
        <v/>
      </c>
    </row>
  </sheetData>
  <autoFilter ref="A1:O201"/>
  <conditionalFormatting sqref="A2:O201">
    <cfRule type="expression" priority="1" dxfId="0">
      <formula>AND($A2&lt;&gt;"",$K2&lt;=0)</formula>
    </cfRule>
    <cfRule type="expression" priority="2" dxfId="1">
      <formula>AND($A2&lt;&gt;"",$K2&lt;=$G2)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0" customWidth="1" min="4" max="4"/>
    <col width="12" customWidth="1" min="5" max="5"/>
    <col width="16" customWidth="1" min="6" max="6"/>
    <col width="28" customWidth="1" min="7" max="7"/>
  </cols>
  <sheetData>
    <row r="1" ht="32" customHeight="1">
      <c r="A1" s="3" t="inlineStr">
        <is>
          <t>Date</t>
        </is>
      </c>
      <c r="B1" s="3" t="inlineStr">
        <is>
          <t>SKU</t>
        </is>
      </c>
      <c r="C1" s="3" t="inlineStr">
        <is>
          <t>Quantity</t>
        </is>
      </c>
      <c r="D1" s="3" t="inlineStr">
        <is>
          <t>Supplier</t>
        </is>
      </c>
      <c r="E1" s="3" t="inlineStr">
        <is>
          <t>Status</t>
        </is>
      </c>
      <c r="F1" s="3" t="inlineStr">
        <is>
          <t>PO / Reference</t>
        </is>
      </c>
      <c r="G1" s="3" t="inlineStr">
        <is>
          <t>Product (auto)</t>
        </is>
      </c>
    </row>
    <row r="2">
      <c r="A2" s="7" t="n"/>
      <c r="B2" s="4" t="n"/>
      <c r="C2" s="4" t="n"/>
      <c r="D2" s="4" t="n"/>
      <c r="E2" s="4" t="n"/>
      <c r="F2" s="4" t="n"/>
      <c r="G2">
        <f>IF(B2="","",IFERROR(INDEX(Products!$B:$B,MATCH(B2,Products!$A:$A,0)),"SKU not found"))</f>
        <v/>
      </c>
    </row>
    <row r="3">
      <c r="A3" s="7" t="n"/>
      <c r="B3" s="4" t="n"/>
      <c r="C3" s="4" t="n"/>
      <c r="D3" s="4" t="n"/>
      <c r="E3" s="4" t="n"/>
      <c r="F3" s="4" t="n"/>
      <c r="G3">
        <f>IF(B3="","",IFERROR(INDEX(Products!$B:$B,MATCH(B3,Products!$A:$A,0)),"SKU not found"))</f>
        <v/>
      </c>
    </row>
    <row r="4">
      <c r="A4" s="7" t="n"/>
      <c r="B4" s="4" t="n"/>
      <c r="C4" s="4" t="n"/>
      <c r="D4" s="4" t="n"/>
      <c r="E4" s="4" t="n"/>
      <c r="F4" s="4" t="n"/>
      <c r="G4">
        <f>IF(B4="","",IFERROR(INDEX(Products!$B:$B,MATCH(B4,Products!$A:$A,0)),"SKU not found"))</f>
        <v/>
      </c>
    </row>
    <row r="5">
      <c r="A5" s="7" t="n"/>
      <c r="B5" s="4" t="n"/>
      <c r="C5" s="4" t="n"/>
      <c r="D5" s="4" t="n"/>
      <c r="E5" s="4" t="n"/>
      <c r="F5" s="4" t="n"/>
      <c r="G5">
        <f>IF(B5="","",IFERROR(INDEX(Products!$B:$B,MATCH(B5,Products!$A:$A,0)),"SKU not found"))</f>
        <v/>
      </c>
    </row>
    <row r="6">
      <c r="A6" s="7" t="n"/>
      <c r="B6" s="4" t="n"/>
      <c r="C6" s="4" t="n"/>
      <c r="D6" s="4" t="n"/>
      <c r="E6" s="4" t="n"/>
      <c r="F6" s="4" t="n"/>
      <c r="G6">
        <f>IF(B6="","",IFERROR(INDEX(Products!$B:$B,MATCH(B6,Products!$A:$A,0)),"SKU not found"))</f>
        <v/>
      </c>
    </row>
    <row r="7">
      <c r="A7" s="7" t="n"/>
      <c r="B7" s="4" t="n"/>
      <c r="C7" s="4" t="n"/>
      <c r="D7" s="4" t="n"/>
      <c r="E7" s="4" t="n"/>
      <c r="F7" s="4" t="n"/>
      <c r="G7">
        <f>IF(B7="","",IFERROR(INDEX(Products!$B:$B,MATCH(B7,Products!$A:$A,0)),"SKU not found"))</f>
        <v/>
      </c>
    </row>
    <row r="8">
      <c r="A8" s="7" t="n"/>
      <c r="B8" s="4" t="n"/>
      <c r="C8" s="4" t="n"/>
      <c r="D8" s="4" t="n"/>
      <c r="E8" s="4" t="n"/>
      <c r="F8" s="4" t="n"/>
      <c r="G8">
        <f>IF(B8="","",IFERROR(INDEX(Products!$B:$B,MATCH(B8,Products!$A:$A,0)),"SKU not found"))</f>
        <v/>
      </c>
    </row>
    <row r="9">
      <c r="A9" s="7" t="n"/>
      <c r="B9" s="4" t="n"/>
      <c r="C9" s="4" t="n"/>
      <c r="D9" s="4" t="n"/>
      <c r="E9" s="4" t="n"/>
      <c r="F9" s="4" t="n"/>
      <c r="G9">
        <f>IF(B9="","",IFERROR(INDEX(Products!$B:$B,MATCH(B9,Products!$A:$A,0)),"SKU not found"))</f>
        <v/>
      </c>
    </row>
    <row r="10">
      <c r="A10" s="7" t="n"/>
      <c r="B10" s="4" t="n"/>
      <c r="C10" s="4" t="n"/>
      <c r="D10" s="4" t="n"/>
      <c r="E10" s="4" t="n"/>
      <c r="F10" s="4" t="n"/>
      <c r="G10">
        <f>IF(B10="","",IFERROR(INDEX(Products!$B:$B,MATCH(B10,Products!$A:$A,0)),"SKU not found"))</f>
        <v/>
      </c>
    </row>
    <row r="11">
      <c r="A11" s="7" t="n"/>
      <c r="B11" s="4" t="n"/>
      <c r="C11" s="4" t="n"/>
      <c r="D11" s="4" t="n"/>
      <c r="E11" s="4" t="n"/>
      <c r="F11" s="4" t="n"/>
      <c r="G11">
        <f>IF(B11="","",IFERROR(INDEX(Products!$B:$B,MATCH(B11,Products!$A:$A,0)),"SKU not found"))</f>
        <v/>
      </c>
    </row>
    <row r="12">
      <c r="A12" s="7" t="n"/>
      <c r="B12" s="4" t="n"/>
      <c r="C12" s="4" t="n"/>
      <c r="D12" s="4" t="n"/>
      <c r="E12" s="4" t="n"/>
      <c r="F12" s="4" t="n"/>
      <c r="G12">
        <f>IF(B12="","",IFERROR(INDEX(Products!$B:$B,MATCH(B12,Products!$A:$A,0)),"SKU not found"))</f>
        <v/>
      </c>
    </row>
    <row r="13">
      <c r="A13" s="7" t="n"/>
      <c r="B13" s="4" t="n"/>
      <c r="C13" s="4" t="n"/>
      <c r="D13" s="4" t="n"/>
      <c r="E13" s="4" t="n"/>
      <c r="F13" s="4" t="n"/>
      <c r="G13">
        <f>IF(B13="","",IFERROR(INDEX(Products!$B:$B,MATCH(B13,Products!$A:$A,0)),"SKU not found"))</f>
        <v/>
      </c>
    </row>
    <row r="14">
      <c r="A14" s="7" t="n"/>
      <c r="B14" s="4" t="n"/>
      <c r="C14" s="4" t="n"/>
      <c r="D14" s="4" t="n"/>
      <c r="E14" s="4" t="n"/>
      <c r="F14" s="4" t="n"/>
      <c r="G14">
        <f>IF(B14="","",IFERROR(INDEX(Products!$B:$B,MATCH(B14,Products!$A:$A,0)),"SKU not found"))</f>
        <v/>
      </c>
    </row>
    <row r="15">
      <c r="A15" s="7" t="n"/>
      <c r="B15" s="4" t="n"/>
      <c r="C15" s="4" t="n"/>
      <c r="D15" s="4" t="n"/>
      <c r="E15" s="4" t="n"/>
      <c r="F15" s="4" t="n"/>
      <c r="G15">
        <f>IF(B15="","",IFERROR(INDEX(Products!$B:$B,MATCH(B15,Products!$A:$A,0)),"SKU not found"))</f>
        <v/>
      </c>
    </row>
    <row r="16">
      <c r="A16" s="7" t="n"/>
      <c r="B16" s="4" t="n"/>
      <c r="C16" s="4" t="n"/>
      <c r="D16" s="4" t="n"/>
      <c r="E16" s="4" t="n"/>
      <c r="F16" s="4" t="n"/>
      <c r="G16">
        <f>IF(B16="","",IFERROR(INDEX(Products!$B:$B,MATCH(B16,Products!$A:$A,0)),"SKU not found"))</f>
        <v/>
      </c>
    </row>
    <row r="17">
      <c r="A17" s="7" t="n"/>
      <c r="B17" s="4" t="n"/>
      <c r="C17" s="4" t="n"/>
      <c r="D17" s="4" t="n"/>
      <c r="E17" s="4" t="n"/>
      <c r="F17" s="4" t="n"/>
      <c r="G17">
        <f>IF(B17="","",IFERROR(INDEX(Products!$B:$B,MATCH(B17,Products!$A:$A,0)),"SKU not found"))</f>
        <v/>
      </c>
    </row>
    <row r="18">
      <c r="A18" s="7" t="n"/>
      <c r="B18" s="4" t="n"/>
      <c r="C18" s="4" t="n"/>
      <c r="D18" s="4" t="n"/>
      <c r="E18" s="4" t="n"/>
      <c r="F18" s="4" t="n"/>
      <c r="G18">
        <f>IF(B18="","",IFERROR(INDEX(Products!$B:$B,MATCH(B18,Products!$A:$A,0)),"SKU not found"))</f>
        <v/>
      </c>
    </row>
    <row r="19">
      <c r="A19" s="7" t="n"/>
      <c r="B19" s="4" t="n"/>
      <c r="C19" s="4" t="n"/>
      <c r="D19" s="4" t="n"/>
      <c r="E19" s="4" t="n"/>
      <c r="F19" s="4" t="n"/>
      <c r="G19">
        <f>IF(B19="","",IFERROR(INDEX(Products!$B:$B,MATCH(B19,Products!$A:$A,0)),"SKU not found"))</f>
        <v/>
      </c>
    </row>
    <row r="20">
      <c r="A20" s="7" t="n"/>
      <c r="B20" s="4" t="n"/>
      <c r="C20" s="4" t="n"/>
      <c r="D20" s="4" t="n"/>
      <c r="E20" s="4" t="n"/>
      <c r="F20" s="4" t="n"/>
      <c r="G20">
        <f>IF(B20="","",IFERROR(INDEX(Products!$B:$B,MATCH(B20,Products!$A:$A,0)),"SKU not found"))</f>
        <v/>
      </c>
    </row>
    <row r="21">
      <c r="A21" s="7" t="n"/>
      <c r="B21" s="4" t="n"/>
      <c r="C21" s="4" t="n"/>
      <c r="D21" s="4" t="n"/>
      <c r="E21" s="4" t="n"/>
      <c r="F21" s="4" t="n"/>
      <c r="G21">
        <f>IF(B21="","",IFERROR(INDEX(Products!$B:$B,MATCH(B21,Products!$A:$A,0)),"SKU not found"))</f>
        <v/>
      </c>
    </row>
    <row r="22">
      <c r="A22" s="7" t="n"/>
      <c r="B22" s="4" t="n"/>
      <c r="C22" s="4" t="n"/>
      <c r="D22" s="4" t="n"/>
      <c r="E22" s="4" t="n"/>
      <c r="F22" s="4" t="n"/>
      <c r="G22">
        <f>IF(B22="","",IFERROR(INDEX(Products!$B:$B,MATCH(B22,Products!$A:$A,0)),"SKU not found"))</f>
        <v/>
      </c>
    </row>
    <row r="23">
      <c r="A23" s="7" t="n"/>
      <c r="B23" s="4" t="n"/>
      <c r="C23" s="4" t="n"/>
      <c r="D23" s="4" t="n"/>
      <c r="E23" s="4" t="n"/>
      <c r="F23" s="4" t="n"/>
      <c r="G23">
        <f>IF(B23="","",IFERROR(INDEX(Products!$B:$B,MATCH(B23,Products!$A:$A,0)),"SKU not found"))</f>
        <v/>
      </c>
    </row>
    <row r="24">
      <c r="A24" s="7" t="n"/>
      <c r="B24" s="4" t="n"/>
      <c r="C24" s="4" t="n"/>
      <c r="D24" s="4" t="n"/>
      <c r="E24" s="4" t="n"/>
      <c r="F24" s="4" t="n"/>
      <c r="G24">
        <f>IF(B24="","",IFERROR(INDEX(Products!$B:$B,MATCH(B24,Products!$A:$A,0)),"SKU not found"))</f>
        <v/>
      </c>
    </row>
    <row r="25">
      <c r="A25" s="7" t="n"/>
      <c r="B25" s="4" t="n"/>
      <c r="C25" s="4" t="n"/>
      <c r="D25" s="4" t="n"/>
      <c r="E25" s="4" t="n"/>
      <c r="F25" s="4" t="n"/>
      <c r="G25">
        <f>IF(B25="","",IFERROR(INDEX(Products!$B:$B,MATCH(B25,Products!$A:$A,0)),"SKU not found"))</f>
        <v/>
      </c>
    </row>
    <row r="26">
      <c r="A26" s="7" t="n"/>
      <c r="B26" s="4" t="n"/>
      <c r="C26" s="4" t="n"/>
      <c r="D26" s="4" t="n"/>
      <c r="E26" s="4" t="n"/>
      <c r="F26" s="4" t="n"/>
      <c r="G26">
        <f>IF(B26="","",IFERROR(INDEX(Products!$B:$B,MATCH(B26,Products!$A:$A,0)),"SKU not found"))</f>
        <v/>
      </c>
    </row>
    <row r="27">
      <c r="A27" s="7" t="n"/>
      <c r="B27" s="4" t="n"/>
      <c r="C27" s="4" t="n"/>
      <c r="D27" s="4" t="n"/>
      <c r="E27" s="4" t="n"/>
      <c r="F27" s="4" t="n"/>
      <c r="G27">
        <f>IF(B27="","",IFERROR(INDEX(Products!$B:$B,MATCH(B27,Products!$A:$A,0)),"SKU not found"))</f>
        <v/>
      </c>
    </row>
    <row r="28">
      <c r="A28" s="7" t="n"/>
      <c r="B28" s="4" t="n"/>
      <c r="C28" s="4" t="n"/>
      <c r="D28" s="4" t="n"/>
      <c r="E28" s="4" t="n"/>
      <c r="F28" s="4" t="n"/>
      <c r="G28">
        <f>IF(B28="","",IFERROR(INDEX(Products!$B:$B,MATCH(B28,Products!$A:$A,0)),"SKU not found"))</f>
        <v/>
      </c>
    </row>
    <row r="29">
      <c r="A29" s="7" t="n"/>
      <c r="B29" s="4" t="n"/>
      <c r="C29" s="4" t="n"/>
      <c r="D29" s="4" t="n"/>
      <c r="E29" s="4" t="n"/>
      <c r="F29" s="4" t="n"/>
      <c r="G29">
        <f>IF(B29="","",IFERROR(INDEX(Products!$B:$B,MATCH(B29,Products!$A:$A,0)),"SKU not found"))</f>
        <v/>
      </c>
    </row>
    <row r="30">
      <c r="A30" s="7" t="n"/>
      <c r="B30" s="4" t="n"/>
      <c r="C30" s="4" t="n"/>
      <c r="D30" s="4" t="n"/>
      <c r="E30" s="4" t="n"/>
      <c r="F30" s="4" t="n"/>
      <c r="G30">
        <f>IF(B30="","",IFERROR(INDEX(Products!$B:$B,MATCH(B30,Products!$A:$A,0)),"SKU not found"))</f>
        <v/>
      </c>
    </row>
    <row r="31">
      <c r="A31" s="7" t="n"/>
      <c r="B31" s="4" t="n"/>
      <c r="C31" s="4" t="n"/>
      <c r="D31" s="4" t="n"/>
      <c r="E31" s="4" t="n"/>
      <c r="F31" s="4" t="n"/>
      <c r="G31">
        <f>IF(B31="","",IFERROR(INDEX(Products!$B:$B,MATCH(B31,Products!$A:$A,0)),"SKU not found"))</f>
        <v/>
      </c>
    </row>
    <row r="32">
      <c r="A32" s="7" t="n"/>
      <c r="B32" s="4" t="n"/>
      <c r="C32" s="4" t="n"/>
      <c r="D32" s="4" t="n"/>
      <c r="E32" s="4" t="n"/>
      <c r="F32" s="4" t="n"/>
      <c r="G32">
        <f>IF(B32="","",IFERROR(INDEX(Products!$B:$B,MATCH(B32,Products!$A:$A,0)),"SKU not found"))</f>
        <v/>
      </c>
    </row>
    <row r="33">
      <c r="A33" s="7" t="n"/>
      <c r="B33" s="4" t="n"/>
      <c r="C33" s="4" t="n"/>
      <c r="D33" s="4" t="n"/>
      <c r="E33" s="4" t="n"/>
      <c r="F33" s="4" t="n"/>
      <c r="G33">
        <f>IF(B33="","",IFERROR(INDEX(Products!$B:$B,MATCH(B33,Products!$A:$A,0)),"SKU not found"))</f>
        <v/>
      </c>
    </row>
    <row r="34">
      <c r="A34" s="7" t="n"/>
      <c r="B34" s="4" t="n"/>
      <c r="C34" s="4" t="n"/>
      <c r="D34" s="4" t="n"/>
      <c r="E34" s="4" t="n"/>
      <c r="F34" s="4" t="n"/>
      <c r="G34">
        <f>IF(B34="","",IFERROR(INDEX(Products!$B:$B,MATCH(B34,Products!$A:$A,0)),"SKU not found"))</f>
        <v/>
      </c>
    </row>
    <row r="35">
      <c r="A35" s="7" t="n"/>
      <c r="B35" s="4" t="n"/>
      <c r="C35" s="4" t="n"/>
      <c r="D35" s="4" t="n"/>
      <c r="E35" s="4" t="n"/>
      <c r="F35" s="4" t="n"/>
      <c r="G35">
        <f>IF(B35="","",IFERROR(INDEX(Products!$B:$B,MATCH(B35,Products!$A:$A,0)),"SKU not found"))</f>
        <v/>
      </c>
    </row>
    <row r="36">
      <c r="A36" s="7" t="n"/>
      <c r="B36" s="4" t="n"/>
      <c r="C36" s="4" t="n"/>
      <c r="D36" s="4" t="n"/>
      <c r="E36" s="4" t="n"/>
      <c r="F36" s="4" t="n"/>
      <c r="G36">
        <f>IF(B36="","",IFERROR(INDEX(Products!$B:$B,MATCH(B36,Products!$A:$A,0)),"SKU not found"))</f>
        <v/>
      </c>
    </row>
    <row r="37">
      <c r="A37" s="7" t="n"/>
      <c r="B37" s="4" t="n"/>
      <c r="C37" s="4" t="n"/>
      <c r="D37" s="4" t="n"/>
      <c r="E37" s="4" t="n"/>
      <c r="F37" s="4" t="n"/>
      <c r="G37">
        <f>IF(B37="","",IFERROR(INDEX(Products!$B:$B,MATCH(B37,Products!$A:$A,0)),"SKU not found"))</f>
        <v/>
      </c>
    </row>
    <row r="38">
      <c r="A38" s="7" t="n"/>
      <c r="B38" s="4" t="n"/>
      <c r="C38" s="4" t="n"/>
      <c r="D38" s="4" t="n"/>
      <c r="E38" s="4" t="n"/>
      <c r="F38" s="4" t="n"/>
      <c r="G38">
        <f>IF(B38="","",IFERROR(INDEX(Products!$B:$B,MATCH(B38,Products!$A:$A,0)),"SKU not found"))</f>
        <v/>
      </c>
    </row>
    <row r="39">
      <c r="A39" s="7" t="n"/>
      <c r="B39" s="4" t="n"/>
      <c r="C39" s="4" t="n"/>
      <c r="D39" s="4" t="n"/>
      <c r="E39" s="4" t="n"/>
      <c r="F39" s="4" t="n"/>
      <c r="G39">
        <f>IF(B39="","",IFERROR(INDEX(Products!$B:$B,MATCH(B39,Products!$A:$A,0)),"SKU not found"))</f>
        <v/>
      </c>
    </row>
    <row r="40">
      <c r="A40" s="7" t="n"/>
      <c r="B40" s="4" t="n"/>
      <c r="C40" s="4" t="n"/>
      <c r="D40" s="4" t="n"/>
      <c r="E40" s="4" t="n"/>
      <c r="F40" s="4" t="n"/>
      <c r="G40">
        <f>IF(B40="","",IFERROR(INDEX(Products!$B:$B,MATCH(B40,Products!$A:$A,0)),"SKU not found"))</f>
        <v/>
      </c>
    </row>
    <row r="41">
      <c r="A41" s="7" t="n"/>
      <c r="B41" s="4" t="n"/>
      <c r="C41" s="4" t="n"/>
      <c r="D41" s="4" t="n"/>
      <c r="E41" s="4" t="n"/>
      <c r="F41" s="4" t="n"/>
      <c r="G41">
        <f>IF(B41="","",IFERROR(INDEX(Products!$B:$B,MATCH(B41,Products!$A:$A,0)),"SKU not found"))</f>
        <v/>
      </c>
    </row>
    <row r="42">
      <c r="A42" s="7" t="n"/>
      <c r="B42" s="4" t="n"/>
      <c r="C42" s="4" t="n"/>
      <c r="D42" s="4" t="n"/>
      <c r="E42" s="4" t="n"/>
      <c r="F42" s="4" t="n"/>
      <c r="G42">
        <f>IF(B42="","",IFERROR(INDEX(Products!$B:$B,MATCH(B42,Products!$A:$A,0)),"SKU not found"))</f>
        <v/>
      </c>
    </row>
    <row r="43">
      <c r="A43" s="7" t="n"/>
      <c r="B43" s="4" t="n"/>
      <c r="C43" s="4" t="n"/>
      <c r="D43" s="4" t="n"/>
      <c r="E43" s="4" t="n"/>
      <c r="F43" s="4" t="n"/>
      <c r="G43">
        <f>IF(B43="","",IFERROR(INDEX(Products!$B:$B,MATCH(B43,Products!$A:$A,0)),"SKU not found"))</f>
        <v/>
      </c>
    </row>
    <row r="44">
      <c r="A44" s="7" t="n"/>
      <c r="B44" s="4" t="n"/>
      <c r="C44" s="4" t="n"/>
      <c r="D44" s="4" t="n"/>
      <c r="E44" s="4" t="n"/>
      <c r="F44" s="4" t="n"/>
      <c r="G44">
        <f>IF(B44="","",IFERROR(INDEX(Products!$B:$B,MATCH(B44,Products!$A:$A,0)),"SKU not found"))</f>
        <v/>
      </c>
    </row>
    <row r="45">
      <c r="A45" s="7" t="n"/>
      <c r="B45" s="4" t="n"/>
      <c r="C45" s="4" t="n"/>
      <c r="D45" s="4" t="n"/>
      <c r="E45" s="4" t="n"/>
      <c r="F45" s="4" t="n"/>
      <c r="G45">
        <f>IF(B45="","",IFERROR(INDEX(Products!$B:$B,MATCH(B45,Products!$A:$A,0)),"SKU not found"))</f>
        <v/>
      </c>
    </row>
    <row r="46">
      <c r="A46" s="7" t="n"/>
      <c r="B46" s="4" t="n"/>
      <c r="C46" s="4" t="n"/>
      <c r="D46" s="4" t="n"/>
      <c r="E46" s="4" t="n"/>
      <c r="F46" s="4" t="n"/>
      <c r="G46">
        <f>IF(B46="","",IFERROR(INDEX(Products!$B:$B,MATCH(B46,Products!$A:$A,0)),"SKU not found"))</f>
        <v/>
      </c>
    </row>
    <row r="47">
      <c r="A47" s="7" t="n"/>
      <c r="B47" s="4" t="n"/>
      <c r="C47" s="4" t="n"/>
      <c r="D47" s="4" t="n"/>
      <c r="E47" s="4" t="n"/>
      <c r="F47" s="4" t="n"/>
      <c r="G47">
        <f>IF(B47="","",IFERROR(INDEX(Products!$B:$B,MATCH(B47,Products!$A:$A,0)),"SKU not found"))</f>
        <v/>
      </c>
    </row>
    <row r="48">
      <c r="A48" s="7" t="n"/>
      <c r="B48" s="4" t="n"/>
      <c r="C48" s="4" t="n"/>
      <c r="D48" s="4" t="n"/>
      <c r="E48" s="4" t="n"/>
      <c r="F48" s="4" t="n"/>
      <c r="G48">
        <f>IF(B48="","",IFERROR(INDEX(Products!$B:$B,MATCH(B48,Products!$A:$A,0)),"SKU not found"))</f>
        <v/>
      </c>
    </row>
    <row r="49">
      <c r="A49" s="7" t="n"/>
      <c r="B49" s="4" t="n"/>
      <c r="C49" s="4" t="n"/>
      <c r="D49" s="4" t="n"/>
      <c r="E49" s="4" t="n"/>
      <c r="F49" s="4" t="n"/>
      <c r="G49">
        <f>IF(B49="","",IFERROR(INDEX(Products!$B:$B,MATCH(B49,Products!$A:$A,0)),"SKU not found"))</f>
        <v/>
      </c>
    </row>
    <row r="50">
      <c r="A50" s="7" t="n"/>
      <c r="B50" s="4" t="n"/>
      <c r="C50" s="4" t="n"/>
      <c r="D50" s="4" t="n"/>
      <c r="E50" s="4" t="n"/>
      <c r="F50" s="4" t="n"/>
      <c r="G50">
        <f>IF(B50="","",IFERROR(INDEX(Products!$B:$B,MATCH(B50,Products!$A:$A,0)),"SKU not found"))</f>
        <v/>
      </c>
    </row>
    <row r="51">
      <c r="A51" s="7" t="n"/>
      <c r="B51" s="4" t="n"/>
      <c r="C51" s="4" t="n"/>
      <c r="D51" s="4" t="n"/>
      <c r="E51" s="4" t="n"/>
      <c r="F51" s="4" t="n"/>
      <c r="G51">
        <f>IF(B51="","",IFERROR(INDEX(Products!$B:$B,MATCH(B51,Products!$A:$A,0)),"SKU not found"))</f>
        <v/>
      </c>
    </row>
    <row r="52">
      <c r="A52" s="7" t="n"/>
      <c r="B52" s="4" t="n"/>
      <c r="C52" s="4" t="n"/>
      <c r="D52" s="4" t="n"/>
      <c r="E52" s="4" t="n"/>
      <c r="F52" s="4" t="n"/>
      <c r="G52">
        <f>IF(B52="","",IFERROR(INDEX(Products!$B:$B,MATCH(B52,Products!$A:$A,0)),"SKU not found"))</f>
        <v/>
      </c>
    </row>
    <row r="53">
      <c r="A53" s="7" t="n"/>
      <c r="B53" s="4" t="n"/>
      <c r="C53" s="4" t="n"/>
      <c r="D53" s="4" t="n"/>
      <c r="E53" s="4" t="n"/>
      <c r="F53" s="4" t="n"/>
      <c r="G53">
        <f>IF(B53="","",IFERROR(INDEX(Products!$B:$B,MATCH(B53,Products!$A:$A,0)),"SKU not found"))</f>
        <v/>
      </c>
    </row>
    <row r="54">
      <c r="A54" s="7" t="n"/>
      <c r="B54" s="4" t="n"/>
      <c r="C54" s="4" t="n"/>
      <c r="D54" s="4" t="n"/>
      <c r="E54" s="4" t="n"/>
      <c r="F54" s="4" t="n"/>
      <c r="G54">
        <f>IF(B54="","",IFERROR(INDEX(Products!$B:$B,MATCH(B54,Products!$A:$A,0)),"SKU not found"))</f>
        <v/>
      </c>
    </row>
    <row r="55">
      <c r="A55" s="7" t="n"/>
      <c r="B55" s="4" t="n"/>
      <c r="C55" s="4" t="n"/>
      <c r="D55" s="4" t="n"/>
      <c r="E55" s="4" t="n"/>
      <c r="F55" s="4" t="n"/>
      <c r="G55">
        <f>IF(B55="","",IFERROR(INDEX(Products!$B:$B,MATCH(B55,Products!$A:$A,0)),"SKU not found"))</f>
        <v/>
      </c>
    </row>
    <row r="56">
      <c r="A56" s="7" t="n"/>
      <c r="B56" s="4" t="n"/>
      <c r="C56" s="4" t="n"/>
      <c r="D56" s="4" t="n"/>
      <c r="E56" s="4" t="n"/>
      <c r="F56" s="4" t="n"/>
      <c r="G56">
        <f>IF(B56="","",IFERROR(INDEX(Products!$B:$B,MATCH(B56,Products!$A:$A,0)),"SKU not found"))</f>
        <v/>
      </c>
    </row>
    <row r="57">
      <c r="A57" s="7" t="n"/>
      <c r="B57" s="4" t="n"/>
      <c r="C57" s="4" t="n"/>
      <c r="D57" s="4" t="n"/>
      <c r="E57" s="4" t="n"/>
      <c r="F57" s="4" t="n"/>
      <c r="G57">
        <f>IF(B57="","",IFERROR(INDEX(Products!$B:$B,MATCH(B57,Products!$A:$A,0)),"SKU not found"))</f>
        <v/>
      </c>
    </row>
    <row r="58">
      <c r="A58" s="7" t="n"/>
      <c r="B58" s="4" t="n"/>
      <c r="C58" s="4" t="n"/>
      <c r="D58" s="4" t="n"/>
      <c r="E58" s="4" t="n"/>
      <c r="F58" s="4" t="n"/>
      <c r="G58">
        <f>IF(B58="","",IFERROR(INDEX(Products!$B:$B,MATCH(B58,Products!$A:$A,0)),"SKU not found"))</f>
        <v/>
      </c>
    </row>
    <row r="59">
      <c r="A59" s="7" t="n"/>
      <c r="B59" s="4" t="n"/>
      <c r="C59" s="4" t="n"/>
      <c r="D59" s="4" t="n"/>
      <c r="E59" s="4" t="n"/>
      <c r="F59" s="4" t="n"/>
      <c r="G59">
        <f>IF(B59="","",IFERROR(INDEX(Products!$B:$B,MATCH(B59,Products!$A:$A,0)),"SKU not found"))</f>
        <v/>
      </c>
    </row>
    <row r="60">
      <c r="A60" s="7" t="n"/>
      <c r="B60" s="4" t="n"/>
      <c r="C60" s="4" t="n"/>
      <c r="D60" s="4" t="n"/>
      <c r="E60" s="4" t="n"/>
      <c r="F60" s="4" t="n"/>
      <c r="G60">
        <f>IF(B60="","",IFERROR(INDEX(Products!$B:$B,MATCH(B60,Products!$A:$A,0)),"SKU not found"))</f>
        <v/>
      </c>
    </row>
    <row r="61">
      <c r="A61" s="7" t="n"/>
      <c r="B61" s="4" t="n"/>
      <c r="C61" s="4" t="n"/>
      <c r="D61" s="4" t="n"/>
      <c r="E61" s="4" t="n"/>
      <c r="F61" s="4" t="n"/>
      <c r="G61">
        <f>IF(B61="","",IFERROR(INDEX(Products!$B:$B,MATCH(B61,Products!$A:$A,0)),"SKU not found"))</f>
        <v/>
      </c>
    </row>
    <row r="62">
      <c r="A62" s="7" t="n"/>
      <c r="B62" s="4" t="n"/>
      <c r="C62" s="4" t="n"/>
      <c r="D62" s="4" t="n"/>
      <c r="E62" s="4" t="n"/>
      <c r="F62" s="4" t="n"/>
      <c r="G62">
        <f>IF(B62="","",IFERROR(INDEX(Products!$B:$B,MATCH(B62,Products!$A:$A,0)),"SKU not found"))</f>
        <v/>
      </c>
    </row>
    <row r="63">
      <c r="A63" s="7" t="n"/>
      <c r="B63" s="4" t="n"/>
      <c r="C63" s="4" t="n"/>
      <c r="D63" s="4" t="n"/>
      <c r="E63" s="4" t="n"/>
      <c r="F63" s="4" t="n"/>
      <c r="G63">
        <f>IF(B63="","",IFERROR(INDEX(Products!$B:$B,MATCH(B63,Products!$A:$A,0)),"SKU not found"))</f>
        <v/>
      </c>
    </row>
    <row r="64">
      <c r="A64" s="7" t="n"/>
      <c r="B64" s="4" t="n"/>
      <c r="C64" s="4" t="n"/>
      <c r="D64" s="4" t="n"/>
      <c r="E64" s="4" t="n"/>
      <c r="F64" s="4" t="n"/>
      <c r="G64">
        <f>IF(B64="","",IFERROR(INDEX(Products!$B:$B,MATCH(B64,Products!$A:$A,0)),"SKU not found"))</f>
        <v/>
      </c>
    </row>
    <row r="65">
      <c r="A65" s="7" t="n"/>
      <c r="B65" s="4" t="n"/>
      <c r="C65" s="4" t="n"/>
      <c r="D65" s="4" t="n"/>
      <c r="E65" s="4" t="n"/>
      <c r="F65" s="4" t="n"/>
      <c r="G65">
        <f>IF(B65="","",IFERROR(INDEX(Products!$B:$B,MATCH(B65,Products!$A:$A,0)),"SKU not found"))</f>
        <v/>
      </c>
    </row>
    <row r="66">
      <c r="A66" s="7" t="n"/>
      <c r="B66" s="4" t="n"/>
      <c r="C66" s="4" t="n"/>
      <c r="D66" s="4" t="n"/>
      <c r="E66" s="4" t="n"/>
      <c r="F66" s="4" t="n"/>
      <c r="G66">
        <f>IF(B66="","",IFERROR(INDEX(Products!$B:$B,MATCH(B66,Products!$A:$A,0)),"SKU not found"))</f>
        <v/>
      </c>
    </row>
    <row r="67">
      <c r="A67" s="7" t="n"/>
      <c r="B67" s="4" t="n"/>
      <c r="C67" s="4" t="n"/>
      <c r="D67" s="4" t="n"/>
      <c r="E67" s="4" t="n"/>
      <c r="F67" s="4" t="n"/>
      <c r="G67">
        <f>IF(B67="","",IFERROR(INDEX(Products!$B:$B,MATCH(B67,Products!$A:$A,0)),"SKU not found"))</f>
        <v/>
      </c>
    </row>
    <row r="68">
      <c r="A68" s="7" t="n"/>
      <c r="B68" s="4" t="n"/>
      <c r="C68" s="4" t="n"/>
      <c r="D68" s="4" t="n"/>
      <c r="E68" s="4" t="n"/>
      <c r="F68" s="4" t="n"/>
      <c r="G68">
        <f>IF(B68="","",IFERROR(INDEX(Products!$B:$B,MATCH(B68,Products!$A:$A,0)),"SKU not found"))</f>
        <v/>
      </c>
    </row>
    <row r="69">
      <c r="A69" s="7" t="n"/>
      <c r="B69" s="4" t="n"/>
      <c r="C69" s="4" t="n"/>
      <c r="D69" s="4" t="n"/>
      <c r="E69" s="4" t="n"/>
      <c r="F69" s="4" t="n"/>
      <c r="G69">
        <f>IF(B69="","",IFERROR(INDEX(Products!$B:$B,MATCH(B69,Products!$A:$A,0)),"SKU not found"))</f>
        <v/>
      </c>
    </row>
    <row r="70">
      <c r="A70" s="7" t="n"/>
      <c r="B70" s="4" t="n"/>
      <c r="C70" s="4" t="n"/>
      <c r="D70" s="4" t="n"/>
      <c r="E70" s="4" t="n"/>
      <c r="F70" s="4" t="n"/>
      <c r="G70">
        <f>IF(B70="","",IFERROR(INDEX(Products!$B:$B,MATCH(B70,Products!$A:$A,0)),"SKU not found"))</f>
        <v/>
      </c>
    </row>
    <row r="71">
      <c r="A71" s="7" t="n"/>
      <c r="B71" s="4" t="n"/>
      <c r="C71" s="4" t="n"/>
      <c r="D71" s="4" t="n"/>
      <c r="E71" s="4" t="n"/>
      <c r="F71" s="4" t="n"/>
      <c r="G71">
        <f>IF(B71="","",IFERROR(INDEX(Products!$B:$B,MATCH(B71,Products!$A:$A,0)),"SKU not found"))</f>
        <v/>
      </c>
    </row>
    <row r="72">
      <c r="A72" s="7" t="n"/>
      <c r="B72" s="4" t="n"/>
      <c r="C72" s="4" t="n"/>
      <c r="D72" s="4" t="n"/>
      <c r="E72" s="4" t="n"/>
      <c r="F72" s="4" t="n"/>
      <c r="G72">
        <f>IF(B72="","",IFERROR(INDEX(Products!$B:$B,MATCH(B72,Products!$A:$A,0)),"SKU not found"))</f>
        <v/>
      </c>
    </row>
    <row r="73">
      <c r="A73" s="7" t="n"/>
      <c r="B73" s="4" t="n"/>
      <c r="C73" s="4" t="n"/>
      <c r="D73" s="4" t="n"/>
      <c r="E73" s="4" t="n"/>
      <c r="F73" s="4" t="n"/>
      <c r="G73">
        <f>IF(B73="","",IFERROR(INDEX(Products!$B:$B,MATCH(B73,Products!$A:$A,0)),"SKU not found"))</f>
        <v/>
      </c>
    </row>
    <row r="74">
      <c r="A74" s="7" t="n"/>
      <c r="B74" s="4" t="n"/>
      <c r="C74" s="4" t="n"/>
      <c r="D74" s="4" t="n"/>
      <c r="E74" s="4" t="n"/>
      <c r="F74" s="4" t="n"/>
      <c r="G74">
        <f>IF(B74="","",IFERROR(INDEX(Products!$B:$B,MATCH(B74,Products!$A:$A,0)),"SKU not found"))</f>
        <v/>
      </c>
    </row>
    <row r="75">
      <c r="A75" s="7" t="n"/>
      <c r="B75" s="4" t="n"/>
      <c r="C75" s="4" t="n"/>
      <c r="D75" s="4" t="n"/>
      <c r="E75" s="4" t="n"/>
      <c r="F75" s="4" t="n"/>
      <c r="G75">
        <f>IF(B75="","",IFERROR(INDEX(Products!$B:$B,MATCH(B75,Products!$A:$A,0)),"SKU not found"))</f>
        <v/>
      </c>
    </row>
    <row r="76">
      <c r="A76" s="7" t="n"/>
      <c r="B76" s="4" t="n"/>
      <c r="C76" s="4" t="n"/>
      <c r="D76" s="4" t="n"/>
      <c r="E76" s="4" t="n"/>
      <c r="F76" s="4" t="n"/>
      <c r="G76">
        <f>IF(B76="","",IFERROR(INDEX(Products!$B:$B,MATCH(B76,Products!$A:$A,0)),"SKU not found"))</f>
        <v/>
      </c>
    </row>
    <row r="77">
      <c r="A77" s="7" t="n"/>
      <c r="B77" s="4" t="n"/>
      <c r="C77" s="4" t="n"/>
      <c r="D77" s="4" t="n"/>
      <c r="E77" s="4" t="n"/>
      <c r="F77" s="4" t="n"/>
      <c r="G77">
        <f>IF(B77="","",IFERROR(INDEX(Products!$B:$B,MATCH(B77,Products!$A:$A,0)),"SKU not found"))</f>
        <v/>
      </c>
    </row>
    <row r="78">
      <c r="A78" s="7" t="n"/>
      <c r="B78" s="4" t="n"/>
      <c r="C78" s="4" t="n"/>
      <c r="D78" s="4" t="n"/>
      <c r="E78" s="4" t="n"/>
      <c r="F78" s="4" t="n"/>
      <c r="G78">
        <f>IF(B78="","",IFERROR(INDEX(Products!$B:$B,MATCH(B78,Products!$A:$A,0)),"SKU not found"))</f>
        <v/>
      </c>
    </row>
    <row r="79">
      <c r="A79" s="7" t="n"/>
      <c r="B79" s="4" t="n"/>
      <c r="C79" s="4" t="n"/>
      <c r="D79" s="4" t="n"/>
      <c r="E79" s="4" t="n"/>
      <c r="F79" s="4" t="n"/>
      <c r="G79">
        <f>IF(B79="","",IFERROR(INDEX(Products!$B:$B,MATCH(B79,Products!$A:$A,0)),"SKU not found"))</f>
        <v/>
      </c>
    </row>
    <row r="80">
      <c r="A80" s="7" t="n"/>
      <c r="B80" s="4" t="n"/>
      <c r="C80" s="4" t="n"/>
      <c r="D80" s="4" t="n"/>
      <c r="E80" s="4" t="n"/>
      <c r="F80" s="4" t="n"/>
      <c r="G80">
        <f>IF(B80="","",IFERROR(INDEX(Products!$B:$B,MATCH(B80,Products!$A:$A,0)),"SKU not found"))</f>
        <v/>
      </c>
    </row>
    <row r="81">
      <c r="A81" s="7" t="n"/>
      <c r="B81" s="4" t="n"/>
      <c r="C81" s="4" t="n"/>
      <c r="D81" s="4" t="n"/>
      <c r="E81" s="4" t="n"/>
      <c r="F81" s="4" t="n"/>
      <c r="G81">
        <f>IF(B81="","",IFERROR(INDEX(Products!$B:$B,MATCH(B81,Products!$A:$A,0)),"SKU not found"))</f>
        <v/>
      </c>
    </row>
    <row r="82">
      <c r="A82" s="7" t="n"/>
      <c r="B82" s="4" t="n"/>
      <c r="C82" s="4" t="n"/>
      <c r="D82" s="4" t="n"/>
      <c r="E82" s="4" t="n"/>
      <c r="F82" s="4" t="n"/>
      <c r="G82">
        <f>IF(B82="","",IFERROR(INDEX(Products!$B:$B,MATCH(B82,Products!$A:$A,0)),"SKU not found"))</f>
        <v/>
      </c>
    </row>
    <row r="83">
      <c r="A83" s="7" t="n"/>
      <c r="B83" s="4" t="n"/>
      <c r="C83" s="4" t="n"/>
      <c r="D83" s="4" t="n"/>
      <c r="E83" s="4" t="n"/>
      <c r="F83" s="4" t="n"/>
      <c r="G83">
        <f>IF(B83="","",IFERROR(INDEX(Products!$B:$B,MATCH(B83,Products!$A:$A,0)),"SKU not found"))</f>
        <v/>
      </c>
    </row>
    <row r="84">
      <c r="A84" s="7" t="n"/>
      <c r="B84" s="4" t="n"/>
      <c r="C84" s="4" t="n"/>
      <c r="D84" s="4" t="n"/>
      <c r="E84" s="4" t="n"/>
      <c r="F84" s="4" t="n"/>
      <c r="G84">
        <f>IF(B84="","",IFERROR(INDEX(Products!$B:$B,MATCH(B84,Products!$A:$A,0)),"SKU not found"))</f>
        <v/>
      </c>
    </row>
    <row r="85">
      <c r="A85" s="7" t="n"/>
      <c r="B85" s="4" t="n"/>
      <c r="C85" s="4" t="n"/>
      <c r="D85" s="4" t="n"/>
      <c r="E85" s="4" t="n"/>
      <c r="F85" s="4" t="n"/>
      <c r="G85">
        <f>IF(B85="","",IFERROR(INDEX(Products!$B:$B,MATCH(B85,Products!$A:$A,0)),"SKU not found"))</f>
        <v/>
      </c>
    </row>
    <row r="86">
      <c r="A86" s="7" t="n"/>
      <c r="B86" s="4" t="n"/>
      <c r="C86" s="4" t="n"/>
      <c r="D86" s="4" t="n"/>
      <c r="E86" s="4" t="n"/>
      <c r="F86" s="4" t="n"/>
      <c r="G86">
        <f>IF(B86="","",IFERROR(INDEX(Products!$B:$B,MATCH(B86,Products!$A:$A,0)),"SKU not found"))</f>
        <v/>
      </c>
    </row>
    <row r="87">
      <c r="A87" s="7" t="n"/>
      <c r="B87" s="4" t="n"/>
      <c r="C87" s="4" t="n"/>
      <c r="D87" s="4" t="n"/>
      <c r="E87" s="4" t="n"/>
      <c r="F87" s="4" t="n"/>
      <c r="G87">
        <f>IF(B87="","",IFERROR(INDEX(Products!$B:$B,MATCH(B87,Products!$A:$A,0)),"SKU not found"))</f>
        <v/>
      </c>
    </row>
    <row r="88">
      <c r="A88" s="7" t="n"/>
      <c r="B88" s="4" t="n"/>
      <c r="C88" s="4" t="n"/>
      <c r="D88" s="4" t="n"/>
      <c r="E88" s="4" t="n"/>
      <c r="F88" s="4" t="n"/>
      <c r="G88">
        <f>IF(B88="","",IFERROR(INDEX(Products!$B:$B,MATCH(B88,Products!$A:$A,0)),"SKU not found"))</f>
        <v/>
      </c>
    </row>
    <row r="89">
      <c r="A89" s="7" t="n"/>
      <c r="B89" s="4" t="n"/>
      <c r="C89" s="4" t="n"/>
      <c r="D89" s="4" t="n"/>
      <c r="E89" s="4" t="n"/>
      <c r="F89" s="4" t="n"/>
      <c r="G89">
        <f>IF(B89="","",IFERROR(INDEX(Products!$B:$B,MATCH(B89,Products!$A:$A,0)),"SKU not found"))</f>
        <v/>
      </c>
    </row>
    <row r="90">
      <c r="A90" s="7" t="n"/>
      <c r="B90" s="4" t="n"/>
      <c r="C90" s="4" t="n"/>
      <c r="D90" s="4" t="n"/>
      <c r="E90" s="4" t="n"/>
      <c r="F90" s="4" t="n"/>
      <c r="G90">
        <f>IF(B90="","",IFERROR(INDEX(Products!$B:$B,MATCH(B90,Products!$A:$A,0)),"SKU not found"))</f>
        <v/>
      </c>
    </row>
    <row r="91">
      <c r="A91" s="7" t="n"/>
      <c r="B91" s="4" t="n"/>
      <c r="C91" s="4" t="n"/>
      <c r="D91" s="4" t="n"/>
      <c r="E91" s="4" t="n"/>
      <c r="F91" s="4" t="n"/>
      <c r="G91">
        <f>IF(B91="","",IFERROR(INDEX(Products!$B:$B,MATCH(B91,Products!$A:$A,0)),"SKU not found"))</f>
        <v/>
      </c>
    </row>
    <row r="92">
      <c r="A92" s="7" t="n"/>
      <c r="B92" s="4" t="n"/>
      <c r="C92" s="4" t="n"/>
      <c r="D92" s="4" t="n"/>
      <c r="E92" s="4" t="n"/>
      <c r="F92" s="4" t="n"/>
      <c r="G92">
        <f>IF(B92="","",IFERROR(INDEX(Products!$B:$B,MATCH(B92,Products!$A:$A,0)),"SKU not found"))</f>
        <v/>
      </c>
    </row>
    <row r="93">
      <c r="A93" s="7" t="n"/>
      <c r="B93" s="4" t="n"/>
      <c r="C93" s="4" t="n"/>
      <c r="D93" s="4" t="n"/>
      <c r="E93" s="4" t="n"/>
      <c r="F93" s="4" t="n"/>
      <c r="G93">
        <f>IF(B93="","",IFERROR(INDEX(Products!$B:$B,MATCH(B93,Products!$A:$A,0)),"SKU not found"))</f>
        <v/>
      </c>
    </row>
    <row r="94">
      <c r="A94" s="7" t="n"/>
      <c r="B94" s="4" t="n"/>
      <c r="C94" s="4" t="n"/>
      <c r="D94" s="4" t="n"/>
      <c r="E94" s="4" t="n"/>
      <c r="F94" s="4" t="n"/>
      <c r="G94">
        <f>IF(B94="","",IFERROR(INDEX(Products!$B:$B,MATCH(B94,Products!$A:$A,0)),"SKU not found"))</f>
        <v/>
      </c>
    </row>
    <row r="95">
      <c r="A95" s="7" t="n"/>
      <c r="B95" s="4" t="n"/>
      <c r="C95" s="4" t="n"/>
      <c r="D95" s="4" t="n"/>
      <c r="E95" s="4" t="n"/>
      <c r="F95" s="4" t="n"/>
      <c r="G95">
        <f>IF(B95="","",IFERROR(INDEX(Products!$B:$B,MATCH(B95,Products!$A:$A,0)),"SKU not found"))</f>
        <v/>
      </c>
    </row>
    <row r="96">
      <c r="A96" s="7" t="n"/>
      <c r="B96" s="4" t="n"/>
      <c r="C96" s="4" t="n"/>
      <c r="D96" s="4" t="n"/>
      <c r="E96" s="4" t="n"/>
      <c r="F96" s="4" t="n"/>
      <c r="G96">
        <f>IF(B96="","",IFERROR(INDEX(Products!$B:$B,MATCH(B96,Products!$A:$A,0)),"SKU not found"))</f>
        <v/>
      </c>
    </row>
    <row r="97">
      <c r="A97" s="7" t="n"/>
      <c r="B97" s="4" t="n"/>
      <c r="C97" s="4" t="n"/>
      <c r="D97" s="4" t="n"/>
      <c r="E97" s="4" t="n"/>
      <c r="F97" s="4" t="n"/>
      <c r="G97">
        <f>IF(B97="","",IFERROR(INDEX(Products!$B:$B,MATCH(B97,Products!$A:$A,0)),"SKU not found"))</f>
        <v/>
      </c>
    </row>
    <row r="98">
      <c r="A98" s="7" t="n"/>
      <c r="B98" s="4" t="n"/>
      <c r="C98" s="4" t="n"/>
      <c r="D98" s="4" t="n"/>
      <c r="E98" s="4" t="n"/>
      <c r="F98" s="4" t="n"/>
      <c r="G98">
        <f>IF(B98="","",IFERROR(INDEX(Products!$B:$B,MATCH(B98,Products!$A:$A,0)),"SKU not found"))</f>
        <v/>
      </c>
    </row>
    <row r="99">
      <c r="A99" s="7" t="n"/>
      <c r="B99" s="4" t="n"/>
      <c r="C99" s="4" t="n"/>
      <c r="D99" s="4" t="n"/>
      <c r="E99" s="4" t="n"/>
      <c r="F99" s="4" t="n"/>
      <c r="G99">
        <f>IF(B99="","",IFERROR(INDEX(Products!$B:$B,MATCH(B99,Products!$A:$A,0)),"SKU not found"))</f>
        <v/>
      </c>
    </row>
    <row r="100">
      <c r="A100" s="7" t="n"/>
      <c r="B100" s="4" t="n"/>
      <c r="C100" s="4" t="n"/>
      <c r="D100" s="4" t="n"/>
      <c r="E100" s="4" t="n"/>
      <c r="F100" s="4" t="n"/>
      <c r="G100">
        <f>IF(B100="","",IFERROR(INDEX(Products!$B:$B,MATCH(B100,Products!$A:$A,0)),"SKU not found"))</f>
        <v/>
      </c>
    </row>
    <row r="101">
      <c r="A101" s="7" t="n"/>
      <c r="B101" s="4" t="n"/>
      <c r="C101" s="4" t="n"/>
      <c r="D101" s="4" t="n"/>
      <c r="E101" s="4" t="n"/>
      <c r="F101" s="4" t="n"/>
      <c r="G101">
        <f>IF(B101="","",IFERROR(INDEX(Products!$B:$B,MATCH(B101,Products!$A:$A,0)),"SKU not found"))</f>
        <v/>
      </c>
    </row>
    <row r="102">
      <c r="A102" s="7" t="n"/>
      <c r="B102" s="4" t="n"/>
      <c r="C102" s="4" t="n"/>
      <c r="D102" s="4" t="n"/>
      <c r="E102" s="4" t="n"/>
      <c r="F102" s="4" t="n"/>
      <c r="G102">
        <f>IF(B102="","",IFERROR(INDEX(Products!$B:$B,MATCH(B102,Products!$A:$A,0)),"SKU not found"))</f>
        <v/>
      </c>
    </row>
    <row r="103">
      <c r="A103" s="7" t="n"/>
      <c r="B103" s="4" t="n"/>
      <c r="C103" s="4" t="n"/>
      <c r="D103" s="4" t="n"/>
      <c r="E103" s="4" t="n"/>
      <c r="F103" s="4" t="n"/>
      <c r="G103">
        <f>IF(B103="","",IFERROR(INDEX(Products!$B:$B,MATCH(B103,Products!$A:$A,0)),"SKU not found"))</f>
        <v/>
      </c>
    </row>
    <row r="104">
      <c r="A104" s="7" t="n"/>
      <c r="B104" s="4" t="n"/>
      <c r="C104" s="4" t="n"/>
      <c r="D104" s="4" t="n"/>
      <c r="E104" s="4" t="n"/>
      <c r="F104" s="4" t="n"/>
      <c r="G104">
        <f>IF(B104="","",IFERROR(INDEX(Products!$B:$B,MATCH(B104,Products!$A:$A,0)),"SKU not found"))</f>
        <v/>
      </c>
    </row>
    <row r="105">
      <c r="A105" s="7" t="n"/>
      <c r="B105" s="4" t="n"/>
      <c r="C105" s="4" t="n"/>
      <c r="D105" s="4" t="n"/>
      <c r="E105" s="4" t="n"/>
      <c r="F105" s="4" t="n"/>
      <c r="G105">
        <f>IF(B105="","",IFERROR(INDEX(Products!$B:$B,MATCH(B105,Products!$A:$A,0)),"SKU not found"))</f>
        <v/>
      </c>
    </row>
    <row r="106">
      <c r="A106" s="7" t="n"/>
      <c r="B106" s="4" t="n"/>
      <c r="C106" s="4" t="n"/>
      <c r="D106" s="4" t="n"/>
      <c r="E106" s="4" t="n"/>
      <c r="F106" s="4" t="n"/>
      <c r="G106">
        <f>IF(B106="","",IFERROR(INDEX(Products!$B:$B,MATCH(B106,Products!$A:$A,0)),"SKU not found"))</f>
        <v/>
      </c>
    </row>
    <row r="107">
      <c r="A107" s="7" t="n"/>
      <c r="B107" s="4" t="n"/>
      <c r="C107" s="4" t="n"/>
      <c r="D107" s="4" t="n"/>
      <c r="E107" s="4" t="n"/>
      <c r="F107" s="4" t="n"/>
      <c r="G107">
        <f>IF(B107="","",IFERROR(INDEX(Products!$B:$B,MATCH(B107,Products!$A:$A,0)),"SKU not found"))</f>
        <v/>
      </c>
    </row>
    <row r="108">
      <c r="A108" s="7" t="n"/>
      <c r="B108" s="4" t="n"/>
      <c r="C108" s="4" t="n"/>
      <c r="D108" s="4" t="n"/>
      <c r="E108" s="4" t="n"/>
      <c r="F108" s="4" t="n"/>
      <c r="G108">
        <f>IF(B108="","",IFERROR(INDEX(Products!$B:$B,MATCH(B108,Products!$A:$A,0)),"SKU not found"))</f>
        <v/>
      </c>
    </row>
    <row r="109">
      <c r="A109" s="7" t="n"/>
      <c r="B109" s="4" t="n"/>
      <c r="C109" s="4" t="n"/>
      <c r="D109" s="4" t="n"/>
      <c r="E109" s="4" t="n"/>
      <c r="F109" s="4" t="n"/>
      <c r="G109">
        <f>IF(B109="","",IFERROR(INDEX(Products!$B:$B,MATCH(B109,Products!$A:$A,0)),"SKU not found"))</f>
        <v/>
      </c>
    </row>
    <row r="110">
      <c r="A110" s="7" t="n"/>
      <c r="B110" s="4" t="n"/>
      <c r="C110" s="4" t="n"/>
      <c r="D110" s="4" t="n"/>
      <c r="E110" s="4" t="n"/>
      <c r="F110" s="4" t="n"/>
      <c r="G110">
        <f>IF(B110="","",IFERROR(INDEX(Products!$B:$B,MATCH(B110,Products!$A:$A,0)),"SKU not found"))</f>
        <v/>
      </c>
    </row>
    <row r="111">
      <c r="A111" s="7" t="n"/>
      <c r="B111" s="4" t="n"/>
      <c r="C111" s="4" t="n"/>
      <c r="D111" s="4" t="n"/>
      <c r="E111" s="4" t="n"/>
      <c r="F111" s="4" t="n"/>
      <c r="G111">
        <f>IF(B111="","",IFERROR(INDEX(Products!$B:$B,MATCH(B111,Products!$A:$A,0)),"SKU not found"))</f>
        <v/>
      </c>
    </row>
    <row r="112">
      <c r="A112" s="7" t="n"/>
      <c r="B112" s="4" t="n"/>
      <c r="C112" s="4" t="n"/>
      <c r="D112" s="4" t="n"/>
      <c r="E112" s="4" t="n"/>
      <c r="F112" s="4" t="n"/>
      <c r="G112">
        <f>IF(B112="","",IFERROR(INDEX(Products!$B:$B,MATCH(B112,Products!$A:$A,0)),"SKU not found"))</f>
        <v/>
      </c>
    </row>
    <row r="113">
      <c r="A113" s="7" t="n"/>
      <c r="B113" s="4" t="n"/>
      <c r="C113" s="4" t="n"/>
      <c r="D113" s="4" t="n"/>
      <c r="E113" s="4" t="n"/>
      <c r="F113" s="4" t="n"/>
      <c r="G113">
        <f>IF(B113="","",IFERROR(INDEX(Products!$B:$B,MATCH(B113,Products!$A:$A,0)),"SKU not found"))</f>
        <v/>
      </c>
    </row>
    <row r="114">
      <c r="A114" s="7" t="n"/>
      <c r="B114" s="4" t="n"/>
      <c r="C114" s="4" t="n"/>
      <c r="D114" s="4" t="n"/>
      <c r="E114" s="4" t="n"/>
      <c r="F114" s="4" t="n"/>
      <c r="G114">
        <f>IF(B114="","",IFERROR(INDEX(Products!$B:$B,MATCH(B114,Products!$A:$A,0)),"SKU not found"))</f>
        <v/>
      </c>
    </row>
    <row r="115">
      <c r="A115" s="7" t="n"/>
      <c r="B115" s="4" t="n"/>
      <c r="C115" s="4" t="n"/>
      <c r="D115" s="4" t="n"/>
      <c r="E115" s="4" t="n"/>
      <c r="F115" s="4" t="n"/>
      <c r="G115">
        <f>IF(B115="","",IFERROR(INDEX(Products!$B:$B,MATCH(B115,Products!$A:$A,0)),"SKU not found"))</f>
        <v/>
      </c>
    </row>
    <row r="116">
      <c r="A116" s="7" t="n"/>
      <c r="B116" s="4" t="n"/>
      <c r="C116" s="4" t="n"/>
      <c r="D116" s="4" t="n"/>
      <c r="E116" s="4" t="n"/>
      <c r="F116" s="4" t="n"/>
      <c r="G116">
        <f>IF(B116="","",IFERROR(INDEX(Products!$B:$B,MATCH(B116,Products!$A:$A,0)),"SKU not found"))</f>
        <v/>
      </c>
    </row>
    <row r="117">
      <c r="A117" s="7" t="n"/>
      <c r="B117" s="4" t="n"/>
      <c r="C117" s="4" t="n"/>
      <c r="D117" s="4" t="n"/>
      <c r="E117" s="4" t="n"/>
      <c r="F117" s="4" t="n"/>
      <c r="G117">
        <f>IF(B117="","",IFERROR(INDEX(Products!$B:$B,MATCH(B117,Products!$A:$A,0)),"SKU not found"))</f>
        <v/>
      </c>
    </row>
    <row r="118">
      <c r="A118" s="7" t="n"/>
      <c r="B118" s="4" t="n"/>
      <c r="C118" s="4" t="n"/>
      <c r="D118" s="4" t="n"/>
      <c r="E118" s="4" t="n"/>
      <c r="F118" s="4" t="n"/>
      <c r="G118">
        <f>IF(B118="","",IFERROR(INDEX(Products!$B:$B,MATCH(B118,Products!$A:$A,0)),"SKU not found"))</f>
        <v/>
      </c>
    </row>
    <row r="119">
      <c r="A119" s="7" t="n"/>
      <c r="B119" s="4" t="n"/>
      <c r="C119" s="4" t="n"/>
      <c r="D119" s="4" t="n"/>
      <c r="E119" s="4" t="n"/>
      <c r="F119" s="4" t="n"/>
      <c r="G119">
        <f>IF(B119="","",IFERROR(INDEX(Products!$B:$B,MATCH(B119,Products!$A:$A,0)),"SKU not found"))</f>
        <v/>
      </c>
    </row>
    <row r="120">
      <c r="A120" s="7" t="n"/>
      <c r="B120" s="4" t="n"/>
      <c r="C120" s="4" t="n"/>
      <c r="D120" s="4" t="n"/>
      <c r="E120" s="4" t="n"/>
      <c r="F120" s="4" t="n"/>
      <c r="G120">
        <f>IF(B120="","",IFERROR(INDEX(Products!$B:$B,MATCH(B120,Products!$A:$A,0)),"SKU not found"))</f>
        <v/>
      </c>
    </row>
    <row r="121">
      <c r="A121" s="7" t="n"/>
      <c r="B121" s="4" t="n"/>
      <c r="C121" s="4" t="n"/>
      <c r="D121" s="4" t="n"/>
      <c r="E121" s="4" t="n"/>
      <c r="F121" s="4" t="n"/>
      <c r="G121">
        <f>IF(B121="","",IFERROR(INDEX(Products!$B:$B,MATCH(B121,Products!$A:$A,0)),"SKU not found"))</f>
        <v/>
      </c>
    </row>
    <row r="122">
      <c r="A122" s="7" t="n"/>
      <c r="B122" s="4" t="n"/>
      <c r="C122" s="4" t="n"/>
      <c r="D122" s="4" t="n"/>
      <c r="E122" s="4" t="n"/>
      <c r="F122" s="4" t="n"/>
      <c r="G122">
        <f>IF(B122="","",IFERROR(INDEX(Products!$B:$B,MATCH(B122,Products!$A:$A,0)),"SKU not found"))</f>
        <v/>
      </c>
    </row>
    <row r="123">
      <c r="A123" s="7" t="n"/>
      <c r="B123" s="4" t="n"/>
      <c r="C123" s="4" t="n"/>
      <c r="D123" s="4" t="n"/>
      <c r="E123" s="4" t="n"/>
      <c r="F123" s="4" t="n"/>
      <c r="G123">
        <f>IF(B123="","",IFERROR(INDEX(Products!$B:$B,MATCH(B123,Products!$A:$A,0)),"SKU not found"))</f>
        <v/>
      </c>
    </row>
    <row r="124">
      <c r="A124" s="7" t="n"/>
      <c r="B124" s="4" t="n"/>
      <c r="C124" s="4" t="n"/>
      <c r="D124" s="4" t="n"/>
      <c r="E124" s="4" t="n"/>
      <c r="F124" s="4" t="n"/>
      <c r="G124">
        <f>IF(B124="","",IFERROR(INDEX(Products!$B:$B,MATCH(B124,Products!$A:$A,0)),"SKU not found"))</f>
        <v/>
      </c>
    </row>
    <row r="125">
      <c r="A125" s="7" t="n"/>
      <c r="B125" s="4" t="n"/>
      <c r="C125" s="4" t="n"/>
      <c r="D125" s="4" t="n"/>
      <c r="E125" s="4" t="n"/>
      <c r="F125" s="4" t="n"/>
      <c r="G125">
        <f>IF(B125="","",IFERROR(INDEX(Products!$B:$B,MATCH(B125,Products!$A:$A,0)),"SKU not found"))</f>
        <v/>
      </c>
    </row>
    <row r="126">
      <c r="A126" s="7" t="n"/>
      <c r="B126" s="4" t="n"/>
      <c r="C126" s="4" t="n"/>
      <c r="D126" s="4" t="n"/>
      <c r="E126" s="4" t="n"/>
      <c r="F126" s="4" t="n"/>
      <c r="G126">
        <f>IF(B126="","",IFERROR(INDEX(Products!$B:$B,MATCH(B126,Products!$A:$A,0)),"SKU not found"))</f>
        <v/>
      </c>
    </row>
    <row r="127">
      <c r="A127" s="7" t="n"/>
      <c r="B127" s="4" t="n"/>
      <c r="C127" s="4" t="n"/>
      <c r="D127" s="4" t="n"/>
      <c r="E127" s="4" t="n"/>
      <c r="F127" s="4" t="n"/>
      <c r="G127">
        <f>IF(B127="","",IFERROR(INDEX(Products!$B:$B,MATCH(B127,Products!$A:$A,0)),"SKU not found"))</f>
        <v/>
      </c>
    </row>
    <row r="128">
      <c r="A128" s="7" t="n"/>
      <c r="B128" s="4" t="n"/>
      <c r="C128" s="4" t="n"/>
      <c r="D128" s="4" t="n"/>
      <c r="E128" s="4" t="n"/>
      <c r="F128" s="4" t="n"/>
      <c r="G128">
        <f>IF(B128="","",IFERROR(INDEX(Products!$B:$B,MATCH(B128,Products!$A:$A,0)),"SKU not found"))</f>
        <v/>
      </c>
    </row>
    <row r="129">
      <c r="A129" s="7" t="n"/>
      <c r="B129" s="4" t="n"/>
      <c r="C129" s="4" t="n"/>
      <c r="D129" s="4" t="n"/>
      <c r="E129" s="4" t="n"/>
      <c r="F129" s="4" t="n"/>
      <c r="G129">
        <f>IF(B129="","",IFERROR(INDEX(Products!$B:$B,MATCH(B129,Products!$A:$A,0)),"SKU not found"))</f>
        <v/>
      </c>
    </row>
    <row r="130">
      <c r="A130" s="7" t="n"/>
      <c r="B130" s="4" t="n"/>
      <c r="C130" s="4" t="n"/>
      <c r="D130" s="4" t="n"/>
      <c r="E130" s="4" t="n"/>
      <c r="F130" s="4" t="n"/>
      <c r="G130">
        <f>IF(B130="","",IFERROR(INDEX(Products!$B:$B,MATCH(B130,Products!$A:$A,0)),"SKU not found"))</f>
        <v/>
      </c>
    </row>
    <row r="131">
      <c r="A131" s="7" t="n"/>
      <c r="B131" s="4" t="n"/>
      <c r="C131" s="4" t="n"/>
      <c r="D131" s="4" t="n"/>
      <c r="E131" s="4" t="n"/>
      <c r="F131" s="4" t="n"/>
      <c r="G131">
        <f>IF(B131="","",IFERROR(INDEX(Products!$B:$B,MATCH(B131,Products!$A:$A,0)),"SKU not found"))</f>
        <v/>
      </c>
    </row>
    <row r="132">
      <c r="A132" s="7" t="n"/>
      <c r="B132" s="4" t="n"/>
      <c r="C132" s="4" t="n"/>
      <c r="D132" s="4" t="n"/>
      <c r="E132" s="4" t="n"/>
      <c r="F132" s="4" t="n"/>
      <c r="G132">
        <f>IF(B132="","",IFERROR(INDEX(Products!$B:$B,MATCH(B132,Products!$A:$A,0)),"SKU not found"))</f>
        <v/>
      </c>
    </row>
    <row r="133">
      <c r="A133" s="7" t="n"/>
      <c r="B133" s="4" t="n"/>
      <c r="C133" s="4" t="n"/>
      <c r="D133" s="4" t="n"/>
      <c r="E133" s="4" t="n"/>
      <c r="F133" s="4" t="n"/>
      <c r="G133">
        <f>IF(B133="","",IFERROR(INDEX(Products!$B:$B,MATCH(B133,Products!$A:$A,0)),"SKU not found"))</f>
        <v/>
      </c>
    </row>
    <row r="134">
      <c r="A134" s="7" t="n"/>
      <c r="B134" s="4" t="n"/>
      <c r="C134" s="4" t="n"/>
      <c r="D134" s="4" t="n"/>
      <c r="E134" s="4" t="n"/>
      <c r="F134" s="4" t="n"/>
      <c r="G134">
        <f>IF(B134="","",IFERROR(INDEX(Products!$B:$B,MATCH(B134,Products!$A:$A,0)),"SKU not found"))</f>
        <v/>
      </c>
    </row>
    <row r="135">
      <c r="A135" s="7" t="n"/>
      <c r="B135" s="4" t="n"/>
      <c r="C135" s="4" t="n"/>
      <c r="D135" s="4" t="n"/>
      <c r="E135" s="4" t="n"/>
      <c r="F135" s="4" t="n"/>
      <c r="G135">
        <f>IF(B135="","",IFERROR(INDEX(Products!$B:$B,MATCH(B135,Products!$A:$A,0)),"SKU not found"))</f>
        <v/>
      </c>
    </row>
    <row r="136">
      <c r="A136" s="7" t="n"/>
      <c r="B136" s="4" t="n"/>
      <c r="C136" s="4" t="n"/>
      <c r="D136" s="4" t="n"/>
      <c r="E136" s="4" t="n"/>
      <c r="F136" s="4" t="n"/>
      <c r="G136">
        <f>IF(B136="","",IFERROR(INDEX(Products!$B:$B,MATCH(B136,Products!$A:$A,0)),"SKU not found"))</f>
        <v/>
      </c>
    </row>
    <row r="137">
      <c r="A137" s="7" t="n"/>
      <c r="B137" s="4" t="n"/>
      <c r="C137" s="4" t="n"/>
      <c r="D137" s="4" t="n"/>
      <c r="E137" s="4" t="n"/>
      <c r="F137" s="4" t="n"/>
      <c r="G137">
        <f>IF(B137="","",IFERROR(INDEX(Products!$B:$B,MATCH(B137,Products!$A:$A,0)),"SKU not found"))</f>
        <v/>
      </c>
    </row>
    <row r="138">
      <c r="A138" s="7" t="n"/>
      <c r="B138" s="4" t="n"/>
      <c r="C138" s="4" t="n"/>
      <c r="D138" s="4" t="n"/>
      <c r="E138" s="4" t="n"/>
      <c r="F138" s="4" t="n"/>
      <c r="G138">
        <f>IF(B138="","",IFERROR(INDEX(Products!$B:$B,MATCH(B138,Products!$A:$A,0)),"SKU not found"))</f>
        <v/>
      </c>
    </row>
    <row r="139">
      <c r="A139" s="7" t="n"/>
      <c r="B139" s="4" t="n"/>
      <c r="C139" s="4" t="n"/>
      <c r="D139" s="4" t="n"/>
      <c r="E139" s="4" t="n"/>
      <c r="F139" s="4" t="n"/>
      <c r="G139">
        <f>IF(B139="","",IFERROR(INDEX(Products!$B:$B,MATCH(B139,Products!$A:$A,0)),"SKU not found"))</f>
        <v/>
      </c>
    </row>
    <row r="140">
      <c r="A140" s="7" t="n"/>
      <c r="B140" s="4" t="n"/>
      <c r="C140" s="4" t="n"/>
      <c r="D140" s="4" t="n"/>
      <c r="E140" s="4" t="n"/>
      <c r="F140" s="4" t="n"/>
      <c r="G140">
        <f>IF(B140="","",IFERROR(INDEX(Products!$B:$B,MATCH(B140,Products!$A:$A,0)),"SKU not found"))</f>
        <v/>
      </c>
    </row>
    <row r="141">
      <c r="A141" s="7" t="n"/>
      <c r="B141" s="4" t="n"/>
      <c r="C141" s="4" t="n"/>
      <c r="D141" s="4" t="n"/>
      <c r="E141" s="4" t="n"/>
      <c r="F141" s="4" t="n"/>
      <c r="G141">
        <f>IF(B141="","",IFERROR(INDEX(Products!$B:$B,MATCH(B141,Products!$A:$A,0)),"SKU not found"))</f>
        <v/>
      </c>
    </row>
    <row r="142">
      <c r="A142" s="7" t="n"/>
      <c r="B142" s="4" t="n"/>
      <c r="C142" s="4" t="n"/>
      <c r="D142" s="4" t="n"/>
      <c r="E142" s="4" t="n"/>
      <c r="F142" s="4" t="n"/>
      <c r="G142">
        <f>IF(B142="","",IFERROR(INDEX(Products!$B:$B,MATCH(B142,Products!$A:$A,0)),"SKU not found"))</f>
        <v/>
      </c>
    </row>
    <row r="143">
      <c r="A143" s="7" t="n"/>
      <c r="B143" s="4" t="n"/>
      <c r="C143" s="4" t="n"/>
      <c r="D143" s="4" t="n"/>
      <c r="E143" s="4" t="n"/>
      <c r="F143" s="4" t="n"/>
      <c r="G143">
        <f>IF(B143="","",IFERROR(INDEX(Products!$B:$B,MATCH(B143,Products!$A:$A,0)),"SKU not found"))</f>
        <v/>
      </c>
    </row>
    <row r="144">
      <c r="A144" s="7" t="n"/>
      <c r="B144" s="4" t="n"/>
      <c r="C144" s="4" t="n"/>
      <c r="D144" s="4" t="n"/>
      <c r="E144" s="4" t="n"/>
      <c r="F144" s="4" t="n"/>
      <c r="G144">
        <f>IF(B144="","",IFERROR(INDEX(Products!$B:$B,MATCH(B144,Products!$A:$A,0)),"SKU not found"))</f>
        <v/>
      </c>
    </row>
    <row r="145">
      <c r="A145" s="7" t="n"/>
      <c r="B145" s="4" t="n"/>
      <c r="C145" s="4" t="n"/>
      <c r="D145" s="4" t="n"/>
      <c r="E145" s="4" t="n"/>
      <c r="F145" s="4" t="n"/>
      <c r="G145">
        <f>IF(B145="","",IFERROR(INDEX(Products!$B:$B,MATCH(B145,Products!$A:$A,0)),"SKU not found"))</f>
        <v/>
      </c>
    </row>
    <row r="146">
      <c r="A146" s="7" t="n"/>
      <c r="B146" s="4" t="n"/>
      <c r="C146" s="4" t="n"/>
      <c r="D146" s="4" t="n"/>
      <c r="E146" s="4" t="n"/>
      <c r="F146" s="4" t="n"/>
      <c r="G146">
        <f>IF(B146="","",IFERROR(INDEX(Products!$B:$B,MATCH(B146,Products!$A:$A,0)),"SKU not found"))</f>
        <v/>
      </c>
    </row>
    <row r="147">
      <c r="A147" s="7" t="n"/>
      <c r="B147" s="4" t="n"/>
      <c r="C147" s="4" t="n"/>
      <c r="D147" s="4" t="n"/>
      <c r="E147" s="4" t="n"/>
      <c r="F147" s="4" t="n"/>
      <c r="G147">
        <f>IF(B147="","",IFERROR(INDEX(Products!$B:$B,MATCH(B147,Products!$A:$A,0)),"SKU not found"))</f>
        <v/>
      </c>
    </row>
    <row r="148">
      <c r="A148" s="7" t="n"/>
      <c r="B148" s="4" t="n"/>
      <c r="C148" s="4" t="n"/>
      <c r="D148" s="4" t="n"/>
      <c r="E148" s="4" t="n"/>
      <c r="F148" s="4" t="n"/>
      <c r="G148">
        <f>IF(B148="","",IFERROR(INDEX(Products!$B:$B,MATCH(B148,Products!$A:$A,0)),"SKU not found"))</f>
        <v/>
      </c>
    </row>
    <row r="149">
      <c r="A149" s="7" t="n"/>
      <c r="B149" s="4" t="n"/>
      <c r="C149" s="4" t="n"/>
      <c r="D149" s="4" t="n"/>
      <c r="E149" s="4" t="n"/>
      <c r="F149" s="4" t="n"/>
      <c r="G149">
        <f>IF(B149="","",IFERROR(INDEX(Products!$B:$B,MATCH(B149,Products!$A:$A,0)),"SKU not found"))</f>
        <v/>
      </c>
    </row>
    <row r="150">
      <c r="A150" s="7" t="n"/>
      <c r="B150" s="4" t="n"/>
      <c r="C150" s="4" t="n"/>
      <c r="D150" s="4" t="n"/>
      <c r="E150" s="4" t="n"/>
      <c r="F150" s="4" t="n"/>
      <c r="G150">
        <f>IF(B150="","",IFERROR(INDEX(Products!$B:$B,MATCH(B150,Products!$A:$A,0)),"SKU not found"))</f>
        <v/>
      </c>
    </row>
    <row r="151">
      <c r="A151" s="7" t="n"/>
      <c r="B151" s="4" t="n"/>
      <c r="C151" s="4" t="n"/>
      <c r="D151" s="4" t="n"/>
      <c r="E151" s="4" t="n"/>
      <c r="F151" s="4" t="n"/>
      <c r="G151">
        <f>IF(B151="","",IFERROR(INDEX(Products!$B:$B,MATCH(B151,Products!$A:$A,0)),"SKU not found"))</f>
        <v/>
      </c>
    </row>
    <row r="152">
      <c r="A152" s="7" t="n"/>
      <c r="B152" s="4" t="n"/>
      <c r="C152" s="4" t="n"/>
      <c r="D152" s="4" t="n"/>
      <c r="E152" s="4" t="n"/>
      <c r="F152" s="4" t="n"/>
      <c r="G152">
        <f>IF(B152="","",IFERROR(INDEX(Products!$B:$B,MATCH(B152,Products!$A:$A,0)),"SKU not found"))</f>
        <v/>
      </c>
    </row>
    <row r="153">
      <c r="A153" s="7" t="n"/>
      <c r="B153" s="4" t="n"/>
      <c r="C153" s="4" t="n"/>
      <c r="D153" s="4" t="n"/>
      <c r="E153" s="4" t="n"/>
      <c r="F153" s="4" t="n"/>
      <c r="G153">
        <f>IF(B153="","",IFERROR(INDEX(Products!$B:$B,MATCH(B153,Products!$A:$A,0)),"SKU not found"))</f>
        <v/>
      </c>
    </row>
    <row r="154">
      <c r="A154" s="7" t="n"/>
      <c r="B154" s="4" t="n"/>
      <c r="C154" s="4" t="n"/>
      <c r="D154" s="4" t="n"/>
      <c r="E154" s="4" t="n"/>
      <c r="F154" s="4" t="n"/>
      <c r="G154">
        <f>IF(B154="","",IFERROR(INDEX(Products!$B:$B,MATCH(B154,Products!$A:$A,0)),"SKU not found"))</f>
        <v/>
      </c>
    </row>
    <row r="155">
      <c r="A155" s="7" t="n"/>
      <c r="B155" s="4" t="n"/>
      <c r="C155" s="4" t="n"/>
      <c r="D155" s="4" t="n"/>
      <c r="E155" s="4" t="n"/>
      <c r="F155" s="4" t="n"/>
      <c r="G155">
        <f>IF(B155="","",IFERROR(INDEX(Products!$B:$B,MATCH(B155,Products!$A:$A,0)),"SKU not found"))</f>
        <v/>
      </c>
    </row>
    <row r="156">
      <c r="A156" s="7" t="n"/>
      <c r="B156" s="4" t="n"/>
      <c r="C156" s="4" t="n"/>
      <c r="D156" s="4" t="n"/>
      <c r="E156" s="4" t="n"/>
      <c r="F156" s="4" t="n"/>
      <c r="G156">
        <f>IF(B156="","",IFERROR(INDEX(Products!$B:$B,MATCH(B156,Products!$A:$A,0)),"SKU not found"))</f>
        <v/>
      </c>
    </row>
    <row r="157">
      <c r="A157" s="7" t="n"/>
      <c r="B157" s="4" t="n"/>
      <c r="C157" s="4" t="n"/>
      <c r="D157" s="4" t="n"/>
      <c r="E157" s="4" t="n"/>
      <c r="F157" s="4" t="n"/>
      <c r="G157">
        <f>IF(B157="","",IFERROR(INDEX(Products!$B:$B,MATCH(B157,Products!$A:$A,0)),"SKU not found"))</f>
        <v/>
      </c>
    </row>
    <row r="158">
      <c r="A158" s="7" t="n"/>
      <c r="B158" s="4" t="n"/>
      <c r="C158" s="4" t="n"/>
      <c r="D158" s="4" t="n"/>
      <c r="E158" s="4" t="n"/>
      <c r="F158" s="4" t="n"/>
      <c r="G158">
        <f>IF(B158="","",IFERROR(INDEX(Products!$B:$B,MATCH(B158,Products!$A:$A,0)),"SKU not found"))</f>
        <v/>
      </c>
    </row>
    <row r="159">
      <c r="A159" s="7" t="n"/>
      <c r="B159" s="4" t="n"/>
      <c r="C159" s="4" t="n"/>
      <c r="D159" s="4" t="n"/>
      <c r="E159" s="4" t="n"/>
      <c r="F159" s="4" t="n"/>
      <c r="G159">
        <f>IF(B159="","",IFERROR(INDEX(Products!$B:$B,MATCH(B159,Products!$A:$A,0)),"SKU not found"))</f>
        <v/>
      </c>
    </row>
    <row r="160">
      <c r="A160" s="7" t="n"/>
      <c r="B160" s="4" t="n"/>
      <c r="C160" s="4" t="n"/>
      <c r="D160" s="4" t="n"/>
      <c r="E160" s="4" t="n"/>
      <c r="F160" s="4" t="n"/>
      <c r="G160">
        <f>IF(B160="","",IFERROR(INDEX(Products!$B:$B,MATCH(B160,Products!$A:$A,0)),"SKU not found"))</f>
        <v/>
      </c>
    </row>
    <row r="161">
      <c r="A161" s="7" t="n"/>
      <c r="B161" s="4" t="n"/>
      <c r="C161" s="4" t="n"/>
      <c r="D161" s="4" t="n"/>
      <c r="E161" s="4" t="n"/>
      <c r="F161" s="4" t="n"/>
      <c r="G161">
        <f>IF(B161="","",IFERROR(INDEX(Products!$B:$B,MATCH(B161,Products!$A:$A,0)),"SKU not found"))</f>
        <v/>
      </c>
    </row>
    <row r="162">
      <c r="A162" s="7" t="n"/>
      <c r="B162" s="4" t="n"/>
      <c r="C162" s="4" t="n"/>
      <c r="D162" s="4" t="n"/>
      <c r="E162" s="4" t="n"/>
      <c r="F162" s="4" t="n"/>
      <c r="G162">
        <f>IF(B162="","",IFERROR(INDEX(Products!$B:$B,MATCH(B162,Products!$A:$A,0)),"SKU not found"))</f>
        <v/>
      </c>
    </row>
    <row r="163">
      <c r="A163" s="7" t="n"/>
      <c r="B163" s="4" t="n"/>
      <c r="C163" s="4" t="n"/>
      <c r="D163" s="4" t="n"/>
      <c r="E163" s="4" t="n"/>
      <c r="F163" s="4" t="n"/>
      <c r="G163">
        <f>IF(B163="","",IFERROR(INDEX(Products!$B:$B,MATCH(B163,Products!$A:$A,0)),"SKU not found"))</f>
        <v/>
      </c>
    </row>
    <row r="164">
      <c r="A164" s="7" t="n"/>
      <c r="B164" s="4" t="n"/>
      <c r="C164" s="4" t="n"/>
      <c r="D164" s="4" t="n"/>
      <c r="E164" s="4" t="n"/>
      <c r="F164" s="4" t="n"/>
      <c r="G164">
        <f>IF(B164="","",IFERROR(INDEX(Products!$B:$B,MATCH(B164,Products!$A:$A,0)),"SKU not found"))</f>
        <v/>
      </c>
    </row>
    <row r="165">
      <c r="A165" s="7" t="n"/>
      <c r="B165" s="4" t="n"/>
      <c r="C165" s="4" t="n"/>
      <c r="D165" s="4" t="n"/>
      <c r="E165" s="4" t="n"/>
      <c r="F165" s="4" t="n"/>
      <c r="G165">
        <f>IF(B165="","",IFERROR(INDEX(Products!$B:$B,MATCH(B165,Products!$A:$A,0)),"SKU not found"))</f>
        <v/>
      </c>
    </row>
    <row r="166">
      <c r="A166" s="7" t="n"/>
      <c r="B166" s="4" t="n"/>
      <c r="C166" s="4" t="n"/>
      <c r="D166" s="4" t="n"/>
      <c r="E166" s="4" t="n"/>
      <c r="F166" s="4" t="n"/>
      <c r="G166">
        <f>IF(B166="","",IFERROR(INDEX(Products!$B:$B,MATCH(B166,Products!$A:$A,0)),"SKU not found"))</f>
        <v/>
      </c>
    </row>
    <row r="167">
      <c r="A167" s="7" t="n"/>
      <c r="B167" s="4" t="n"/>
      <c r="C167" s="4" t="n"/>
      <c r="D167" s="4" t="n"/>
      <c r="E167" s="4" t="n"/>
      <c r="F167" s="4" t="n"/>
      <c r="G167">
        <f>IF(B167="","",IFERROR(INDEX(Products!$B:$B,MATCH(B167,Products!$A:$A,0)),"SKU not found"))</f>
        <v/>
      </c>
    </row>
    <row r="168">
      <c r="A168" s="7" t="n"/>
      <c r="B168" s="4" t="n"/>
      <c r="C168" s="4" t="n"/>
      <c r="D168" s="4" t="n"/>
      <c r="E168" s="4" t="n"/>
      <c r="F168" s="4" t="n"/>
      <c r="G168">
        <f>IF(B168="","",IFERROR(INDEX(Products!$B:$B,MATCH(B168,Products!$A:$A,0)),"SKU not found"))</f>
        <v/>
      </c>
    </row>
    <row r="169">
      <c r="A169" s="7" t="n"/>
      <c r="B169" s="4" t="n"/>
      <c r="C169" s="4" t="n"/>
      <c r="D169" s="4" t="n"/>
      <c r="E169" s="4" t="n"/>
      <c r="F169" s="4" t="n"/>
      <c r="G169">
        <f>IF(B169="","",IFERROR(INDEX(Products!$B:$B,MATCH(B169,Products!$A:$A,0)),"SKU not found"))</f>
        <v/>
      </c>
    </row>
    <row r="170">
      <c r="A170" s="7" t="n"/>
      <c r="B170" s="4" t="n"/>
      <c r="C170" s="4" t="n"/>
      <c r="D170" s="4" t="n"/>
      <c r="E170" s="4" t="n"/>
      <c r="F170" s="4" t="n"/>
      <c r="G170">
        <f>IF(B170="","",IFERROR(INDEX(Products!$B:$B,MATCH(B170,Products!$A:$A,0)),"SKU not found"))</f>
        <v/>
      </c>
    </row>
    <row r="171">
      <c r="A171" s="7" t="n"/>
      <c r="B171" s="4" t="n"/>
      <c r="C171" s="4" t="n"/>
      <c r="D171" s="4" t="n"/>
      <c r="E171" s="4" t="n"/>
      <c r="F171" s="4" t="n"/>
      <c r="G171">
        <f>IF(B171="","",IFERROR(INDEX(Products!$B:$B,MATCH(B171,Products!$A:$A,0)),"SKU not found"))</f>
        <v/>
      </c>
    </row>
    <row r="172">
      <c r="A172" s="7" t="n"/>
      <c r="B172" s="4" t="n"/>
      <c r="C172" s="4" t="n"/>
      <c r="D172" s="4" t="n"/>
      <c r="E172" s="4" t="n"/>
      <c r="F172" s="4" t="n"/>
      <c r="G172">
        <f>IF(B172="","",IFERROR(INDEX(Products!$B:$B,MATCH(B172,Products!$A:$A,0)),"SKU not found"))</f>
        <v/>
      </c>
    </row>
    <row r="173">
      <c r="A173" s="7" t="n"/>
      <c r="B173" s="4" t="n"/>
      <c r="C173" s="4" t="n"/>
      <c r="D173" s="4" t="n"/>
      <c r="E173" s="4" t="n"/>
      <c r="F173" s="4" t="n"/>
      <c r="G173">
        <f>IF(B173="","",IFERROR(INDEX(Products!$B:$B,MATCH(B173,Products!$A:$A,0)),"SKU not found"))</f>
        <v/>
      </c>
    </row>
    <row r="174">
      <c r="A174" s="7" t="n"/>
      <c r="B174" s="4" t="n"/>
      <c r="C174" s="4" t="n"/>
      <c r="D174" s="4" t="n"/>
      <c r="E174" s="4" t="n"/>
      <c r="F174" s="4" t="n"/>
      <c r="G174">
        <f>IF(B174="","",IFERROR(INDEX(Products!$B:$B,MATCH(B174,Products!$A:$A,0)),"SKU not found"))</f>
        <v/>
      </c>
    </row>
    <row r="175">
      <c r="A175" s="7" t="n"/>
      <c r="B175" s="4" t="n"/>
      <c r="C175" s="4" t="n"/>
      <c r="D175" s="4" t="n"/>
      <c r="E175" s="4" t="n"/>
      <c r="F175" s="4" t="n"/>
      <c r="G175">
        <f>IF(B175="","",IFERROR(INDEX(Products!$B:$B,MATCH(B175,Products!$A:$A,0)),"SKU not found"))</f>
        <v/>
      </c>
    </row>
    <row r="176">
      <c r="A176" s="7" t="n"/>
      <c r="B176" s="4" t="n"/>
      <c r="C176" s="4" t="n"/>
      <c r="D176" s="4" t="n"/>
      <c r="E176" s="4" t="n"/>
      <c r="F176" s="4" t="n"/>
      <c r="G176">
        <f>IF(B176="","",IFERROR(INDEX(Products!$B:$B,MATCH(B176,Products!$A:$A,0)),"SKU not found"))</f>
        <v/>
      </c>
    </row>
    <row r="177">
      <c r="A177" s="7" t="n"/>
      <c r="B177" s="4" t="n"/>
      <c r="C177" s="4" t="n"/>
      <c r="D177" s="4" t="n"/>
      <c r="E177" s="4" t="n"/>
      <c r="F177" s="4" t="n"/>
      <c r="G177">
        <f>IF(B177="","",IFERROR(INDEX(Products!$B:$B,MATCH(B177,Products!$A:$A,0)),"SKU not found"))</f>
        <v/>
      </c>
    </row>
    <row r="178">
      <c r="A178" s="7" t="n"/>
      <c r="B178" s="4" t="n"/>
      <c r="C178" s="4" t="n"/>
      <c r="D178" s="4" t="n"/>
      <c r="E178" s="4" t="n"/>
      <c r="F178" s="4" t="n"/>
      <c r="G178">
        <f>IF(B178="","",IFERROR(INDEX(Products!$B:$B,MATCH(B178,Products!$A:$A,0)),"SKU not found"))</f>
        <v/>
      </c>
    </row>
    <row r="179">
      <c r="A179" s="7" t="n"/>
      <c r="B179" s="4" t="n"/>
      <c r="C179" s="4" t="n"/>
      <c r="D179" s="4" t="n"/>
      <c r="E179" s="4" t="n"/>
      <c r="F179" s="4" t="n"/>
      <c r="G179">
        <f>IF(B179="","",IFERROR(INDEX(Products!$B:$B,MATCH(B179,Products!$A:$A,0)),"SKU not found"))</f>
        <v/>
      </c>
    </row>
    <row r="180">
      <c r="A180" s="7" t="n"/>
      <c r="B180" s="4" t="n"/>
      <c r="C180" s="4" t="n"/>
      <c r="D180" s="4" t="n"/>
      <c r="E180" s="4" t="n"/>
      <c r="F180" s="4" t="n"/>
      <c r="G180">
        <f>IF(B180="","",IFERROR(INDEX(Products!$B:$B,MATCH(B180,Products!$A:$A,0)),"SKU not found"))</f>
        <v/>
      </c>
    </row>
    <row r="181">
      <c r="A181" s="7" t="n"/>
      <c r="B181" s="4" t="n"/>
      <c r="C181" s="4" t="n"/>
      <c r="D181" s="4" t="n"/>
      <c r="E181" s="4" t="n"/>
      <c r="F181" s="4" t="n"/>
      <c r="G181">
        <f>IF(B181="","",IFERROR(INDEX(Products!$B:$B,MATCH(B181,Products!$A:$A,0)),"SKU not found"))</f>
        <v/>
      </c>
    </row>
    <row r="182">
      <c r="A182" s="7" t="n"/>
      <c r="B182" s="4" t="n"/>
      <c r="C182" s="4" t="n"/>
      <c r="D182" s="4" t="n"/>
      <c r="E182" s="4" t="n"/>
      <c r="F182" s="4" t="n"/>
      <c r="G182">
        <f>IF(B182="","",IFERROR(INDEX(Products!$B:$B,MATCH(B182,Products!$A:$A,0)),"SKU not found"))</f>
        <v/>
      </c>
    </row>
    <row r="183">
      <c r="A183" s="7" t="n"/>
      <c r="B183" s="4" t="n"/>
      <c r="C183" s="4" t="n"/>
      <c r="D183" s="4" t="n"/>
      <c r="E183" s="4" t="n"/>
      <c r="F183" s="4" t="n"/>
      <c r="G183">
        <f>IF(B183="","",IFERROR(INDEX(Products!$B:$B,MATCH(B183,Products!$A:$A,0)),"SKU not found"))</f>
        <v/>
      </c>
    </row>
    <row r="184">
      <c r="A184" s="7" t="n"/>
      <c r="B184" s="4" t="n"/>
      <c r="C184" s="4" t="n"/>
      <c r="D184" s="4" t="n"/>
      <c r="E184" s="4" t="n"/>
      <c r="F184" s="4" t="n"/>
      <c r="G184">
        <f>IF(B184="","",IFERROR(INDEX(Products!$B:$B,MATCH(B184,Products!$A:$A,0)),"SKU not found"))</f>
        <v/>
      </c>
    </row>
    <row r="185">
      <c r="A185" s="7" t="n"/>
      <c r="B185" s="4" t="n"/>
      <c r="C185" s="4" t="n"/>
      <c r="D185" s="4" t="n"/>
      <c r="E185" s="4" t="n"/>
      <c r="F185" s="4" t="n"/>
      <c r="G185">
        <f>IF(B185="","",IFERROR(INDEX(Products!$B:$B,MATCH(B185,Products!$A:$A,0)),"SKU not found"))</f>
        <v/>
      </c>
    </row>
    <row r="186">
      <c r="A186" s="7" t="n"/>
      <c r="B186" s="4" t="n"/>
      <c r="C186" s="4" t="n"/>
      <c r="D186" s="4" t="n"/>
      <c r="E186" s="4" t="n"/>
      <c r="F186" s="4" t="n"/>
      <c r="G186">
        <f>IF(B186="","",IFERROR(INDEX(Products!$B:$B,MATCH(B186,Products!$A:$A,0)),"SKU not found"))</f>
        <v/>
      </c>
    </row>
    <row r="187">
      <c r="A187" s="7" t="n"/>
      <c r="B187" s="4" t="n"/>
      <c r="C187" s="4" t="n"/>
      <c r="D187" s="4" t="n"/>
      <c r="E187" s="4" t="n"/>
      <c r="F187" s="4" t="n"/>
      <c r="G187">
        <f>IF(B187="","",IFERROR(INDEX(Products!$B:$B,MATCH(B187,Products!$A:$A,0)),"SKU not found"))</f>
        <v/>
      </c>
    </row>
    <row r="188">
      <c r="A188" s="7" t="n"/>
      <c r="B188" s="4" t="n"/>
      <c r="C188" s="4" t="n"/>
      <c r="D188" s="4" t="n"/>
      <c r="E188" s="4" t="n"/>
      <c r="F188" s="4" t="n"/>
      <c r="G188">
        <f>IF(B188="","",IFERROR(INDEX(Products!$B:$B,MATCH(B188,Products!$A:$A,0)),"SKU not found"))</f>
        <v/>
      </c>
    </row>
    <row r="189">
      <c r="A189" s="7" t="n"/>
      <c r="B189" s="4" t="n"/>
      <c r="C189" s="4" t="n"/>
      <c r="D189" s="4" t="n"/>
      <c r="E189" s="4" t="n"/>
      <c r="F189" s="4" t="n"/>
      <c r="G189">
        <f>IF(B189="","",IFERROR(INDEX(Products!$B:$B,MATCH(B189,Products!$A:$A,0)),"SKU not found"))</f>
        <v/>
      </c>
    </row>
    <row r="190">
      <c r="A190" s="7" t="n"/>
      <c r="B190" s="4" t="n"/>
      <c r="C190" s="4" t="n"/>
      <c r="D190" s="4" t="n"/>
      <c r="E190" s="4" t="n"/>
      <c r="F190" s="4" t="n"/>
      <c r="G190">
        <f>IF(B190="","",IFERROR(INDEX(Products!$B:$B,MATCH(B190,Products!$A:$A,0)),"SKU not found"))</f>
        <v/>
      </c>
    </row>
    <row r="191">
      <c r="A191" s="7" t="n"/>
      <c r="B191" s="4" t="n"/>
      <c r="C191" s="4" t="n"/>
      <c r="D191" s="4" t="n"/>
      <c r="E191" s="4" t="n"/>
      <c r="F191" s="4" t="n"/>
      <c r="G191">
        <f>IF(B191="","",IFERROR(INDEX(Products!$B:$B,MATCH(B191,Products!$A:$A,0)),"SKU not found"))</f>
        <v/>
      </c>
    </row>
    <row r="192">
      <c r="A192" s="7" t="n"/>
      <c r="B192" s="4" t="n"/>
      <c r="C192" s="4" t="n"/>
      <c r="D192" s="4" t="n"/>
      <c r="E192" s="4" t="n"/>
      <c r="F192" s="4" t="n"/>
      <c r="G192">
        <f>IF(B192="","",IFERROR(INDEX(Products!$B:$B,MATCH(B192,Products!$A:$A,0)),"SKU not found"))</f>
        <v/>
      </c>
    </row>
    <row r="193">
      <c r="A193" s="7" t="n"/>
      <c r="B193" s="4" t="n"/>
      <c r="C193" s="4" t="n"/>
      <c r="D193" s="4" t="n"/>
      <c r="E193" s="4" t="n"/>
      <c r="F193" s="4" t="n"/>
      <c r="G193">
        <f>IF(B193="","",IFERROR(INDEX(Products!$B:$B,MATCH(B193,Products!$A:$A,0)),"SKU not found"))</f>
        <v/>
      </c>
    </row>
    <row r="194">
      <c r="A194" s="7" t="n"/>
      <c r="B194" s="4" t="n"/>
      <c r="C194" s="4" t="n"/>
      <c r="D194" s="4" t="n"/>
      <c r="E194" s="4" t="n"/>
      <c r="F194" s="4" t="n"/>
      <c r="G194">
        <f>IF(B194="","",IFERROR(INDEX(Products!$B:$B,MATCH(B194,Products!$A:$A,0)),"SKU not found"))</f>
        <v/>
      </c>
    </row>
    <row r="195">
      <c r="A195" s="7" t="n"/>
      <c r="B195" s="4" t="n"/>
      <c r="C195" s="4" t="n"/>
      <c r="D195" s="4" t="n"/>
      <c r="E195" s="4" t="n"/>
      <c r="F195" s="4" t="n"/>
      <c r="G195">
        <f>IF(B195="","",IFERROR(INDEX(Products!$B:$B,MATCH(B195,Products!$A:$A,0)),"SKU not found"))</f>
        <v/>
      </c>
    </row>
    <row r="196">
      <c r="A196" s="7" t="n"/>
      <c r="B196" s="4" t="n"/>
      <c r="C196" s="4" t="n"/>
      <c r="D196" s="4" t="n"/>
      <c r="E196" s="4" t="n"/>
      <c r="F196" s="4" t="n"/>
      <c r="G196">
        <f>IF(B196="","",IFERROR(INDEX(Products!$B:$B,MATCH(B196,Products!$A:$A,0)),"SKU not found"))</f>
        <v/>
      </c>
    </row>
    <row r="197">
      <c r="A197" s="7" t="n"/>
      <c r="B197" s="4" t="n"/>
      <c r="C197" s="4" t="n"/>
      <c r="D197" s="4" t="n"/>
      <c r="E197" s="4" t="n"/>
      <c r="F197" s="4" t="n"/>
      <c r="G197">
        <f>IF(B197="","",IFERROR(INDEX(Products!$B:$B,MATCH(B197,Products!$A:$A,0)),"SKU not found"))</f>
        <v/>
      </c>
    </row>
    <row r="198">
      <c r="A198" s="7" t="n"/>
      <c r="B198" s="4" t="n"/>
      <c r="C198" s="4" t="n"/>
      <c r="D198" s="4" t="n"/>
      <c r="E198" s="4" t="n"/>
      <c r="F198" s="4" t="n"/>
      <c r="G198">
        <f>IF(B198="","",IFERROR(INDEX(Products!$B:$B,MATCH(B198,Products!$A:$A,0)),"SKU not found"))</f>
        <v/>
      </c>
    </row>
    <row r="199">
      <c r="A199" s="7" t="n"/>
      <c r="B199" s="4" t="n"/>
      <c r="C199" s="4" t="n"/>
      <c r="D199" s="4" t="n"/>
      <c r="E199" s="4" t="n"/>
      <c r="F199" s="4" t="n"/>
      <c r="G199">
        <f>IF(B199="","",IFERROR(INDEX(Products!$B:$B,MATCH(B199,Products!$A:$A,0)),"SKU not found"))</f>
        <v/>
      </c>
    </row>
    <row r="200">
      <c r="A200" s="7" t="n"/>
      <c r="B200" s="4" t="n"/>
      <c r="C200" s="4" t="n"/>
      <c r="D200" s="4" t="n"/>
      <c r="E200" s="4" t="n"/>
      <c r="F200" s="4" t="n"/>
      <c r="G200">
        <f>IF(B200="","",IFERROR(INDEX(Products!$B:$B,MATCH(B200,Products!$A:$A,0)),"SKU not found"))</f>
        <v/>
      </c>
    </row>
    <row r="201">
      <c r="A201" s="7" t="n"/>
      <c r="B201" s="4" t="n"/>
      <c r="C201" s="4" t="n"/>
      <c r="D201" s="4" t="n"/>
      <c r="E201" s="4" t="n"/>
      <c r="F201" s="4" t="n"/>
      <c r="G201">
        <f>IF(B201="","",IFERROR(INDEX(Products!$B:$B,MATCH(B201,Products!$A:$A,0)),"SKU not found"))</f>
        <v/>
      </c>
    </row>
    <row r="202">
      <c r="A202" s="7" t="n"/>
      <c r="B202" s="4" t="n"/>
      <c r="C202" s="4" t="n"/>
      <c r="D202" s="4" t="n"/>
      <c r="E202" s="4" t="n"/>
      <c r="F202" s="4" t="n"/>
      <c r="G202">
        <f>IF(B202="","",IFERROR(INDEX(Products!$B:$B,MATCH(B202,Products!$A:$A,0)),"SKU not found"))</f>
        <v/>
      </c>
    </row>
    <row r="203">
      <c r="A203" s="7" t="n"/>
      <c r="B203" s="4" t="n"/>
      <c r="C203" s="4" t="n"/>
      <c r="D203" s="4" t="n"/>
      <c r="E203" s="4" t="n"/>
      <c r="F203" s="4" t="n"/>
      <c r="G203">
        <f>IF(B203="","",IFERROR(INDEX(Products!$B:$B,MATCH(B203,Products!$A:$A,0)),"SKU not found"))</f>
        <v/>
      </c>
    </row>
    <row r="204">
      <c r="A204" s="7" t="n"/>
      <c r="B204" s="4" t="n"/>
      <c r="C204" s="4" t="n"/>
      <c r="D204" s="4" t="n"/>
      <c r="E204" s="4" t="n"/>
      <c r="F204" s="4" t="n"/>
      <c r="G204">
        <f>IF(B204="","",IFERROR(INDEX(Products!$B:$B,MATCH(B204,Products!$A:$A,0)),"SKU not found"))</f>
        <v/>
      </c>
    </row>
    <row r="205">
      <c r="A205" s="7" t="n"/>
      <c r="B205" s="4" t="n"/>
      <c r="C205" s="4" t="n"/>
      <c r="D205" s="4" t="n"/>
      <c r="E205" s="4" t="n"/>
      <c r="F205" s="4" t="n"/>
      <c r="G205">
        <f>IF(B205="","",IFERROR(INDEX(Products!$B:$B,MATCH(B205,Products!$A:$A,0)),"SKU not found"))</f>
        <v/>
      </c>
    </row>
    <row r="206">
      <c r="A206" s="7" t="n"/>
      <c r="B206" s="4" t="n"/>
      <c r="C206" s="4" t="n"/>
      <c r="D206" s="4" t="n"/>
      <c r="E206" s="4" t="n"/>
      <c r="F206" s="4" t="n"/>
      <c r="G206">
        <f>IF(B206="","",IFERROR(INDEX(Products!$B:$B,MATCH(B206,Products!$A:$A,0)),"SKU not found"))</f>
        <v/>
      </c>
    </row>
    <row r="207">
      <c r="A207" s="7" t="n"/>
      <c r="B207" s="4" t="n"/>
      <c r="C207" s="4" t="n"/>
      <c r="D207" s="4" t="n"/>
      <c r="E207" s="4" t="n"/>
      <c r="F207" s="4" t="n"/>
      <c r="G207">
        <f>IF(B207="","",IFERROR(INDEX(Products!$B:$B,MATCH(B207,Products!$A:$A,0)),"SKU not found"))</f>
        <v/>
      </c>
    </row>
    <row r="208">
      <c r="A208" s="7" t="n"/>
      <c r="B208" s="4" t="n"/>
      <c r="C208" s="4" t="n"/>
      <c r="D208" s="4" t="n"/>
      <c r="E208" s="4" t="n"/>
      <c r="F208" s="4" t="n"/>
      <c r="G208">
        <f>IF(B208="","",IFERROR(INDEX(Products!$B:$B,MATCH(B208,Products!$A:$A,0)),"SKU not found"))</f>
        <v/>
      </c>
    </row>
    <row r="209">
      <c r="A209" s="7" t="n"/>
      <c r="B209" s="4" t="n"/>
      <c r="C209" s="4" t="n"/>
      <c r="D209" s="4" t="n"/>
      <c r="E209" s="4" t="n"/>
      <c r="F209" s="4" t="n"/>
      <c r="G209">
        <f>IF(B209="","",IFERROR(INDEX(Products!$B:$B,MATCH(B209,Products!$A:$A,0)),"SKU not found"))</f>
        <v/>
      </c>
    </row>
    <row r="210">
      <c r="A210" s="7" t="n"/>
      <c r="B210" s="4" t="n"/>
      <c r="C210" s="4" t="n"/>
      <c r="D210" s="4" t="n"/>
      <c r="E210" s="4" t="n"/>
      <c r="F210" s="4" t="n"/>
      <c r="G210">
        <f>IF(B210="","",IFERROR(INDEX(Products!$B:$B,MATCH(B210,Products!$A:$A,0)),"SKU not found"))</f>
        <v/>
      </c>
    </row>
    <row r="211">
      <c r="A211" s="7" t="n"/>
      <c r="B211" s="4" t="n"/>
      <c r="C211" s="4" t="n"/>
      <c r="D211" s="4" t="n"/>
      <c r="E211" s="4" t="n"/>
      <c r="F211" s="4" t="n"/>
      <c r="G211">
        <f>IF(B211="","",IFERROR(INDEX(Products!$B:$B,MATCH(B211,Products!$A:$A,0)),"SKU not found"))</f>
        <v/>
      </c>
    </row>
    <row r="212">
      <c r="A212" s="7" t="n"/>
      <c r="B212" s="4" t="n"/>
      <c r="C212" s="4" t="n"/>
      <c r="D212" s="4" t="n"/>
      <c r="E212" s="4" t="n"/>
      <c r="F212" s="4" t="n"/>
      <c r="G212">
        <f>IF(B212="","",IFERROR(INDEX(Products!$B:$B,MATCH(B212,Products!$A:$A,0)),"SKU not found"))</f>
        <v/>
      </c>
    </row>
    <row r="213">
      <c r="A213" s="7" t="n"/>
      <c r="B213" s="4" t="n"/>
      <c r="C213" s="4" t="n"/>
      <c r="D213" s="4" t="n"/>
      <c r="E213" s="4" t="n"/>
      <c r="F213" s="4" t="n"/>
      <c r="G213">
        <f>IF(B213="","",IFERROR(INDEX(Products!$B:$B,MATCH(B213,Products!$A:$A,0)),"SKU not found"))</f>
        <v/>
      </c>
    </row>
    <row r="214">
      <c r="A214" s="7" t="n"/>
      <c r="B214" s="4" t="n"/>
      <c r="C214" s="4" t="n"/>
      <c r="D214" s="4" t="n"/>
      <c r="E214" s="4" t="n"/>
      <c r="F214" s="4" t="n"/>
      <c r="G214">
        <f>IF(B214="","",IFERROR(INDEX(Products!$B:$B,MATCH(B214,Products!$A:$A,0)),"SKU not found"))</f>
        <v/>
      </c>
    </row>
    <row r="215">
      <c r="A215" s="7" t="n"/>
      <c r="B215" s="4" t="n"/>
      <c r="C215" s="4" t="n"/>
      <c r="D215" s="4" t="n"/>
      <c r="E215" s="4" t="n"/>
      <c r="F215" s="4" t="n"/>
      <c r="G215">
        <f>IF(B215="","",IFERROR(INDEX(Products!$B:$B,MATCH(B215,Products!$A:$A,0)),"SKU not found"))</f>
        <v/>
      </c>
    </row>
    <row r="216">
      <c r="A216" s="7" t="n"/>
      <c r="B216" s="4" t="n"/>
      <c r="C216" s="4" t="n"/>
      <c r="D216" s="4" t="n"/>
      <c r="E216" s="4" t="n"/>
      <c r="F216" s="4" t="n"/>
      <c r="G216">
        <f>IF(B216="","",IFERROR(INDEX(Products!$B:$B,MATCH(B216,Products!$A:$A,0)),"SKU not found"))</f>
        <v/>
      </c>
    </row>
    <row r="217">
      <c r="A217" s="7" t="n"/>
      <c r="B217" s="4" t="n"/>
      <c r="C217" s="4" t="n"/>
      <c r="D217" s="4" t="n"/>
      <c r="E217" s="4" t="n"/>
      <c r="F217" s="4" t="n"/>
      <c r="G217">
        <f>IF(B217="","",IFERROR(INDEX(Products!$B:$B,MATCH(B217,Products!$A:$A,0)),"SKU not found"))</f>
        <v/>
      </c>
    </row>
    <row r="218">
      <c r="A218" s="7" t="n"/>
      <c r="B218" s="4" t="n"/>
      <c r="C218" s="4" t="n"/>
      <c r="D218" s="4" t="n"/>
      <c r="E218" s="4" t="n"/>
      <c r="F218" s="4" t="n"/>
      <c r="G218">
        <f>IF(B218="","",IFERROR(INDEX(Products!$B:$B,MATCH(B218,Products!$A:$A,0)),"SKU not found"))</f>
        <v/>
      </c>
    </row>
    <row r="219">
      <c r="A219" s="7" t="n"/>
      <c r="B219" s="4" t="n"/>
      <c r="C219" s="4" t="n"/>
      <c r="D219" s="4" t="n"/>
      <c r="E219" s="4" t="n"/>
      <c r="F219" s="4" t="n"/>
      <c r="G219">
        <f>IF(B219="","",IFERROR(INDEX(Products!$B:$B,MATCH(B219,Products!$A:$A,0)),"SKU not found"))</f>
        <v/>
      </c>
    </row>
    <row r="220">
      <c r="A220" s="7" t="n"/>
      <c r="B220" s="4" t="n"/>
      <c r="C220" s="4" t="n"/>
      <c r="D220" s="4" t="n"/>
      <c r="E220" s="4" t="n"/>
      <c r="F220" s="4" t="n"/>
      <c r="G220">
        <f>IF(B220="","",IFERROR(INDEX(Products!$B:$B,MATCH(B220,Products!$A:$A,0)),"SKU not found"))</f>
        <v/>
      </c>
    </row>
    <row r="221">
      <c r="A221" s="7" t="n"/>
      <c r="B221" s="4" t="n"/>
      <c r="C221" s="4" t="n"/>
      <c r="D221" s="4" t="n"/>
      <c r="E221" s="4" t="n"/>
      <c r="F221" s="4" t="n"/>
      <c r="G221">
        <f>IF(B221="","",IFERROR(INDEX(Products!$B:$B,MATCH(B221,Products!$A:$A,0)),"SKU not found"))</f>
        <v/>
      </c>
    </row>
    <row r="222">
      <c r="A222" s="7" t="n"/>
      <c r="B222" s="4" t="n"/>
      <c r="C222" s="4" t="n"/>
      <c r="D222" s="4" t="n"/>
      <c r="E222" s="4" t="n"/>
      <c r="F222" s="4" t="n"/>
      <c r="G222">
        <f>IF(B222="","",IFERROR(INDEX(Products!$B:$B,MATCH(B222,Products!$A:$A,0)),"SKU not found"))</f>
        <v/>
      </c>
    </row>
    <row r="223">
      <c r="A223" s="7" t="n"/>
      <c r="B223" s="4" t="n"/>
      <c r="C223" s="4" t="n"/>
      <c r="D223" s="4" t="n"/>
      <c r="E223" s="4" t="n"/>
      <c r="F223" s="4" t="n"/>
      <c r="G223">
        <f>IF(B223="","",IFERROR(INDEX(Products!$B:$B,MATCH(B223,Products!$A:$A,0)),"SKU not found"))</f>
        <v/>
      </c>
    </row>
    <row r="224">
      <c r="A224" s="7" t="n"/>
      <c r="B224" s="4" t="n"/>
      <c r="C224" s="4" t="n"/>
      <c r="D224" s="4" t="n"/>
      <c r="E224" s="4" t="n"/>
      <c r="F224" s="4" t="n"/>
      <c r="G224">
        <f>IF(B224="","",IFERROR(INDEX(Products!$B:$B,MATCH(B224,Products!$A:$A,0)),"SKU not found"))</f>
        <v/>
      </c>
    </row>
    <row r="225">
      <c r="A225" s="7" t="n"/>
      <c r="B225" s="4" t="n"/>
      <c r="C225" s="4" t="n"/>
      <c r="D225" s="4" t="n"/>
      <c r="E225" s="4" t="n"/>
      <c r="F225" s="4" t="n"/>
      <c r="G225">
        <f>IF(B225="","",IFERROR(INDEX(Products!$B:$B,MATCH(B225,Products!$A:$A,0)),"SKU not found"))</f>
        <v/>
      </c>
    </row>
    <row r="226">
      <c r="A226" s="7" t="n"/>
      <c r="B226" s="4" t="n"/>
      <c r="C226" s="4" t="n"/>
      <c r="D226" s="4" t="n"/>
      <c r="E226" s="4" t="n"/>
      <c r="F226" s="4" t="n"/>
      <c r="G226">
        <f>IF(B226="","",IFERROR(INDEX(Products!$B:$B,MATCH(B226,Products!$A:$A,0)),"SKU not found"))</f>
        <v/>
      </c>
    </row>
    <row r="227">
      <c r="A227" s="7" t="n"/>
      <c r="B227" s="4" t="n"/>
      <c r="C227" s="4" t="n"/>
      <c r="D227" s="4" t="n"/>
      <c r="E227" s="4" t="n"/>
      <c r="F227" s="4" t="n"/>
      <c r="G227">
        <f>IF(B227="","",IFERROR(INDEX(Products!$B:$B,MATCH(B227,Products!$A:$A,0)),"SKU not found"))</f>
        <v/>
      </c>
    </row>
    <row r="228">
      <c r="A228" s="7" t="n"/>
      <c r="B228" s="4" t="n"/>
      <c r="C228" s="4" t="n"/>
      <c r="D228" s="4" t="n"/>
      <c r="E228" s="4" t="n"/>
      <c r="F228" s="4" t="n"/>
      <c r="G228">
        <f>IF(B228="","",IFERROR(INDEX(Products!$B:$B,MATCH(B228,Products!$A:$A,0)),"SKU not found"))</f>
        <v/>
      </c>
    </row>
    <row r="229">
      <c r="A229" s="7" t="n"/>
      <c r="B229" s="4" t="n"/>
      <c r="C229" s="4" t="n"/>
      <c r="D229" s="4" t="n"/>
      <c r="E229" s="4" t="n"/>
      <c r="F229" s="4" t="n"/>
      <c r="G229">
        <f>IF(B229="","",IFERROR(INDEX(Products!$B:$B,MATCH(B229,Products!$A:$A,0)),"SKU not found"))</f>
        <v/>
      </c>
    </row>
    <row r="230">
      <c r="A230" s="7" t="n"/>
      <c r="B230" s="4" t="n"/>
      <c r="C230" s="4" t="n"/>
      <c r="D230" s="4" t="n"/>
      <c r="E230" s="4" t="n"/>
      <c r="F230" s="4" t="n"/>
      <c r="G230">
        <f>IF(B230="","",IFERROR(INDEX(Products!$B:$B,MATCH(B230,Products!$A:$A,0)),"SKU not found"))</f>
        <v/>
      </c>
    </row>
    <row r="231">
      <c r="A231" s="7" t="n"/>
      <c r="B231" s="4" t="n"/>
      <c r="C231" s="4" t="n"/>
      <c r="D231" s="4" t="n"/>
      <c r="E231" s="4" t="n"/>
      <c r="F231" s="4" t="n"/>
      <c r="G231">
        <f>IF(B231="","",IFERROR(INDEX(Products!$B:$B,MATCH(B231,Products!$A:$A,0)),"SKU not found"))</f>
        <v/>
      </c>
    </row>
    <row r="232">
      <c r="A232" s="7" t="n"/>
      <c r="B232" s="4" t="n"/>
      <c r="C232" s="4" t="n"/>
      <c r="D232" s="4" t="n"/>
      <c r="E232" s="4" t="n"/>
      <c r="F232" s="4" t="n"/>
      <c r="G232">
        <f>IF(B232="","",IFERROR(INDEX(Products!$B:$B,MATCH(B232,Products!$A:$A,0)),"SKU not found"))</f>
        <v/>
      </c>
    </row>
    <row r="233">
      <c r="A233" s="7" t="n"/>
      <c r="B233" s="4" t="n"/>
      <c r="C233" s="4" t="n"/>
      <c r="D233" s="4" t="n"/>
      <c r="E233" s="4" t="n"/>
      <c r="F233" s="4" t="n"/>
      <c r="G233">
        <f>IF(B233="","",IFERROR(INDEX(Products!$B:$B,MATCH(B233,Products!$A:$A,0)),"SKU not found"))</f>
        <v/>
      </c>
    </row>
    <row r="234">
      <c r="A234" s="7" t="n"/>
      <c r="B234" s="4" t="n"/>
      <c r="C234" s="4" t="n"/>
      <c r="D234" s="4" t="n"/>
      <c r="E234" s="4" t="n"/>
      <c r="F234" s="4" t="n"/>
      <c r="G234">
        <f>IF(B234="","",IFERROR(INDEX(Products!$B:$B,MATCH(B234,Products!$A:$A,0)),"SKU not found"))</f>
        <v/>
      </c>
    </row>
    <row r="235">
      <c r="A235" s="7" t="n"/>
      <c r="B235" s="4" t="n"/>
      <c r="C235" s="4" t="n"/>
      <c r="D235" s="4" t="n"/>
      <c r="E235" s="4" t="n"/>
      <c r="F235" s="4" t="n"/>
      <c r="G235">
        <f>IF(B235="","",IFERROR(INDEX(Products!$B:$B,MATCH(B235,Products!$A:$A,0)),"SKU not found"))</f>
        <v/>
      </c>
    </row>
    <row r="236">
      <c r="A236" s="7" t="n"/>
      <c r="B236" s="4" t="n"/>
      <c r="C236" s="4" t="n"/>
      <c r="D236" s="4" t="n"/>
      <c r="E236" s="4" t="n"/>
      <c r="F236" s="4" t="n"/>
      <c r="G236">
        <f>IF(B236="","",IFERROR(INDEX(Products!$B:$B,MATCH(B236,Products!$A:$A,0)),"SKU not found"))</f>
        <v/>
      </c>
    </row>
    <row r="237">
      <c r="A237" s="7" t="n"/>
      <c r="B237" s="4" t="n"/>
      <c r="C237" s="4" t="n"/>
      <c r="D237" s="4" t="n"/>
      <c r="E237" s="4" t="n"/>
      <c r="F237" s="4" t="n"/>
      <c r="G237">
        <f>IF(B237="","",IFERROR(INDEX(Products!$B:$B,MATCH(B237,Products!$A:$A,0)),"SKU not found"))</f>
        <v/>
      </c>
    </row>
    <row r="238">
      <c r="A238" s="7" t="n"/>
      <c r="B238" s="4" t="n"/>
      <c r="C238" s="4" t="n"/>
      <c r="D238" s="4" t="n"/>
      <c r="E238" s="4" t="n"/>
      <c r="F238" s="4" t="n"/>
      <c r="G238">
        <f>IF(B238="","",IFERROR(INDEX(Products!$B:$B,MATCH(B238,Products!$A:$A,0)),"SKU not found"))</f>
        <v/>
      </c>
    </row>
    <row r="239">
      <c r="A239" s="7" t="n"/>
      <c r="B239" s="4" t="n"/>
      <c r="C239" s="4" t="n"/>
      <c r="D239" s="4" t="n"/>
      <c r="E239" s="4" t="n"/>
      <c r="F239" s="4" t="n"/>
      <c r="G239">
        <f>IF(B239="","",IFERROR(INDEX(Products!$B:$B,MATCH(B239,Products!$A:$A,0)),"SKU not found"))</f>
        <v/>
      </c>
    </row>
    <row r="240">
      <c r="A240" s="7" t="n"/>
      <c r="B240" s="4" t="n"/>
      <c r="C240" s="4" t="n"/>
      <c r="D240" s="4" t="n"/>
      <c r="E240" s="4" t="n"/>
      <c r="F240" s="4" t="n"/>
      <c r="G240">
        <f>IF(B240="","",IFERROR(INDEX(Products!$B:$B,MATCH(B240,Products!$A:$A,0)),"SKU not found"))</f>
        <v/>
      </c>
    </row>
    <row r="241">
      <c r="A241" s="7" t="n"/>
      <c r="B241" s="4" t="n"/>
      <c r="C241" s="4" t="n"/>
      <c r="D241" s="4" t="n"/>
      <c r="E241" s="4" t="n"/>
      <c r="F241" s="4" t="n"/>
      <c r="G241">
        <f>IF(B241="","",IFERROR(INDEX(Products!$B:$B,MATCH(B241,Products!$A:$A,0)),"SKU not found"))</f>
        <v/>
      </c>
    </row>
    <row r="242">
      <c r="A242" s="7" t="n"/>
      <c r="B242" s="4" t="n"/>
      <c r="C242" s="4" t="n"/>
      <c r="D242" s="4" t="n"/>
      <c r="E242" s="4" t="n"/>
      <c r="F242" s="4" t="n"/>
      <c r="G242">
        <f>IF(B242="","",IFERROR(INDEX(Products!$B:$B,MATCH(B242,Products!$A:$A,0)),"SKU not found"))</f>
        <v/>
      </c>
    </row>
    <row r="243">
      <c r="A243" s="7" t="n"/>
      <c r="B243" s="4" t="n"/>
      <c r="C243" s="4" t="n"/>
      <c r="D243" s="4" t="n"/>
      <c r="E243" s="4" t="n"/>
      <c r="F243" s="4" t="n"/>
      <c r="G243">
        <f>IF(B243="","",IFERROR(INDEX(Products!$B:$B,MATCH(B243,Products!$A:$A,0)),"SKU not found"))</f>
        <v/>
      </c>
    </row>
    <row r="244">
      <c r="A244" s="7" t="n"/>
      <c r="B244" s="4" t="n"/>
      <c r="C244" s="4" t="n"/>
      <c r="D244" s="4" t="n"/>
      <c r="E244" s="4" t="n"/>
      <c r="F244" s="4" t="n"/>
      <c r="G244">
        <f>IF(B244="","",IFERROR(INDEX(Products!$B:$B,MATCH(B244,Products!$A:$A,0)),"SKU not found"))</f>
        <v/>
      </c>
    </row>
    <row r="245">
      <c r="A245" s="7" t="n"/>
      <c r="B245" s="4" t="n"/>
      <c r="C245" s="4" t="n"/>
      <c r="D245" s="4" t="n"/>
      <c r="E245" s="4" t="n"/>
      <c r="F245" s="4" t="n"/>
      <c r="G245">
        <f>IF(B245="","",IFERROR(INDEX(Products!$B:$B,MATCH(B245,Products!$A:$A,0)),"SKU not found"))</f>
        <v/>
      </c>
    </row>
    <row r="246">
      <c r="A246" s="7" t="n"/>
      <c r="B246" s="4" t="n"/>
      <c r="C246" s="4" t="n"/>
      <c r="D246" s="4" t="n"/>
      <c r="E246" s="4" t="n"/>
      <c r="F246" s="4" t="n"/>
      <c r="G246">
        <f>IF(B246="","",IFERROR(INDEX(Products!$B:$B,MATCH(B246,Products!$A:$A,0)),"SKU not found"))</f>
        <v/>
      </c>
    </row>
    <row r="247">
      <c r="A247" s="7" t="n"/>
      <c r="B247" s="4" t="n"/>
      <c r="C247" s="4" t="n"/>
      <c r="D247" s="4" t="n"/>
      <c r="E247" s="4" t="n"/>
      <c r="F247" s="4" t="n"/>
      <c r="G247">
        <f>IF(B247="","",IFERROR(INDEX(Products!$B:$B,MATCH(B247,Products!$A:$A,0)),"SKU not found"))</f>
        <v/>
      </c>
    </row>
    <row r="248">
      <c r="A248" s="7" t="n"/>
      <c r="B248" s="4" t="n"/>
      <c r="C248" s="4" t="n"/>
      <c r="D248" s="4" t="n"/>
      <c r="E248" s="4" t="n"/>
      <c r="F248" s="4" t="n"/>
      <c r="G248">
        <f>IF(B248="","",IFERROR(INDEX(Products!$B:$B,MATCH(B248,Products!$A:$A,0)),"SKU not found"))</f>
        <v/>
      </c>
    </row>
    <row r="249">
      <c r="A249" s="7" t="n"/>
      <c r="B249" s="4" t="n"/>
      <c r="C249" s="4" t="n"/>
      <c r="D249" s="4" t="n"/>
      <c r="E249" s="4" t="n"/>
      <c r="F249" s="4" t="n"/>
      <c r="G249">
        <f>IF(B249="","",IFERROR(INDEX(Products!$B:$B,MATCH(B249,Products!$A:$A,0)),"SKU not found"))</f>
        <v/>
      </c>
    </row>
    <row r="250">
      <c r="A250" s="7" t="n"/>
      <c r="B250" s="4" t="n"/>
      <c r="C250" s="4" t="n"/>
      <c r="D250" s="4" t="n"/>
      <c r="E250" s="4" t="n"/>
      <c r="F250" s="4" t="n"/>
      <c r="G250">
        <f>IF(B250="","",IFERROR(INDEX(Products!$B:$B,MATCH(B250,Products!$A:$A,0)),"SKU not found"))</f>
        <v/>
      </c>
    </row>
    <row r="251">
      <c r="A251" s="7" t="n"/>
      <c r="B251" s="4" t="n"/>
      <c r="C251" s="4" t="n"/>
      <c r="D251" s="4" t="n"/>
      <c r="E251" s="4" t="n"/>
      <c r="F251" s="4" t="n"/>
      <c r="G251">
        <f>IF(B251="","",IFERROR(INDEX(Products!$B:$B,MATCH(B251,Products!$A:$A,0)),"SKU not found"))</f>
        <v/>
      </c>
    </row>
    <row r="252">
      <c r="A252" s="7" t="n"/>
      <c r="B252" s="4" t="n"/>
      <c r="C252" s="4" t="n"/>
      <c r="D252" s="4" t="n"/>
      <c r="E252" s="4" t="n"/>
      <c r="F252" s="4" t="n"/>
      <c r="G252">
        <f>IF(B252="","",IFERROR(INDEX(Products!$B:$B,MATCH(B252,Products!$A:$A,0)),"SKU not found"))</f>
        <v/>
      </c>
    </row>
    <row r="253">
      <c r="A253" s="7" t="n"/>
      <c r="B253" s="4" t="n"/>
      <c r="C253" s="4" t="n"/>
      <c r="D253" s="4" t="n"/>
      <c r="E253" s="4" t="n"/>
      <c r="F253" s="4" t="n"/>
      <c r="G253">
        <f>IF(B253="","",IFERROR(INDEX(Products!$B:$B,MATCH(B253,Products!$A:$A,0)),"SKU not found"))</f>
        <v/>
      </c>
    </row>
    <row r="254">
      <c r="A254" s="7" t="n"/>
      <c r="B254" s="4" t="n"/>
      <c r="C254" s="4" t="n"/>
      <c r="D254" s="4" t="n"/>
      <c r="E254" s="4" t="n"/>
      <c r="F254" s="4" t="n"/>
      <c r="G254">
        <f>IF(B254="","",IFERROR(INDEX(Products!$B:$B,MATCH(B254,Products!$A:$A,0)),"SKU not found"))</f>
        <v/>
      </c>
    </row>
    <row r="255">
      <c r="A255" s="7" t="n"/>
      <c r="B255" s="4" t="n"/>
      <c r="C255" s="4" t="n"/>
      <c r="D255" s="4" t="n"/>
      <c r="E255" s="4" t="n"/>
      <c r="F255" s="4" t="n"/>
      <c r="G255">
        <f>IF(B255="","",IFERROR(INDEX(Products!$B:$B,MATCH(B255,Products!$A:$A,0)),"SKU not found"))</f>
        <v/>
      </c>
    </row>
    <row r="256">
      <c r="A256" s="7" t="n"/>
      <c r="B256" s="4" t="n"/>
      <c r="C256" s="4" t="n"/>
      <c r="D256" s="4" t="n"/>
      <c r="E256" s="4" t="n"/>
      <c r="F256" s="4" t="n"/>
      <c r="G256">
        <f>IF(B256="","",IFERROR(INDEX(Products!$B:$B,MATCH(B256,Products!$A:$A,0)),"SKU not found"))</f>
        <v/>
      </c>
    </row>
    <row r="257">
      <c r="A257" s="7" t="n"/>
      <c r="B257" s="4" t="n"/>
      <c r="C257" s="4" t="n"/>
      <c r="D257" s="4" t="n"/>
      <c r="E257" s="4" t="n"/>
      <c r="F257" s="4" t="n"/>
      <c r="G257">
        <f>IF(B257="","",IFERROR(INDEX(Products!$B:$B,MATCH(B257,Products!$A:$A,0)),"SKU not found"))</f>
        <v/>
      </c>
    </row>
    <row r="258">
      <c r="A258" s="7" t="n"/>
      <c r="B258" s="4" t="n"/>
      <c r="C258" s="4" t="n"/>
      <c r="D258" s="4" t="n"/>
      <c r="E258" s="4" t="n"/>
      <c r="F258" s="4" t="n"/>
      <c r="G258">
        <f>IF(B258="","",IFERROR(INDEX(Products!$B:$B,MATCH(B258,Products!$A:$A,0)),"SKU not found"))</f>
        <v/>
      </c>
    </row>
    <row r="259">
      <c r="A259" s="7" t="n"/>
      <c r="B259" s="4" t="n"/>
      <c r="C259" s="4" t="n"/>
      <c r="D259" s="4" t="n"/>
      <c r="E259" s="4" t="n"/>
      <c r="F259" s="4" t="n"/>
      <c r="G259">
        <f>IF(B259="","",IFERROR(INDEX(Products!$B:$B,MATCH(B259,Products!$A:$A,0)),"SKU not found"))</f>
        <v/>
      </c>
    </row>
    <row r="260">
      <c r="A260" s="7" t="n"/>
      <c r="B260" s="4" t="n"/>
      <c r="C260" s="4" t="n"/>
      <c r="D260" s="4" t="n"/>
      <c r="E260" s="4" t="n"/>
      <c r="F260" s="4" t="n"/>
      <c r="G260">
        <f>IF(B260="","",IFERROR(INDEX(Products!$B:$B,MATCH(B260,Products!$A:$A,0)),"SKU not found"))</f>
        <v/>
      </c>
    </row>
    <row r="261">
      <c r="A261" s="7" t="n"/>
      <c r="B261" s="4" t="n"/>
      <c r="C261" s="4" t="n"/>
      <c r="D261" s="4" t="n"/>
      <c r="E261" s="4" t="n"/>
      <c r="F261" s="4" t="n"/>
      <c r="G261">
        <f>IF(B261="","",IFERROR(INDEX(Products!$B:$B,MATCH(B261,Products!$A:$A,0)),"SKU not found"))</f>
        <v/>
      </c>
    </row>
    <row r="262">
      <c r="A262" s="7" t="n"/>
      <c r="B262" s="4" t="n"/>
      <c r="C262" s="4" t="n"/>
      <c r="D262" s="4" t="n"/>
      <c r="E262" s="4" t="n"/>
      <c r="F262" s="4" t="n"/>
      <c r="G262">
        <f>IF(B262="","",IFERROR(INDEX(Products!$B:$B,MATCH(B262,Products!$A:$A,0)),"SKU not found"))</f>
        <v/>
      </c>
    </row>
    <row r="263">
      <c r="A263" s="7" t="n"/>
      <c r="B263" s="4" t="n"/>
      <c r="C263" s="4" t="n"/>
      <c r="D263" s="4" t="n"/>
      <c r="E263" s="4" t="n"/>
      <c r="F263" s="4" t="n"/>
      <c r="G263">
        <f>IF(B263="","",IFERROR(INDEX(Products!$B:$B,MATCH(B263,Products!$A:$A,0)),"SKU not found"))</f>
        <v/>
      </c>
    </row>
    <row r="264">
      <c r="A264" s="7" t="n"/>
      <c r="B264" s="4" t="n"/>
      <c r="C264" s="4" t="n"/>
      <c r="D264" s="4" t="n"/>
      <c r="E264" s="4" t="n"/>
      <c r="F264" s="4" t="n"/>
      <c r="G264">
        <f>IF(B264="","",IFERROR(INDEX(Products!$B:$B,MATCH(B264,Products!$A:$A,0)),"SKU not found"))</f>
        <v/>
      </c>
    </row>
    <row r="265">
      <c r="A265" s="7" t="n"/>
      <c r="B265" s="4" t="n"/>
      <c r="C265" s="4" t="n"/>
      <c r="D265" s="4" t="n"/>
      <c r="E265" s="4" t="n"/>
      <c r="F265" s="4" t="n"/>
      <c r="G265">
        <f>IF(B265="","",IFERROR(INDEX(Products!$B:$B,MATCH(B265,Products!$A:$A,0)),"SKU not found"))</f>
        <v/>
      </c>
    </row>
    <row r="266">
      <c r="A266" s="7" t="n"/>
      <c r="B266" s="4" t="n"/>
      <c r="C266" s="4" t="n"/>
      <c r="D266" s="4" t="n"/>
      <c r="E266" s="4" t="n"/>
      <c r="F266" s="4" t="n"/>
      <c r="G266">
        <f>IF(B266="","",IFERROR(INDEX(Products!$B:$B,MATCH(B266,Products!$A:$A,0)),"SKU not found"))</f>
        <v/>
      </c>
    </row>
    <row r="267">
      <c r="A267" s="7" t="n"/>
      <c r="B267" s="4" t="n"/>
      <c r="C267" s="4" t="n"/>
      <c r="D267" s="4" t="n"/>
      <c r="E267" s="4" t="n"/>
      <c r="F267" s="4" t="n"/>
      <c r="G267">
        <f>IF(B267="","",IFERROR(INDEX(Products!$B:$B,MATCH(B267,Products!$A:$A,0)),"SKU not found"))</f>
        <v/>
      </c>
    </row>
    <row r="268">
      <c r="A268" s="7" t="n"/>
      <c r="B268" s="4" t="n"/>
      <c r="C268" s="4" t="n"/>
      <c r="D268" s="4" t="n"/>
      <c r="E268" s="4" t="n"/>
      <c r="F268" s="4" t="n"/>
      <c r="G268">
        <f>IF(B268="","",IFERROR(INDEX(Products!$B:$B,MATCH(B268,Products!$A:$A,0)),"SKU not found"))</f>
        <v/>
      </c>
    </row>
    <row r="269">
      <c r="A269" s="7" t="n"/>
      <c r="B269" s="4" t="n"/>
      <c r="C269" s="4" t="n"/>
      <c r="D269" s="4" t="n"/>
      <c r="E269" s="4" t="n"/>
      <c r="F269" s="4" t="n"/>
      <c r="G269">
        <f>IF(B269="","",IFERROR(INDEX(Products!$B:$B,MATCH(B269,Products!$A:$A,0)),"SKU not found"))</f>
        <v/>
      </c>
    </row>
    <row r="270">
      <c r="A270" s="7" t="n"/>
      <c r="B270" s="4" t="n"/>
      <c r="C270" s="4" t="n"/>
      <c r="D270" s="4" t="n"/>
      <c r="E270" s="4" t="n"/>
      <c r="F270" s="4" t="n"/>
      <c r="G270">
        <f>IF(B270="","",IFERROR(INDEX(Products!$B:$B,MATCH(B270,Products!$A:$A,0)),"SKU not found"))</f>
        <v/>
      </c>
    </row>
    <row r="271">
      <c r="A271" s="7" t="n"/>
      <c r="B271" s="4" t="n"/>
      <c r="C271" s="4" t="n"/>
      <c r="D271" s="4" t="n"/>
      <c r="E271" s="4" t="n"/>
      <c r="F271" s="4" t="n"/>
      <c r="G271">
        <f>IF(B271="","",IFERROR(INDEX(Products!$B:$B,MATCH(B271,Products!$A:$A,0)),"SKU not found"))</f>
        <v/>
      </c>
    </row>
    <row r="272">
      <c r="A272" s="7" t="n"/>
      <c r="B272" s="4" t="n"/>
      <c r="C272" s="4" t="n"/>
      <c r="D272" s="4" t="n"/>
      <c r="E272" s="4" t="n"/>
      <c r="F272" s="4" t="n"/>
      <c r="G272">
        <f>IF(B272="","",IFERROR(INDEX(Products!$B:$B,MATCH(B272,Products!$A:$A,0)),"SKU not found"))</f>
        <v/>
      </c>
    </row>
    <row r="273">
      <c r="A273" s="7" t="n"/>
      <c r="B273" s="4" t="n"/>
      <c r="C273" s="4" t="n"/>
      <c r="D273" s="4" t="n"/>
      <c r="E273" s="4" t="n"/>
      <c r="F273" s="4" t="n"/>
      <c r="G273">
        <f>IF(B273="","",IFERROR(INDEX(Products!$B:$B,MATCH(B273,Products!$A:$A,0)),"SKU not found"))</f>
        <v/>
      </c>
    </row>
    <row r="274">
      <c r="A274" s="7" t="n"/>
      <c r="B274" s="4" t="n"/>
      <c r="C274" s="4" t="n"/>
      <c r="D274" s="4" t="n"/>
      <c r="E274" s="4" t="n"/>
      <c r="F274" s="4" t="n"/>
      <c r="G274">
        <f>IF(B274="","",IFERROR(INDEX(Products!$B:$B,MATCH(B274,Products!$A:$A,0)),"SKU not found"))</f>
        <v/>
      </c>
    </row>
    <row r="275">
      <c r="A275" s="7" t="n"/>
      <c r="B275" s="4" t="n"/>
      <c r="C275" s="4" t="n"/>
      <c r="D275" s="4" t="n"/>
      <c r="E275" s="4" t="n"/>
      <c r="F275" s="4" t="n"/>
      <c r="G275">
        <f>IF(B275="","",IFERROR(INDEX(Products!$B:$B,MATCH(B275,Products!$A:$A,0)),"SKU not found"))</f>
        <v/>
      </c>
    </row>
    <row r="276">
      <c r="A276" s="7" t="n"/>
      <c r="B276" s="4" t="n"/>
      <c r="C276" s="4" t="n"/>
      <c r="D276" s="4" t="n"/>
      <c r="E276" s="4" t="n"/>
      <c r="F276" s="4" t="n"/>
      <c r="G276">
        <f>IF(B276="","",IFERROR(INDEX(Products!$B:$B,MATCH(B276,Products!$A:$A,0)),"SKU not found"))</f>
        <v/>
      </c>
    </row>
    <row r="277">
      <c r="A277" s="7" t="n"/>
      <c r="B277" s="4" t="n"/>
      <c r="C277" s="4" t="n"/>
      <c r="D277" s="4" t="n"/>
      <c r="E277" s="4" t="n"/>
      <c r="F277" s="4" t="n"/>
      <c r="G277">
        <f>IF(B277="","",IFERROR(INDEX(Products!$B:$B,MATCH(B277,Products!$A:$A,0)),"SKU not found"))</f>
        <v/>
      </c>
    </row>
    <row r="278">
      <c r="A278" s="7" t="n"/>
      <c r="B278" s="4" t="n"/>
      <c r="C278" s="4" t="n"/>
      <c r="D278" s="4" t="n"/>
      <c r="E278" s="4" t="n"/>
      <c r="F278" s="4" t="n"/>
      <c r="G278">
        <f>IF(B278="","",IFERROR(INDEX(Products!$B:$B,MATCH(B278,Products!$A:$A,0)),"SKU not found"))</f>
        <v/>
      </c>
    </row>
    <row r="279">
      <c r="A279" s="7" t="n"/>
      <c r="B279" s="4" t="n"/>
      <c r="C279" s="4" t="n"/>
      <c r="D279" s="4" t="n"/>
      <c r="E279" s="4" t="n"/>
      <c r="F279" s="4" t="n"/>
      <c r="G279">
        <f>IF(B279="","",IFERROR(INDEX(Products!$B:$B,MATCH(B279,Products!$A:$A,0)),"SKU not found"))</f>
        <v/>
      </c>
    </row>
    <row r="280">
      <c r="A280" s="7" t="n"/>
      <c r="B280" s="4" t="n"/>
      <c r="C280" s="4" t="n"/>
      <c r="D280" s="4" t="n"/>
      <c r="E280" s="4" t="n"/>
      <c r="F280" s="4" t="n"/>
      <c r="G280">
        <f>IF(B280="","",IFERROR(INDEX(Products!$B:$B,MATCH(B280,Products!$A:$A,0)),"SKU not found"))</f>
        <v/>
      </c>
    </row>
    <row r="281">
      <c r="A281" s="7" t="n"/>
      <c r="B281" s="4" t="n"/>
      <c r="C281" s="4" t="n"/>
      <c r="D281" s="4" t="n"/>
      <c r="E281" s="4" t="n"/>
      <c r="F281" s="4" t="n"/>
      <c r="G281">
        <f>IF(B281="","",IFERROR(INDEX(Products!$B:$B,MATCH(B281,Products!$A:$A,0)),"SKU not found"))</f>
        <v/>
      </c>
    </row>
    <row r="282">
      <c r="A282" s="7" t="n"/>
      <c r="B282" s="4" t="n"/>
      <c r="C282" s="4" t="n"/>
      <c r="D282" s="4" t="n"/>
      <c r="E282" s="4" t="n"/>
      <c r="F282" s="4" t="n"/>
      <c r="G282">
        <f>IF(B282="","",IFERROR(INDEX(Products!$B:$B,MATCH(B282,Products!$A:$A,0)),"SKU not found"))</f>
        <v/>
      </c>
    </row>
    <row r="283">
      <c r="A283" s="7" t="n"/>
      <c r="B283" s="4" t="n"/>
      <c r="C283" s="4" t="n"/>
      <c r="D283" s="4" t="n"/>
      <c r="E283" s="4" t="n"/>
      <c r="F283" s="4" t="n"/>
      <c r="G283">
        <f>IF(B283="","",IFERROR(INDEX(Products!$B:$B,MATCH(B283,Products!$A:$A,0)),"SKU not found"))</f>
        <v/>
      </c>
    </row>
    <row r="284">
      <c r="A284" s="7" t="n"/>
      <c r="B284" s="4" t="n"/>
      <c r="C284" s="4" t="n"/>
      <c r="D284" s="4" t="n"/>
      <c r="E284" s="4" t="n"/>
      <c r="F284" s="4" t="n"/>
      <c r="G284">
        <f>IF(B284="","",IFERROR(INDEX(Products!$B:$B,MATCH(B284,Products!$A:$A,0)),"SKU not found"))</f>
        <v/>
      </c>
    </row>
    <row r="285">
      <c r="A285" s="7" t="n"/>
      <c r="B285" s="4" t="n"/>
      <c r="C285" s="4" t="n"/>
      <c r="D285" s="4" t="n"/>
      <c r="E285" s="4" t="n"/>
      <c r="F285" s="4" t="n"/>
      <c r="G285">
        <f>IF(B285="","",IFERROR(INDEX(Products!$B:$B,MATCH(B285,Products!$A:$A,0)),"SKU not found"))</f>
        <v/>
      </c>
    </row>
    <row r="286">
      <c r="A286" s="7" t="n"/>
      <c r="B286" s="4" t="n"/>
      <c r="C286" s="4" t="n"/>
      <c r="D286" s="4" t="n"/>
      <c r="E286" s="4" t="n"/>
      <c r="F286" s="4" t="n"/>
      <c r="G286">
        <f>IF(B286="","",IFERROR(INDEX(Products!$B:$B,MATCH(B286,Products!$A:$A,0)),"SKU not found"))</f>
        <v/>
      </c>
    </row>
    <row r="287">
      <c r="A287" s="7" t="n"/>
      <c r="B287" s="4" t="n"/>
      <c r="C287" s="4" t="n"/>
      <c r="D287" s="4" t="n"/>
      <c r="E287" s="4" t="n"/>
      <c r="F287" s="4" t="n"/>
      <c r="G287">
        <f>IF(B287="","",IFERROR(INDEX(Products!$B:$B,MATCH(B287,Products!$A:$A,0)),"SKU not found"))</f>
        <v/>
      </c>
    </row>
    <row r="288">
      <c r="A288" s="7" t="n"/>
      <c r="B288" s="4" t="n"/>
      <c r="C288" s="4" t="n"/>
      <c r="D288" s="4" t="n"/>
      <c r="E288" s="4" t="n"/>
      <c r="F288" s="4" t="n"/>
      <c r="G288">
        <f>IF(B288="","",IFERROR(INDEX(Products!$B:$B,MATCH(B288,Products!$A:$A,0)),"SKU not found"))</f>
        <v/>
      </c>
    </row>
    <row r="289">
      <c r="A289" s="7" t="n"/>
      <c r="B289" s="4" t="n"/>
      <c r="C289" s="4" t="n"/>
      <c r="D289" s="4" t="n"/>
      <c r="E289" s="4" t="n"/>
      <c r="F289" s="4" t="n"/>
      <c r="G289">
        <f>IF(B289="","",IFERROR(INDEX(Products!$B:$B,MATCH(B289,Products!$A:$A,0)),"SKU not found"))</f>
        <v/>
      </c>
    </row>
    <row r="290">
      <c r="A290" s="7" t="n"/>
      <c r="B290" s="4" t="n"/>
      <c r="C290" s="4" t="n"/>
      <c r="D290" s="4" t="n"/>
      <c r="E290" s="4" t="n"/>
      <c r="F290" s="4" t="n"/>
      <c r="G290">
        <f>IF(B290="","",IFERROR(INDEX(Products!$B:$B,MATCH(B290,Products!$A:$A,0)),"SKU not found"))</f>
        <v/>
      </c>
    </row>
    <row r="291">
      <c r="A291" s="7" t="n"/>
      <c r="B291" s="4" t="n"/>
      <c r="C291" s="4" t="n"/>
      <c r="D291" s="4" t="n"/>
      <c r="E291" s="4" t="n"/>
      <c r="F291" s="4" t="n"/>
      <c r="G291">
        <f>IF(B291="","",IFERROR(INDEX(Products!$B:$B,MATCH(B291,Products!$A:$A,0)),"SKU not found"))</f>
        <v/>
      </c>
    </row>
    <row r="292">
      <c r="A292" s="7" t="n"/>
      <c r="B292" s="4" t="n"/>
      <c r="C292" s="4" t="n"/>
      <c r="D292" s="4" t="n"/>
      <c r="E292" s="4" t="n"/>
      <c r="F292" s="4" t="n"/>
      <c r="G292">
        <f>IF(B292="","",IFERROR(INDEX(Products!$B:$B,MATCH(B292,Products!$A:$A,0)),"SKU not found"))</f>
        <v/>
      </c>
    </row>
    <row r="293">
      <c r="A293" s="7" t="n"/>
      <c r="B293" s="4" t="n"/>
      <c r="C293" s="4" t="n"/>
      <c r="D293" s="4" t="n"/>
      <c r="E293" s="4" t="n"/>
      <c r="F293" s="4" t="n"/>
      <c r="G293">
        <f>IF(B293="","",IFERROR(INDEX(Products!$B:$B,MATCH(B293,Products!$A:$A,0)),"SKU not found"))</f>
        <v/>
      </c>
    </row>
    <row r="294">
      <c r="A294" s="7" t="n"/>
      <c r="B294" s="4" t="n"/>
      <c r="C294" s="4" t="n"/>
      <c r="D294" s="4" t="n"/>
      <c r="E294" s="4" t="n"/>
      <c r="F294" s="4" t="n"/>
      <c r="G294">
        <f>IF(B294="","",IFERROR(INDEX(Products!$B:$B,MATCH(B294,Products!$A:$A,0)),"SKU not found"))</f>
        <v/>
      </c>
    </row>
    <row r="295">
      <c r="A295" s="7" t="n"/>
      <c r="B295" s="4" t="n"/>
      <c r="C295" s="4" t="n"/>
      <c r="D295" s="4" t="n"/>
      <c r="E295" s="4" t="n"/>
      <c r="F295" s="4" t="n"/>
      <c r="G295">
        <f>IF(B295="","",IFERROR(INDEX(Products!$B:$B,MATCH(B295,Products!$A:$A,0)),"SKU not found"))</f>
        <v/>
      </c>
    </row>
    <row r="296">
      <c r="A296" s="7" t="n"/>
      <c r="B296" s="4" t="n"/>
      <c r="C296" s="4" t="n"/>
      <c r="D296" s="4" t="n"/>
      <c r="E296" s="4" t="n"/>
      <c r="F296" s="4" t="n"/>
      <c r="G296">
        <f>IF(B296="","",IFERROR(INDEX(Products!$B:$B,MATCH(B296,Products!$A:$A,0)),"SKU not found"))</f>
        <v/>
      </c>
    </row>
    <row r="297">
      <c r="A297" s="7" t="n"/>
      <c r="B297" s="4" t="n"/>
      <c r="C297" s="4" t="n"/>
      <c r="D297" s="4" t="n"/>
      <c r="E297" s="4" t="n"/>
      <c r="F297" s="4" t="n"/>
      <c r="G297">
        <f>IF(B297="","",IFERROR(INDEX(Products!$B:$B,MATCH(B297,Products!$A:$A,0)),"SKU not found"))</f>
        <v/>
      </c>
    </row>
    <row r="298">
      <c r="A298" s="7" t="n"/>
      <c r="B298" s="4" t="n"/>
      <c r="C298" s="4" t="n"/>
      <c r="D298" s="4" t="n"/>
      <c r="E298" s="4" t="n"/>
      <c r="F298" s="4" t="n"/>
      <c r="G298">
        <f>IF(B298="","",IFERROR(INDEX(Products!$B:$B,MATCH(B298,Products!$A:$A,0)),"SKU not found"))</f>
        <v/>
      </c>
    </row>
    <row r="299">
      <c r="A299" s="7" t="n"/>
      <c r="B299" s="4" t="n"/>
      <c r="C299" s="4" t="n"/>
      <c r="D299" s="4" t="n"/>
      <c r="E299" s="4" t="n"/>
      <c r="F299" s="4" t="n"/>
      <c r="G299">
        <f>IF(B299="","",IFERROR(INDEX(Products!$B:$B,MATCH(B299,Products!$A:$A,0)),"SKU not found"))</f>
        <v/>
      </c>
    </row>
    <row r="300">
      <c r="A300" s="7" t="n"/>
      <c r="B300" s="4" t="n"/>
      <c r="C300" s="4" t="n"/>
      <c r="D300" s="4" t="n"/>
      <c r="E300" s="4" t="n"/>
      <c r="F300" s="4" t="n"/>
      <c r="G300">
        <f>IF(B300="","",IFERROR(INDEX(Products!$B:$B,MATCH(B300,Products!$A:$A,0)),"SKU not found"))</f>
        <v/>
      </c>
    </row>
    <row r="301">
      <c r="A301" s="7" t="n"/>
      <c r="B301" s="4" t="n"/>
      <c r="C301" s="4" t="n"/>
      <c r="D301" s="4" t="n"/>
      <c r="E301" s="4" t="n"/>
      <c r="F301" s="4" t="n"/>
      <c r="G301">
        <f>IF(B301="","",IFERROR(INDEX(Products!$B:$B,MATCH(B301,Products!$A:$A,0)),"SKU not found"))</f>
        <v/>
      </c>
    </row>
    <row r="302">
      <c r="A302" s="7" t="n"/>
      <c r="B302" s="4" t="n"/>
      <c r="C302" s="4" t="n"/>
      <c r="D302" s="4" t="n"/>
      <c r="E302" s="4" t="n"/>
      <c r="F302" s="4" t="n"/>
      <c r="G302">
        <f>IF(B302="","",IFERROR(INDEX(Products!$B:$B,MATCH(B302,Products!$A:$A,0)),"SKU not found"))</f>
        <v/>
      </c>
    </row>
    <row r="303">
      <c r="A303" s="7" t="n"/>
      <c r="B303" s="4" t="n"/>
      <c r="C303" s="4" t="n"/>
      <c r="D303" s="4" t="n"/>
      <c r="E303" s="4" t="n"/>
      <c r="F303" s="4" t="n"/>
      <c r="G303">
        <f>IF(B303="","",IFERROR(INDEX(Products!$B:$B,MATCH(B303,Products!$A:$A,0)),"SKU not found"))</f>
        <v/>
      </c>
    </row>
    <row r="304">
      <c r="A304" s="7" t="n"/>
      <c r="B304" s="4" t="n"/>
      <c r="C304" s="4" t="n"/>
      <c r="D304" s="4" t="n"/>
      <c r="E304" s="4" t="n"/>
      <c r="F304" s="4" t="n"/>
      <c r="G304">
        <f>IF(B304="","",IFERROR(INDEX(Products!$B:$B,MATCH(B304,Products!$A:$A,0)),"SKU not found"))</f>
        <v/>
      </c>
    </row>
    <row r="305">
      <c r="A305" s="7" t="n"/>
      <c r="B305" s="4" t="n"/>
      <c r="C305" s="4" t="n"/>
      <c r="D305" s="4" t="n"/>
      <c r="E305" s="4" t="n"/>
      <c r="F305" s="4" t="n"/>
      <c r="G305">
        <f>IF(B305="","",IFERROR(INDEX(Products!$B:$B,MATCH(B305,Products!$A:$A,0)),"SKU not found"))</f>
        <v/>
      </c>
    </row>
    <row r="306">
      <c r="A306" s="7" t="n"/>
      <c r="B306" s="4" t="n"/>
      <c r="C306" s="4" t="n"/>
      <c r="D306" s="4" t="n"/>
      <c r="E306" s="4" t="n"/>
      <c r="F306" s="4" t="n"/>
      <c r="G306">
        <f>IF(B306="","",IFERROR(INDEX(Products!$B:$B,MATCH(B306,Products!$A:$A,0)),"SKU not found"))</f>
        <v/>
      </c>
    </row>
    <row r="307">
      <c r="A307" s="7" t="n"/>
      <c r="B307" s="4" t="n"/>
      <c r="C307" s="4" t="n"/>
      <c r="D307" s="4" t="n"/>
      <c r="E307" s="4" t="n"/>
      <c r="F307" s="4" t="n"/>
      <c r="G307">
        <f>IF(B307="","",IFERROR(INDEX(Products!$B:$B,MATCH(B307,Products!$A:$A,0)),"SKU not found"))</f>
        <v/>
      </c>
    </row>
    <row r="308">
      <c r="A308" s="7" t="n"/>
      <c r="B308" s="4" t="n"/>
      <c r="C308" s="4" t="n"/>
      <c r="D308" s="4" t="n"/>
      <c r="E308" s="4" t="n"/>
      <c r="F308" s="4" t="n"/>
      <c r="G308">
        <f>IF(B308="","",IFERROR(INDEX(Products!$B:$B,MATCH(B308,Products!$A:$A,0)),"SKU not found"))</f>
        <v/>
      </c>
    </row>
    <row r="309">
      <c r="A309" s="7" t="n"/>
      <c r="B309" s="4" t="n"/>
      <c r="C309" s="4" t="n"/>
      <c r="D309" s="4" t="n"/>
      <c r="E309" s="4" t="n"/>
      <c r="F309" s="4" t="n"/>
      <c r="G309">
        <f>IF(B309="","",IFERROR(INDEX(Products!$B:$B,MATCH(B309,Products!$A:$A,0)),"SKU not found"))</f>
        <v/>
      </c>
    </row>
    <row r="310">
      <c r="A310" s="7" t="n"/>
      <c r="B310" s="4" t="n"/>
      <c r="C310" s="4" t="n"/>
      <c r="D310" s="4" t="n"/>
      <c r="E310" s="4" t="n"/>
      <c r="F310" s="4" t="n"/>
      <c r="G310">
        <f>IF(B310="","",IFERROR(INDEX(Products!$B:$B,MATCH(B310,Products!$A:$A,0)),"SKU not found"))</f>
        <v/>
      </c>
    </row>
    <row r="311">
      <c r="A311" s="7" t="n"/>
      <c r="B311" s="4" t="n"/>
      <c r="C311" s="4" t="n"/>
      <c r="D311" s="4" t="n"/>
      <c r="E311" s="4" t="n"/>
      <c r="F311" s="4" t="n"/>
      <c r="G311">
        <f>IF(B311="","",IFERROR(INDEX(Products!$B:$B,MATCH(B311,Products!$A:$A,0)),"SKU not found"))</f>
        <v/>
      </c>
    </row>
    <row r="312">
      <c r="A312" s="7" t="n"/>
      <c r="B312" s="4" t="n"/>
      <c r="C312" s="4" t="n"/>
      <c r="D312" s="4" t="n"/>
      <c r="E312" s="4" t="n"/>
      <c r="F312" s="4" t="n"/>
      <c r="G312">
        <f>IF(B312="","",IFERROR(INDEX(Products!$B:$B,MATCH(B312,Products!$A:$A,0)),"SKU not found"))</f>
        <v/>
      </c>
    </row>
    <row r="313">
      <c r="A313" s="7" t="n"/>
      <c r="B313" s="4" t="n"/>
      <c r="C313" s="4" t="n"/>
      <c r="D313" s="4" t="n"/>
      <c r="E313" s="4" t="n"/>
      <c r="F313" s="4" t="n"/>
      <c r="G313">
        <f>IF(B313="","",IFERROR(INDEX(Products!$B:$B,MATCH(B313,Products!$A:$A,0)),"SKU not found"))</f>
        <v/>
      </c>
    </row>
    <row r="314">
      <c r="A314" s="7" t="n"/>
      <c r="B314" s="4" t="n"/>
      <c r="C314" s="4" t="n"/>
      <c r="D314" s="4" t="n"/>
      <c r="E314" s="4" t="n"/>
      <c r="F314" s="4" t="n"/>
      <c r="G314">
        <f>IF(B314="","",IFERROR(INDEX(Products!$B:$B,MATCH(B314,Products!$A:$A,0)),"SKU not found"))</f>
        <v/>
      </c>
    </row>
    <row r="315">
      <c r="A315" s="7" t="n"/>
      <c r="B315" s="4" t="n"/>
      <c r="C315" s="4" t="n"/>
      <c r="D315" s="4" t="n"/>
      <c r="E315" s="4" t="n"/>
      <c r="F315" s="4" t="n"/>
      <c r="G315">
        <f>IF(B315="","",IFERROR(INDEX(Products!$B:$B,MATCH(B315,Products!$A:$A,0)),"SKU not found"))</f>
        <v/>
      </c>
    </row>
    <row r="316">
      <c r="A316" s="7" t="n"/>
      <c r="B316" s="4" t="n"/>
      <c r="C316" s="4" t="n"/>
      <c r="D316" s="4" t="n"/>
      <c r="E316" s="4" t="n"/>
      <c r="F316" s="4" t="n"/>
      <c r="G316">
        <f>IF(B316="","",IFERROR(INDEX(Products!$B:$B,MATCH(B316,Products!$A:$A,0)),"SKU not found"))</f>
        <v/>
      </c>
    </row>
    <row r="317">
      <c r="A317" s="7" t="n"/>
      <c r="B317" s="4" t="n"/>
      <c r="C317" s="4" t="n"/>
      <c r="D317" s="4" t="n"/>
      <c r="E317" s="4" t="n"/>
      <c r="F317" s="4" t="n"/>
      <c r="G317">
        <f>IF(B317="","",IFERROR(INDEX(Products!$B:$B,MATCH(B317,Products!$A:$A,0)),"SKU not found"))</f>
        <v/>
      </c>
    </row>
    <row r="318">
      <c r="A318" s="7" t="n"/>
      <c r="B318" s="4" t="n"/>
      <c r="C318" s="4" t="n"/>
      <c r="D318" s="4" t="n"/>
      <c r="E318" s="4" t="n"/>
      <c r="F318" s="4" t="n"/>
      <c r="G318">
        <f>IF(B318="","",IFERROR(INDEX(Products!$B:$B,MATCH(B318,Products!$A:$A,0)),"SKU not found"))</f>
        <v/>
      </c>
    </row>
    <row r="319">
      <c r="A319" s="7" t="n"/>
      <c r="B319" s="4" t="n"/>
      <c r="C319" s="4" t="n"/>
      <c r="D319" s="4" t="n"/>
      <c r="E319" s="4" t="n"/>
      <c r="F319" s="4" t="n"/>
      <c r="G319">
        <f>IF(B319="","",IFERROR(INDEX(Products!$B:$B,MATCH(B319,Products!$A:$A,0)),"SKU not found"))</f>
        <v/>
      </c>
    </row>
    <row r="320">
      <c r="A320" s="7" t="n"/>
      <c r="B320" s="4" t="n"/>
      <c r="C320" s="4" t="n"/>
      <c r="D320" s="4" t="n"/>
      <c r="E320" s="4" t="n"/>
      <c r="F320" s="4" t="n"/>
      <c r="G320">
        <f>IF(B320="","",IFERROR(INDEX(Products!$B:$B,MATCH(B320,Products!$A:$A,0)),"SKU not found"))</f>
        <v/>
      </c>
    </row>
    <row r="321">
      <c r="A321" s="7" t="n"/>
      <c r="B321" s="4" t="n"/>
      <c r="C321" s="4" t="n"/>
      <c r="D321" s="4" t="n"/>
      <c r="E321" s="4" t="n"/>
      <c r="F321" s="4" t="n"/>
      <c r="G321">
        <f>IF(B321="","",IFERROR(INDEX(Products!$B:$B,MATCH(B321,Products!$A:$A,0)),"SKU not found"))</f>
        <v/>
      </c>
    </row>
    <row r="322">
      <c r="A322" s="7" t="n"/>
      <c r="B322" s="4" t="n"/>
      <c r="C322" s="4" t="n"/>
      <c r="D322" s="4" t="n"/>
      <c r="E322" s="4" t="n"/>
      <c r="F322" s="4" t="n"/>
      <c r="G322">
        <f>IF(B322="","",IFERROR(INDEX(Products!$B:$B,MATCH(B322,Products!$A:$A,0)),"SKU not found"))</f>
        <v/>
      </c>
    </row>
    <row r="323">
      <c r="A323" s="7" t="n"/>
      <c r="B323" s="4" t="n"/>
      <c r="C323" s="4" t="n"/>
      <c r="D323" s="4" t="n"/>
      <c r="E323" s="4" t="n"/>
      <c r="F323" s="4" t="n"/>
      <c r="G323">
        <f>IF(B323="","",IFERROR(INDEX(Products!$B:$B,MATCH(B323,Products!$A:$A,0)),"SKU not found"))</f>
        <v/>
      </c>
    </row>
    <row r="324">
      <c r="A324" s="7" t="n"/>
      <c r="B324" s="4" t="n"/>
      <c r="C324" s="4" t="n"/>
      <c r="D324" s="4" t="n"/>
      <c r="E324" s="4" t="n"/>
      <c r="F324" s="4" t="n"/>
      <c r="G324">
        <f>IF(B324="","",IFERROR(INDEX(Products!$B:$B,MATCH(B324,Products!$A:$A,0)),"SKU not found"))</f>
        <v/>
      </c>
    </row>
    <row r="325">
      <c r="A325" s="7" t="n"/>
      <c r="B325" s="4" t="n"/>
      <c r="C325" s="4" t="n"/>
      <c r="D325" s="4" t="n"/>
      <c r="E325" s="4" t="n"/>
      <c r="F325" s="4" t="n"/>
      <c r="G325">
        <f>IF(B325="","",IFERROR(INDEX(Products!$B:$B,MATCH(B325,Products!$A:$A,0)),"SKU not found"))</f>
        <v/>
      </c>
    </row>
    <row r="326">
      <c r="A326" s="7" t="n"/>
      <c r="B326" s="4" t="n"/>
      <c r="C326" s="4" t="n"/>
      <c r="D326" s="4" t="n"/>
      <c r="E326" s="4" t="n"/>
      <c r="F326" s="4" t="n"/>
      <c r="G326">
        <f>IF(B326="","",IFERROR(INDEX(Products!$B:$B,MATCH(B326,Products!$A:$A,0)),"SKU not found"))</f>
        <v/>
      </c>
    </row>
    <row r="327">
      <c r="A327" s="7" t="n"/>
      <c r="B327" s="4" t="n"/>
      <c r="C327" s="4" t="n"/>
      <c r="D327" s="4" t="n"/>
      <c r="E327" s="4" t="n"/>
      <c r="F327" s="4" t="n"/>
      <c r="G327">
        <f>IF(B327="","",IFERROR(INDEX(Products!$B:$B,MATCH(B327,Products!$A:$A,0)),"SKU not found"))</f>
        <v/>
      </c>
    </row>
    <row r="328">
      <c r="A328" s="7" t="n"/>
      <c r="B328" s="4" t="n"/>
      <c r="C328" s="4" t="n"/>
      <c r="D328" s="4" t="n"/>
      <c r="E328" s="4" t="n"/>
      <c r="F328" s="4" t="n"/>
      <c r="G328">
        <f>IF(B328="","",IFERROR(INDEX(Products!$B:$B,MATCH(B328,Products!$A:$A,0)),"SKU not found"))</f>
        <v/>
      </c>
    </row>
    <row r="329">
      <c r="A329" s="7" t="n"/>
      <c r="B329" s="4" t="n"/>
      <c r="C329" s="4" t="n"/>
      <c r="D329" s="4" t="n"/>
      <c r="E329" s="4" t="n"/>
      <c r="F329" s="4" t="n"/>
      <c r="G329">
        <f>IF(B329="","",IFERROR(INDEX(Products!$B:$B,MATCH(B329,Products!$A:$A,0)),"SKU not found"))</f>
        <v/>
      </c>
    </row>
    <row r="330">
      <c r="A330" s="7" t="n"/>
      <c r="B330" s="4" t="n"/>
      <c r="C330" s="4" t="n"/>
      <c r="D330" s="4" t="n"/>
      <c r="E330" s="4" t="n"/>
      <c r="F330" s="4" t="n"/>
      <c r="G330">
        <f>IF(B330="","",IFERROR(INDEX(Products!$B:$B,MATCH(B330,Products!$A:$A,0)),"SKU not found"))</f>
        <v/>
      </c>
    </row>
    <row r="331">
      <c r="A331" s="7" t="n"/>
      <c r="B331" s="4" t="n"/>
      <c r="C331" s="4" t="n"/>
      <c r="D331" s="4" t="n"/>
      <c r="E331" s="4" t="n"/>
      <c r="F331" s="4" t="n"/>
      <c r="G331">
        <f>IF(B331="","",IFERROR(INDEX(Products!$B:$B,MATCH(B331,Products!$A:$A,0)),"SKU not found"))</f>
        <v/>
      </c>
    </row>
    <row r="332">
      <c r="A332" s="7" t="n"/>
      <c r="B332" s="4" t="n"/>
      <c r="C332" s="4" t="n"/>
      <c r="D332" s="4" t="n"/>
      <c r="E332" s="4" t="n"/>
      <c r="F332" s="4" t="n"/>
      <c r="G332">
        <f>IF(B332="","",IFERROR(INDEX(Products!$B:$B,MATCH(B332,Products!$A:$A,0)),"SKU not found"))</f>
        <v/>
      </c>
    </row>
    <row r="333">
      <c r="A333" s="7" t="n"/>
      <c r="B333" s="4" t="n"/>
      <c r="C333" s="4" t="n"/>
      <c r="D333" s="4" t="n"/>
      <c r="E333" s="4" t="n"/>
      <c r="F333" s="4" t="n"/>
      <c r="G333">
        <f>IF(B333="","",IFERROR(INDEX(Products!$B:$B,MATCH(B333,Products!$A:$A,0)),"SKU not found"))</f>
        <v/>
      </c>
    </row>
    <row r="334">
      <c r="A334" s="7" t="n"/>
      <c r="B334" s="4" t="n"/>
      <c r="C334" s="4" t="n"/>
      <c r="D334" s="4" t="n"/>
      <c r="E334" s="4" t="n"/>
      <c r="F334" s="4" t="n"/>
      <c r="G334">
        <f>IF(B334="","",IFERROR(INDEX(Products!$B:$B,MATCH(B334,Products!$A:$A,0)),"SKU not found"))</f>
        <v/>
      </c>
    </row>
    <row r="335">
      <c r="A335" s="7" t="n"/>
      <c r="B335" s="4" t="n"/>
      <c r="C335" s="4" t="n"/>
      <c r="D335" s="4" t="n"/>
      <c r="E335" s="4" t="n"/>
      <c r="F335" s="4" t="n"/>
      <c r="G335">
        <f>IF(B335="","",IFERROR(INDEX(Products!$B:$B,MATCH(B335,Products!$A:$A,0)),"SKU not found"))</f>
        <v/>
      </c>
    </row>
    <row r="336">
      <c r="A336" s="7" t="n"/>
      <c r="B336" s="4" t="n"/>
      <c r="C336" s="4" t="n"/>
      <c r="D336" s="4" t="n"/>
      <c r="E336" s="4" t="n"/>
      <c r="F336" s="4" t="n"/>
      <c r="G336">
        <f>IF(B336="","",IFERROR(INDEX(Products!$B:$B,MATCH(B336,Products!$A:$A,0)),"SKU not found"))</f>
        <v/>
      </c>
    </row>
    <row r="337">
      <c r="A337" s="7" t="n"/>
      <c r="B337" s="4" t="n"/>
      <c r="C337" s="4" t="n"/>
      <c r="D337" s="4" t="n"/>
      <c r="E337" s="4" t="n"/>
      <c r="F337" s="4" t="n"/>
      <c r="G337">
        <f>IF(B337="","",IFERROR(INDEX(Products!$B:$B,MATCH(B337,Products!$A:$A,0)),"SKU not found"))</f>
        <v/>
      </c>
    </row>
    <row r="338">
      <c r="A338" s="7" t="n"/>
      <c r="B338" s="4" t="n"/>
      <c r="C338" s="4" t="n"/>
      <c r="D338" s="4" t="n"/>
      <c r="E338" s="4" t="n"/>
      <c r="F338" s="4" t="n"/>
      <c r="G338">
        <f>IF(B338="","",IFERROR(INDEX(Products!$B:$B,MATCH(B338,Products!$A:$A,0)),"SKU not found"))</f>
        <v/>
      </c>
    </row>
    <row r="339">
      <c r="A339" s="7" t="n"/>
      <c r="B339" s="4" t="n"/>
      <c r="C339" s="4" t="n"/>
      <c r="D339" s="4" t="n"/>
      <c r="E339" s="4" t="n"/>
      <c r="F339" s="4" t="n"/>
      <c r="G339">
        <f>IF(B339="","",IFERROR(INDEX(Products!$B:$B,MATCH(B339,Products!$A:$A,0)),"SKU not found"))</f>
        <v/>
      </c>
    </row>
    <row r="340">
      <c r="A340" s="7" t="n"/>
      <c r="B340" s="4" t="n"/>
      <c r="C340" s="4" t="n"/>
      <c r="D340" s="4" t="n"/>
      <c r="E340" s="4" t="n"/>
      <c r="F340" s="4" t="n"/>
      <c r="G340">
        <f>IF(B340="","",IFERROR(INDEX(Products!$B:$B,MATCH(B340,Products!$A:$A,0)),"SKU not found"))</f>
        <v/>
      </c>
    </row>
    <row r="341">
      <c r="A341" s="7" t="n"/>
      <c r="B341" s="4" t="n"/>
      <c r="C341" s="4" t="n"/>
      <c r="D341" s="4" t="n"/>
      <c r="E341" s="4" t="n"/>
      <c r="F341" s="4" t="n"/>
      <c r="G341">
        <f>IF(B341="","",IFERROR(INDEX(Products!$B:$B,MATCH(B341,Products!$A:$A,0)),"SKU not found"))</f>
        <v/>
      </c>
    </row>
    <row r="342">
      <c r="A342" s="7" t="n"/>
      <c r="B342" s="4" t="n"/>
      <c r="C342" s="4" t="n"/>
      <c r="D342" s="4" t="n"/>
      <c r="E342" s="4" t="n"/>
      <c r="F342" s="4" t="n"/>
      <c r="G342">
        <f>IF(B342="","",IFERROR(INDEX(Products!$B:$B,MATCH(B342,Products!$A:$A,0)),"SKU not found"))</f>
        <v/>
      </c>
    </row>
    <row r="343">
      <c r="A343" s="7" t="n"/>
      <c r="B343" s="4" t="n"/>
      <c r="C343" s="4" t="n"/>
      <c r="D343" s="4" t="n"/>
      <c r="E343" s="4" t="n"/>
      <c r="F343" s="4" t="n"/>
      <c r="G343">
        <f>IF(B343="","",IFERROR(INDEX(Products!$B:$B,MATCH(B343,Products!$A:$A,0)),"SKU not found"))</f>
        <v/>
      </c>
    </row>
    <row r="344">
      <c r="A344" s="7" t="n"/>
      <c r="B344" s="4" t="n"/>
      <c r="C344" s="4" t="n"/>
      <c r="D344" s="4" t="n"/>
      <c r="E344" s="4" t="n"/>
      <c r="F344" s="4" t="n"/>
      <c r="G344">
        <f>IF(B344="","",IFERROR(INDEX(Products!$B:$B,MATCH(B344,Products!$A:$A,0)),"SKU not found"))</f>
        <v/>
      </c>
    </row>
    <row r="345">
      <c r="A345" s="7" t="n"/>
      <c r="B345" s="4" t="n"/>
      <c r="C345" s="4" t="n"/>
      <c r="D345" s="4" t="n"/>
      <c r="E345" s="4" t="n"/>
      <c r="F345" s="4" t="n"/>
      <c r="G345">
        <f>IF(B345="","",IFERROR(INDEX(Products!$B:$B,MATCH(B345,Products!$A:$A,0)),"SKU not found"))</f>
        <v/>
      </c>
    </row>
    <row r="346">
      <c r="A346" s="7" t="n"/>
      <c r="B346" s="4" t="n"/>
      <c r="C346" s="4" t="n"/>
      <c r="D346" s="4" t="n"/>
      <c r="E346" s="4" t="n"/>
      <c r="F346" s="4" t="n"/>
      <c r="G346">
        <f>IF(B346="","",IFERROR(INDEX(Products!$B:$B,MATCH(B346,Products!$A:$A,0)),"SKU not found"))</f>
        <v/>
      </c>
    </row>
    <row r="347">
      <c r="A347" s="7" t="n"/>
      <c r="B347" s="4" t="n"/>
      <c r="C347" s="4" t="n"/>
      <c r="D347" s="4" t="n"/>
      <c r="E347" s="4" t="n"/>
      <c r="F347" s="4" t="n"/>
      <c r="G347">
        <f>IF(B347="","",IFERROR(INDEX(Products!$B:$B,MATCH(B347,Products!$A:$A,0)),"SKU not found"))</f>
        <v/>
      </c>
    </row>
    <row r="348">
      <c r="A348" s="7" t="n"/>
      <c r="B348" s="4" t="n"/>
      <c r="C348" s="4" t="n"/>
      <c r="D348" s="4" t="n"/>
      <c r="E348" s="4" t="n"/>
      <c r="F348" s="4" t="n"/>
      <c r="G348">
        <f>IF(B348="","",IFERROR(INDEX(Products!$B:$B,MATCH(B348,Products!$A:$A,0)),"SKU not found"))</f>
        <v/>
      </c>
    </row>
    <row r="349">
      <c r="A349" s="7" t="n"/>
      <c r="B349" s="4" t="n"/>
      <c r="C349" s="4" t="n"/>
      <c r="D349" s="4" t="n"/>
      <c r="E349" s="4" t="n"/>
      <c r="F349" s="4" t="n"/>
      <c r="G349">
        <f>IF(B349="","",IFERROR(INDEX(Products!$B:$B,MATCH(B349,Products!$A:$A,0)),"SKU not found"))</f>
        <v/>
      </c>
    </row>
    <row r="350">
      <c r="A350" s="7" t="n"/>
      <c r="B350" s="4" t="n"/>
      <c r="C350" s="4" t="n"/>
      <c r="D350" s="4" t="n"/>
      <c r="E350" s="4" t="n"/>
      <c r="F350" s="4" t="n"/>
      <c r="G350">
        <f>IF(B350="","",IFERROR(INDEX(Products!$B:$B,MATCH(B350,Products!$A:$A,0)),"SKU not found"))</f>
        <v/>
      </c>
    </row>
    <row r="351">
      <c r="A351" s="7" t="n"/>
      <c r="B351" s="4" t="n"/>
      <c r="C351" s="4" t="n"/>
      <c r="D351" s="4" t="n"/>
      <c r="E351" s="4" t="n"/>
      <c r="F351" s="4" t="n"/>
      <c r="G351">
        <f>IF(B351="","",IFERROR(INDEX(Products!$B:$B,MATCH(B351,Products!$A:$A,0)),"SKU not found"))</f>
        <v/>
      </c>
    </row>
    <row r="352">
      <c r="A352" s="7" t="n"/>
      <c r="B352" s="4" t="n"/>
      <c r="C352" s="4" t="n"/>
      <c r="D352" s="4" t="n"/>
      <c r="E352" s="4" t="n"/>
      <c r="F352" s="4" t="n"/>
      <c r="G352">
        <f>IF(B352="","",IFERROR(INDEX(Products!$B:$B,MATCH(B352,Products!$A:$A,0)),"SKU not found"))</f>
        <v/>
      </c>
    </row>
    <row r="353">
      <c r="A353" s="7" t="n"/>
      <c r="B353" s="4" t="n"/>
      <c r="C353" s="4" t="n"/>
      <c r="D353" s="4" t="n"/>
      <c r="E353" s="4" t="n"/>
      <c r="F353" s="4" t="n"/>
      <c r="G353">
        <f>IF(B353="","",IFERROR(INDEX(Products!$B:$B,MATCH(B353,Products!$A:$A,0)),"SKU not found"))</f>
        <v/>
      </c>
    </row>
    <row r="354">
      <c r="A354" s="7" t="n"/>
      <c r="B354" s="4" t="n"/>
      <c r="C354" s="4" t="n"/>
      <c r="D354" s="4" t="n"/>
      <c r="E354" s="4" t="n"/>
      <c r="F354" s="4" t="n"/>
      <c r="G354">
        <f>IF(B354="","",IFERROR(INDEX(Products!$B:$B,MATCH(B354,Products!$A:$A,0)),"SKU not found"))</f>
        <v/>
      </c>
    </row>
    <row r="355">
      <c r="A355" s="7" t="n"/>
      <c r="B355" s="4" t="n"/>
      <c r="C355" s="4" t="n"/>
      <c r="D355" s="4" t="n"/>
      <c r="E355" s="4" t="n"/>
      <c r="F355" s="4" t="n"/>
      <c r="G355">
        <f>IF(B355="","",IFERROR(INDEX(Products!$B:$B,MATCH(B355,Products!$A:$A,0)),"SKU not found"))</f>
        <v/>
      </c>
    </row>
    <row r="356">
      <c r="A356" s="7" t="n"/>
      <c r="B356" s="4" t="n"/>
      <c r="C356" s="4" t="n"/>
      <c r="D356" s="4" t="n"/>
      <c r="E356" s="4" t="n"/>
      <c r="F356" s="4" t="n"/>
      <c r="G356">
        <f>IF(B356="","",IFERROR(INDEX(Products!$B:$B,MATCH(B356,Products!$A:$A,0)),"SKU not found"))</f>
        <v/>
      </c>
    </row>
    <row r="357">
      <c r="A357" s="7" t="n"/>
      <c r="B357" s="4" t="n"/>
      <c r="C357" s="4" t="n"/>
      <c r="D357" s="4" t="n"/>
      <c r="E357" s="4" t="n"/>
      <c r="F357" s="4" t="n"/>
      <c r="G357">
        <f>IF(B357="","",IFERROR(INDEX(Products!$B:$B,MATCH(B357,Products!$A:$A,0)),"SKU not found"))</f>
        <v/>
      </c>
    </row>
    <row r="358">
      <c r="A358" s="7" t="n"/>
      <c r="B358" s="4" t="n"/>
      <c r="C358" s="4" t="n"/>
      <c r="D358" s="4" t="n"/>
      <c r="E358" s="4" t="n"/>
      <c r="F358" s="4" t="n"/>
      <c r="G358">
        <f>IF(B358="","",IFERROR(INDEX(Products!$B:$B,MATCH(B358,Products!$A:$A,0)),"SKU not found"))</f>
        <v/>
      </c>
    </row>
    <row r="359">
      <c r="A359" s="7" t="n"/>
      <c r="B359" s="4" t="n"/>
      <c r="C359" s="4" t="n"/>
      <c r="D359" s="4" t="n"/>
      <c r="E359" s="4" t="n"/>
      <c r="F359" s="4" t="n"/>
      <c r="G359">
        <f>IF(B359="","",IFERROR(INDEX(Products!$B:$B,MATCH(B359,Products!$A:$A,0)),"SKU not found"))</f>
        <v/>
      </c>
    </row>
    <row r="360">
      <c r="A360" s="7" t="n"/>
      <c r="B360" s="4" t="n"/>
      <c r="C360" s="4" t="n"/>
      <c r="D360" s="4" t="n"/>
      <c r="E360" s="4" t="n"/>
      <c r="F360" s="4" t="n"/>
      <c r="G360">
        <f>IF(B360="","",IFERROR(INDEX(Products!$B:$B,MATCH(B360,Products!$A:$A,0)),"SKU not found"))</f>
        <v/>
      </c>
    </row>
    <row r="361">
      <c r="A361" s="7" t="n"/>
      <c r="B361" s="4" t="n"/>
      <c r="C361" s="4" t="n"/>
      <c r="D361" s="4" t="n"/>
      <c r="E361" s="4" t="n"/>
      <c r="F361" s="4" t="n"/>
      <c r="G361">
        <f>IF(B361="","",IFERROR(INDEX(Products!$B:$B,MATCH(B361,Products!$A:$A,0)),"SKU not found"))</f>
        <v/>
      </c>
    </row>
    <row r="362">
      <c r="A362" s="7" t="n"/>
      <c r="B362" s="4" t="n"/>
      <c r="C362" s="4" t="n"/>
      <c r="D362" s="4" t="n"/>
      <c r="E362" s="4" t="n"/>
      <c r="F362" s="4" t="n"/>
      <c r="G362">
        <f>IF(B362="","",IFERROR(INDEX(Products!$B:$B,MATCH(B362,Products!$A:$A,0)),"SKU not found"))</f>
        <v/>
      </c>
    </row>
    <row r="363">
      <c r="A363" s="7" t="n"/>
      <c r="B363" s="4" t="n"/>
      <c r="C363" s="4" t="n"/>
      <c r="D363" s="4" t="n"/>
      <c r="E363" s="4" t="n"/>
      <c r="F363" s="4" t="n"/>
      <c r="G363">
        <f>IF(B363="","",IFERROR(INDEX(Products!$B:$B,MATCH(B363,Products!$A:$A,0)),"SKU not found"))</f>
        <v/>
      </c>
    </row>
    <row r="364">
      <c r="A364" s="7" t="n"/>
      <c r="B364" s="4" t="n"/>
      <c r="C364" s="4" t="n"/>
      <c r="D364" s="4" t="n"/>
      <c r="E364" s="4" t="n"/>
      <c r="F364" s="4" t="n"/>
      <c r="G364">
        <f>IF(B364="","",IFERROR(INDEX(Products!$B:$B,MATCH(B364,Products!$A:$A,0)),"SKU not found"))</f>
        <v/>
      </c>
    </row>
    <row r="365">
      <c r="A365" s="7" t="n"/>
      <c r="B365" s="4" t="n"/>
      <c r="C365" s="4" t="n"/>
      <c r="D365" s="4" t="n"/>
      <c r="E365" s="4" t="n"/>
      <c r="F365" s="4" t="n"/>
      <c r="G365">
        <f>IF(B365="","",IFERROR(INDEX(Products!$B:$B,MATCH(B365,Products!$A:$A,0)),"SKU not found"))</f>
        <v/>
      </c>
    </row>
    <row r="366">
      <c r="A366" s="7" t="n"/>
      <c r="B366" s="4" t="n"/>
      <c r="C366" s="4" t="n"/>
      <c r="D366" s="4" t="n"/>
      <c r="E366" s="4" t="n"/>
      <c r="F366" s="4" t="n"/>
      <c r="G366">
        <f>IF(B366="","",IFERROR(INDEX(Products!$B:$B,MATCH(B366,Products!$A:$A,0)),"SKU not found"))</f>
        <v/>
      </c>
    </row>
    <row r="367">
      <c r="A367" s="7" t="n"/>
      <c r="B367" s="4" t="n"/>
      <c r="C367" s="4" t="n"/>
      <c r="D367" s="4" t="n"/>
      <c r="E367" s="4" t="n"/>
      <c r="F367" s="4" t="n"/>
      <c r="G367">
        <f>IF(B367="","",IFERROR(INDEX(Products!$B:$B,MATCH(B367,Products!$A:$A,0)),"SKU not found"))</f>
        <v/>
      </c>
    </row>
    <row r="368">
      <c r="A368" s="7" t="n"/>
      <c r="B368" s="4" t="n"/>
      <c r="C368" s="4" t="n"/>
      <c r="D368" s="4" t="n"/>
      <c r="E368" s="4" t="n"/>
      <c r="F368" s="4" t="n"/>
      <c r="G368">
        <f>IF(B368="","",IFERROR(INDEX(Products!$B:$B,MATCH(B368,Products!$A:$A,0)),"SKU not found"))</f>
        <v/>
      </c>
    </row>
    <row r="369">
      <c r="A369" s="7" t="n"/>
      <c r="B369" s="4" t="n"/>
      <c r="C369" s="4" t="n"/>
      <c r="D369" s="4" t="n"/>
      <c r="E369" s="4" t="n"/>
      <c r="F369" s="4" t="n"/>
      <c r="G369">
        <f>IF(B369="","",IFERROR(INDEX(Products!$B:$B,MATCH(B369,Products!$A:$A,0)),"SKU not found"))</f>
        <v/>
      </c>
    </row>
    <row r="370">
      <c r="A370" s="7" t="n"/>
      <c r="B370" s="4" t="n"/>
      <c r="C370" s="4" t="n"/>
      <c r="D370" s="4" t="n"/>
      <c r="E370" s="4" t="n"/>
      <c r="F370" s="4" t="n"/>
      <c r="G370">
        <f>IF(B370="","",IFERROR(INDEX(Products!$B:$B,MATCH(B370,Products!$A:$A,0)),"SKU not found"))</f>
        <v/>
      </c>
    </row>
    <row r="371">
      <c r="A371" s="7" t="n"/>
      <c r="B371" s="4" t="n"/>
      <c r="C371" s="4" t="n"/>
      <c r="D371" s="4" t="n"/>
      <c r="E371" s="4" t="n"/>
      <c r="F371" s="4" t="n"/>
      <c r="G371">
        <f>IF(B371="","",IFERROR(INDEX(Products!$B:$B,MATCH(B371,Products!$A:$A,0)),"SKU not found"))</f>
        <v/>
      </c>
    </row>
    <row r="372">
      <c r="A372" s="7" t="n"/>
      <c r="B372" s="4" t="n"/>
      <c r="C372" s="4" t="n"/>
      <c r="D372" s="4" t="n"/>
      <c r="E372" s="4" t="n"/>
      <c r="F372" s="4" t="n"/>
      <c r="G372">
        <f>IF(B372="","",IFERROR(INDEX(Products!$B:$B,MATCH(B372,Products!$A:$A,0)),"SKU not found"))</f>
        <v/>
      </c>
    </row>
    <row r="373">
      <c r="A373" s="7" t="n"/>
      <c r="B373" s="4" t="n"/>
      <c r="C373" s="4" t="n"/>
      <c r="D373" s="4" t="n"/>
      <c r="E373" s="4" t="n"/>
      <c r="F373" s="4" t="n"/>
      <c r="G373">
        <f>IF(B373="","",IFERROR(INDEX(Products!$B:$B,MATCH(B373,Products!$A:$A,0)),"SKU not found"))</f>
        <v/>
      </c>
    </row>
    <row r="374">
      <c r="A374" s="7" t="n"/>
      <c r="B374" s="4" t="n"/>
      <c r="C374" s="4" t="n"/>
      <c r="D374" s="4" t="n"/>
      <c r="E374" s="4" t="n"/>
      <c r="F374" s="4" t="n"/>
      <c r="G374">
        <f>IF(B374="","",IFERROR(INDEX(Products!$B:$B,MATCH(B374,Products!$A:$A,0)),"SKU not found"))</f>
        <v/>
      </c>
    </row>
    <row r="375">
      <c r="A375" s="7" t="n"/>
      <c r="B375" s="4" t="n"/>
      <c r="C375" s="4" t="n"/>
      <c r="D375" s="4" t="n"/>
      <c r="E375" s="4" t="n"/>
      <c r="F375" s="4" t="n"/>
      <c r="G375">
        <f>IF(B375="","",IFERROR(INDEX(Products!$B:$B,MATCH(B375,Products!$A:$A,0)),"SKU not found"))</f>
        <v/>
      </c>
    </row>
    <row r="376">
      <c r="A376" s="7" t="n"/>
      <c r="B376" s="4" t="n"/>
      <c r="C376" s="4" t="n"/>
      <c r="D376" s="4" t="n"/>
      <c r="E376" s="4" t="n"/>
      <c r="F376" s="4" t="n"/>
      <c r="G376">
        <f>IF(B376="","",IFERROR(INDEX(Products!$B:$B,MATCH(B376,Products!$A:$A,0)),"SKU not found"))</f>
        <v/>
      </c>
    </row>
    <row r="377">
      <c r="A377" s="7" t="n"/>
      <c r="B377" s="4" t="n"/>
      <c r="C377" s="4" t="n"/>
      <c r="D377" s="4" t="n"/>
      <c r="E377" s="4" t="n"/>
      <c r="F377" s="4" t="n"/>
      <c r="G377">
        <f>IF(B377="","",IFERROR(INDEX(Products!$B:$B,MATCH(B377,Products!$A:$A,0)),"SKU not found"))</f>
        <v/>
      </c>
    </row>
    <row r="378">
      <c r="A378" s="7" t="n"/>
      <c r="B378" s="4" t="n"/>
      <c r="C378" s="4" t="n"/>
      <c r="D378" s="4" t="n"/>
      <c r="E378" s="4" t="n"/>
      <c r="F378" s="4" t="n"/>
      <c r="G378">
        <f>IF(B378="","",IFERROR(INDEX(Products!$B:$B,MATCH(B378,Products!$A:$A,0)),"SKU not found"))</f>
        <v/>
      </c>
    </row>
    <row r="379">
      <c r="A379" s="7" t="n"/>
      <c r="B379" s="4" t="n"/>
      <c r="C379" s="4" t="n"/>
      <c r="D379" s="4" t="n"/>
      <c r="E379" s="4" t="n"/>
      <c r="F379" s="4" t="n"/>
      <c r="G379">
        <f>IF(B379="","",IFERROR(INDEX(Products!$B:$B,MATCH(B379,Products!$A:$A,0)),"SKU not found"))</f>
        <v/>
      </c>
    </row>
    <row r="380">
      <c r="A380" s="7" t="n"/>
      <c r="B380" s="4" t="n"/>
      <c r="C380" s="4" t="n"/>
      <c r="D380" s="4" t="n"/>
      <c r="E380" s="4" t="n"/>
      <c r="F380" s="4" t="n"/>
      <c r="G380">
        <f>IF(B380="","",IFERROR(INDEX(Products!$B:$B,MATCH(B380,Products!$A:$A,0)),"SKU not found"))</f>
        <v/>
      </c>
    </row>
    <row r="381">
      <c r="A381" s="7" t="n"/>
      <c r="B381" s="4" t="n"/>
      <c r="C381" s="4" t="n"/>
      <c r="D381" s="4" t="n"/>
      <c r="E381" s="4" t="n"/>
      <c r="F381" s="4" t="n"/>
      <c r="G381">
        <f>IF(B381="","",IFERROR(INDEX(Products!$B:$B,MATCH(B381,Products!$A:$A,0)),"SKU not found"))</f>
        <v/>
      </c>
    </row>
    <row r="382">
      <c r="A382" s="7" t="n"/>
      <c r="B382" s="4" t="n"/>
      <c r="C382" s="4" t="n"/>
      <c r="D382" s="4" t="n"/>
      <c r="E382" s="4" t="n"/>
      <c r="F382" s="4" t="n"/>
      <c r="G382">
        <f>IF(B382="","",IFERROR(INDEX(Products!$B:$B,MATCH(B382,Products!$A:$A,0)),"SKU not found"))</f>
        <v/>
      </c>
    </row>
    <row r="383">
      <c r="A383" s="7" t="n"/>
      <c r="B383" s="4" t="n"/>
      <c r="C383" s="4" t="n"/>
      <c r="D383" s="4" t="n"/>
      <c r="E383" s="4" t="n"/>
      <c r="F383" s="4" t="n"/>
      <c r="G383">
        <f>IF(B383="","",IFERROR(INDEX(Products!$B:$B,MATCH(B383,Products!$A:$A,0)),"SKU not found"))</f>
        <v/>
      </c>
    </row>
    <row r="384">
      <c r="A384" s="7" t="n"/>
      <c r="B384" s="4" t="n"/>
      <c r="C384" s="4" t="n"/>
      <c r="D384" s="4" t="n"/>
      <c r="E384" s="4" t="n"/>
      <c r="F384" s="4" t="n"/>
      <c r="G384">
        <f>IF(B384="","",IFERROR(INDEX(Products!$B:$B,MATCH(B384,Products!$A:$A,0)),"SKU not found"))</f>
        <v/>
      </c>
    </row>
    <row r="385">
      <c r="A385" s="7" t="n"/>
      <c r="B385" s="4" t="n"/>
      <c r="C385" s="4" t="n"/>
      <c r="D385" s="4" t="n"/>
      <c r="E385" s="4" t="n"/>
      <c r="F385" s="4" t="n"/>
      <c r="G385">
        <f>IF(B385="","",IFERROR(INDEX(Products!$B:$B,MATCH(B385,Products!$A:$A,0)),"SKU not found"))</f>
        <v/>
      </c>
    </row>
    <row r="386">
      <c r="A386" s="7" t="n"/>
      <c r="B386" s="4" t="n"/>
      <c r="C386" s="4" t="n"/>
      <c r="D386" s="4" t="n"/>
      <c r="E386" s="4" t="n"/>
      <c r="F386" s="4" t="n"/>
      <c r="G386">
        <f>IF(B386="","",IFERROR(INDEX(Products!$B:$B,MATCH(B386,Products!$A:$A,0)),"SKU not found"))</f>
        <v/>
      </c>
    </row>
    <row r="387">
      <c r="A387" s="7" t="n"/>
      <c r="B387" s="4" t="n"/>
      <c r="C387" s="4" t="n"/>
      <c r="D387" s="4" t="n"/>
      <c r="E387" s="4" t="n"/>
      <c r="F387" s="4" t="n"/>
      <c r="G387">
        <f>IF(B387="","",IFERROR(INDEX(Products!$B:$B,MATCH(B387,Products!$A:$A,0)),"SKU not found"))</f>
        <v/>
      </c>
    </row>
    <row r="388">
      <c r="A388" s="7" t="n"/>
      <c r="B388" s="4" t="n"/>
      <c r="C388" s="4" t="n"/>
      <c r="D388" s="4" t="n"/>
      <c r="E388" s="4" t="n"/>
      <c r="F388" s="4" t="n"/>
      <c r="G388">
        <f>IF(B388="","",IFERROR(INDEX(Products!$B:$B,MATCH(B388,Products!$A:$A,0)),"SKU not found"))</f>
        <v/>
      </c>
    </row>
    <row r="389">
      <c r="A389" s="7" t="n"/>
      <c r="B389" s="4" t="n"/>
      <c r="C389" s="4" t="n"/>
      <c r="D389" s="4" t="n"/>
      <c r="E389" s="4" t="n"/>
      <c r="F389" s="4" t="n"/>
      <c r="G389">
        <f>IF(B389="","",IFERROR(INDEX(Products!$B:$B,MATCH(B389,Products!$A:$A,0)),"SKU not found"))</f>
        <v/>
      </c>
    </row>
    <row r="390">
      <c r="A390" s="7" t="n"/>
      <c r="B390" s="4" t="n"/>
      <c r="C390" s="4" t="n"/>
      <c r="D390" s="4" t="n"/>
      <c r="E390" s="4" t="n"/>
      <c r="F390" s="4" t="n"/>
      <c r="G390">
        <f>IF(B390="","",IFERROR(INDEX(Products!$B:$B,MATCH(B390,Products!$A:$A,0)),"SKU not found"))</f>
        <v/>
      </c>
    </row>
    <row r="391">
      <c r="A391" s="7" t="n"/>
      <c r="B391" s="4" t="n"/>
      <c r="C391" s="4" t="n"/>
      <c r="D391" s="4" t="n"/>
      <c r="E391" s="4" t="n"/>
      <c r="F391" s="4" t="n"/>
      <c r="G391">
        <f>IF(B391="","",IFERROR(INDEX(Products!$B:$B,MATCH(B391,Products!$A:$A,0)),"SKU not found"))</f>
        <v/>
      </c>
    </row>
    <row r="392">
      <c r="A392" s="7" t="n"/>
      <c r="B392" s="4" t="n"/>
      <c r="C392" s="4" t="n"/>
      <c r="D392" s="4" t="n"/>
      <c r="E392" s="4" t="n"/>
      <c r="F392" s="4" t="n"/>
      <c r="G392">
        <f>IF(B392="","",IFERROR(INDEX(Products!$B:$B,MATCH(B392,Products!$A:$A,0)),"SKU not found"))</f>
        <v/>
      </c>
    </row>
    <row r="393">
      <c r="A393" s="7" t="n"/>
      <c r="B393" s="4" t="n"/>
      <c r="C393" s="4" t="n"/>
      <c r="D393" s="4" t="n"/>
      <c r="E393" s="4" t="n"/>
      <c r="F393" s="4" t="n"/>
      <c r="G393">
        <f>IF(B393="","",IFERROR(INDEX(Products!$B:$B,MATCH(B393,Products!$A:$A,0)),"SKU not found"))</f>
        <v/>
      </c>
    </row>
    <row r="394">
      <c r="A394" s="7" t="n"/>
      <c r="B394" s="4" t="n"/>
      <c r="C394" s="4" t="n"/>
      <c r="D394" s="4" t="n"/>
      <c r="E394" s="4" t="n"/>
      <c r="F394" s="4" t="n"/>
      <c r="G394">
        <f>IF(B394="","",IFERROR(INDEX(Products!$B:$B,MATCH(B394,Products!$A:$A,0)),"SKU not found"))</f>
        <v/>
      </c>
    </row>
    <row r="395">
      <c r="A395" s="7" t="n"/>
      <c r="B395" s="4" t="n"/>
      <c r="C395" s="4" t="n"/>
      <c r="D395" s="4" t="n"/>
      <c r="E395" s="4" t="n"/>
      <c r="F395" s="4" t="n"/>
      <c r="G395">
        <f>IF(B395="","",IFERROR(INDEX(Products!$B:$B,MATCH(B395,Products!$A:$A,0)),"SKU not found"))</f>
        <v/>
      </c>
    </row>
    <row r="396">
      <c r="A396" s="7" t="n"/>
      <c r="B396" s="4" t="n"/>
      <c r="C396" s="4" t="n"/>
      <c r="D396" s="4" t="n"/>
      <c r="E396" s="4" t="n"/>
      <c r="F396" s="4" t="n"/>
      <c r="G396">
        <f>IF(B396="","",IFERROR(INDEX(Products!$B:$B,MATCH(B396,Products!$A:$A,0)),"SKU not found"))</f>
        <v/>
      </c>
    </row>
    <row r="397">
      <c r="A397" s="7" t="n"/>
      <c r="B397" s="4" t="n"/>
      <c r="C397" s="4" t="n"/>
      <c r="D397" s="4" t="n"/>
      <c r="E397" s="4" t="n"/>
      <c r="F397" s="4" t="n"/>
      <c r="G397">
        <f>IF(B397="","",IFERROR(INDEX(Products!$B:$B,MATCH(B397,Products!$A:$A,0)),"SKU not found"))</f>
        <v/>
      </c>
    </row>
    <row r="398">
      <c r="A398" s="7" t="n"/>
      <c r="B398" s="4" t="n"/>
      <c r="C398" s="4" t="n"/>
      <c r="D398" s="4" t="n"/>
      <c r="E398" s="4" t="n"/>
      <c r="F398" s="4" t="n"/>
      <c r="G398">
        <f>IF(B398="","",IFERROR(INDEX(Products!$B:$B,MATCH(B398,Products!$A:$A,0)),"SKU not found"))</f>
        <v/>
      </c>
    </row>
    <row r="399">
      <c r="A399" s="7" t="n"/>
      <c r="B399" s="4" t="n"/>
      <c r="C399" s="4" t="n"/>
      <c r="D399" s="4" t="n"/>
      <c r="E399" s="4" t="n"/>
      <c r="F399" s="4" t="n"/>
      <c r="G399">
        <f>IF(B399="","",IFERROR(INDEX(Products!$B:$B,MATCH(B399,Products!$A:$A,0)),"SKU not found"))</f>
        <v/>
      </c>
    </row>
    <row r="400">
      <c r="A400" s="7" t="n"/>
      <c r="B400" s="4" t="n"/>
      <c r="C400" s="4" t="n"/>
      <c r="D400" s="4" t="n"/>
      <c r="E400" s="4" t="n"/>
      <c r="F400" s="4" t="n"/>
      <c r="G400">
        <f>IF(B400="","",IFERROR(INDEX(Products!$B:$B,MATCH(B400,Products!$A:$A,0)),"SKU not found"))</f>
        <v/>
      </c>
    </row>
    <row r="401">
      <c r="A401" s="7" t="n"/>
      <c r="B401" s="4" t="n"/>
      <c r="C401" s="4" t="n"/>
      <c r="D401" s="4" t="n"/>
      <c r="E401" s="4" t="n"/>
      <c r="F401" s="4" t="n"/>
      <c r="G401">
        <f>IF(B401="","",IFERROR(INDEX(Products!$B:$B,MATCH(B401,Products!$A:$A,0)),"SKU not found"))</f>
        <v/>
      </c>
    </row>
    <row r="402">
      <c r="A402" s="7" t="n"/>
      <c r="B402" s="4" t="n"/>
      <c r="C402" s="4" t="n"/>
      <c r="D402" s="4" t="n"/>
      <c r="E402" s="4" t="n"/>
      <c r="F402" s="4" t="n"/>
      <c r="G402">
        <f>IF(B402="","",IFERROR(INDEX(Products!$B:$B,MATCH(B402,Products!$A:$A,0)),"SKU not found"))</f>
        <v/>
      </c>
    </row>
    <row r="403">
      <c r="A403" s="7" t="n"/>
      <c r="B403" s="4" t="n"/>
      <c r="C403" s="4" t="n"/>
      <c r="D403" s="4" t="n"/>
      <c r="E403" s="4" t="n"/>
      <c r="F403" s="4" t="n"/>
      <c r="G403">
        <f>IF(B403="","",IFERROR(INDEX(Products!$B:$B,MATCH(B403,Products!$A:$A,0)),"SKU not found"))</f>
        <v/>
      </c>
    </row>
    <row r="404">
      <c r="A404" s="7" t="n"/>
      <c r="B404" s="4" t="n"/>
      <c r="C404" s="4" t="n"/>
      <c r="D404" s="4" t="n"/>
      <c r="E404" s="4" t="n"/>
      <c r="F404" s="4" t="n"/>
      <c r="G404">
        <f>IF(B404="","",IFERROR(INDEX(Products!$B:$B,MATCH(B404,Products!$A:$A,0)),"SKU not found"))</f>
        <v/>
      </c>
    </row>
    <row r="405">
      <c r="A405" s="7" t="n"/>
      <c r="B405" s="4" t="n"/>
      <c r="C405" s="4" t="n"/>
      <c r="D405" s="4" t="n"/>
      <c r="E405" s="4" t="n"/>
      <c r="F405" s="4" t="n"/>
      <c r="G405">
        <f>IF(B405="","",IFERROR(INDEX(Products!$B:$B,MATCH(B405,Products!$A:$A,0)),"SKU not found"))</f>
        <v/>
      </c>
    </row>
    <row r="406">
      <c r="A406" s="7" t="n"/>
      <c r="B406" s="4" t="n"/>
      <c r="C406" s="4" t="n"/>
      <c r="D406" s="4" t="n"/>
      <c r="E406" s="4" t="n"/>
      <c r="F406" s="4" t="n"/>
      <c r="G406">
        <f>IF(B406="","",IFERROR(INDEX(Products!$B:$B,MATCH(B406,Products!$A:$A,0)),"SKU not found"))</f>
        <v/>
      </c>
    </row>
    <row r="407">
      <c r="A407" s="7" t="n"/>
      <c r="B407" s="4" t="n"/>
      <c r="C407" s="4" t="n"/>
      <c r="D407" s="4" t="n"/>
      <c r="E407" s="4" t="n"/>
      <c r="F407" s="4" t="n"/>
      <c r="G407">
        <f>IF(B407="","",IFERROR(INDEX(Products!$B:$B,MATCH(B407,Products!$A:$A,0)),"SKU not found"))</f>
        <v/>
      </c>
    </row>
    <row r="408">
      <c r="A408" s="7" t="n"/>
      <c r="B408" s="4" t="n"/>
      <c r="C408" s="4" t="n"/>
      <c r="D408" s="4" t="n"/>
      <c r="E408" s="4" t="n"/>
      <c r="F408" s="4" t="n"/>
      <c r="G408">
        <f>IF(B408="","",IFERROR(INDEX(Products!$B:$B,MATCH(B408,Products!$A:$A,0)),"SKU not found"))</f>
        <v/>
      </c>
    </row>
    <row r="409">
      <c r="A409" s="7" t="n"/>
      <c r="B409" s="4" t="n"/>
      <c r="C409" s="4" t="n"/>
      <c r="D409" s="4" t="n"/>
      <c r="E409" s="4" t="n"/>
      <c r="F409" s="4" t="n"/>
      <c r="G409">
        <f>IF(B409="","",IFERROR(INDEX(Products!$B:$B,MATCH(B409,Products!$A:$A,0)),"SKU not found"))</f>
        <v/>
      </c>
    </row>
    <row r="410">
      <c r="A410" s="7" t="n"/>
      <c r="B410" s="4" t="n"/>
      <c r="C410" s="4" t="n"/>
      <c r="D410" s="4" t="n"/>
      <c r="E410" s="4" t="n"/>
      <c r="F410" s="4" t="n"/>
      <c r="G410">
        <f>IF(B410="","",IFERROR(INDEX(Products!$B:$B,MATCH(B410,Products!$A:$A,0)),"SKU not found"))</f>
        <v/>
      </c>
    </row>
    <row r="411">
      <c r="A411" s="7" t="n"/>
      <c r="B411" s="4" t="n"/>
      <c r="C411" s="4" t="n"/>
      <c r="D411" s="4" t="n"/>
      <c r="E411" s="4" t="n"/>
      <c r="F411" s="4" t="n"/>
      <c r="G411">
        <f>IF(B411="","",IFERROR(INDEX(Products!$B:$B,MATCH(B411,Products!$A:$A,0)),"SKU not found"))</f>
        <v/>
      </c>
    </row>
    <row r="412">
      <c r="A412" s="7" t="n"/>
      <c r="B412" s="4" t="n"/>
      <c r="C412" s="4" t="n"/>
      <c r="D412" s="4" t="n"/>
      <c r="E412" s="4" t="n"/>
      <c r="F412" s="4" t="n"/>
      <c r="G412">
        <f>IF(B412="","",IFERROR(INDEX(Products!$B:$B,MATCH(B412,Products!$A:$A,0)),"SKU not found"))</f>
        <v/>
      </c>
    </row>
    <row r="413">
      <c r="A413" s="7" t="n"/>
      <c r="B413" s="4" t="n"/>
      <c r="C413" s="4" t="n"/>
      <c r="D413" s="4" t="n"/>
      <c r="E413" s="4" t="n"/>
      <c r="F413" s="4" t="n"/>
      <c r="G413">
        <f>IF(B413="","",IFERROR(INDEX(Products!$B:$B,MATCH(B413,Products!$A:$A,0)),"SKU not found"))</f>
        <v/>
      </c>
    </row>
    <row r="414">
      <c r="A414" s="7" t="n"/>
      <c r="B414" s="4" t="n"/>
      <c r="C414" s="4" t="n"/>
      <c r="D414" s="4" t="n"/>
      <c r="E414" s="4" t="n"/>
      <c r="F414" s="4" t="n"/>
      <c r="G414">
        <f>IF(B414="","",IFERROR(INDEX(Products!$B:$B,MATCH(B414,Products!$A:$A,0)),"SKU not found"))</f>
        <v/>
      </c>
    </row>
    <row r="415">
      <c r="A415" s="7" t="n"/>
      <c r="B415" s="4" t="n"/>
      <c r="C415" s="4" t="n"/>
      <c r="D415" s="4" t="n"/>
      <c r="E415" s="4" t="n"/>
      <c r="F415" s="4" t="n"/>
      <c r="G415">
        <f>IF(B415="","",IFERROR(INDEX(Products!$B:$B,MATCH(B415,Products!$A:$A,0)),"SKU not found"))</f>
        <v/>
      </c>
    </row>
    <row r="416">
      <c r="A416" s="7" t="n"/>
      <c r="B416" s="4" t="n"/>
      <c r="C416" s="4" t="n"/>
      <c r="D416" s="4" t="n"/>
      <c r="E416" s="4" t="n"/>
      <c r="F416" s="4" t="n"/>
      <c r="G416">
        <f>IF(B416="","",IFERROR(INDEX(Products!$B:$B,MATCH(B416,Products!$A:$A,0)),"SKU not found"))</f>
        <v/>
      </c>
    </row>
    <row r="417">
      <c r="A417" s="7" t="n"/>
      <c r="B417" s="4" t="n"/>
      <c r="C417" s="4" t="n"/>
      <c r="D417" s="4" t="n"/>
      <c r="E417" s="4" t="n"/>
      <c r="F417" s="4" t="n"/>
      <c r="G417">
        <f>IF(B417="","",IFERROR(INDEX(Products!$B:$B,MATCH(B417,Products!$A:$A,0)),"SKU not found"))</f>
        <v/>
      </c>
    </row>
    <row r="418">
      <c r="A418" s="7" t="n"/>
      <c r="B418" s="4" t="n"/>
      <c r="C418" s="4" t="n"/>
      <c r="D418" s="4" t="n"/>
      <c r="E418" s="4" t="n"/>
      <c r="F418" s="4" t="n"/>
      <c r="G418">
        <f>IF(B418="","",IFERROR(INDEX(Products!$B:$B,MATCH(B418,Products!$A:$A,0)),"SKU not found"))</f>
        <v/>
      </c>
    </row>
    <row r="419">
      <c r="A419" s="7" t="n"/>
      <c r="B419" s="4" t="n"/>
      <c r="C419" s="4" t="n"/>
      <c r="D419" s="4" t="n"/>
      <c r="E419" s="4" t="n"/>
      <c r="F419" s="4" t="n"/>
      <c r="G419">
        <f>IF(B419="","",IFERROR(INDEX(Products!$B:$B,MATCH(B419,Products!$A:$A,0)),"SKU not found"))</f>
        <v/>
      </c>
    </row>
    <row r="420">
      <c r="A420" s="7" t="n"/>
      <c r="B420" s="4" t="n"/>
      <c r="C420" s="4" t="n"/>
      <c r="D420" s="4" t="n"/>
      <c r="E420" s="4" t="n"/>
      <c r="F420" s="4" t="n"/>
      <c r="G420">
        <f>IF(B420="","",IFERROR(INDEX(Products!$B:$B,MATCH(B420,Products!$A:$A,0)),"SKU not found"))</f>
        <v/>
      </c>
    </row>
    <row r="421">
      <c r="A421" s="7" t="n"/>
      <c r="B421" s="4" t="n"/>
      <c r="C421" s="4" t="n"/>
      <c r="D421" s="4" t="n"/>
      <c r="E421" s="4" t="n"/>
      <c r="F421" s="4" t="n"/>
      <c r="G421">
        <f>IF(B421="","",IFERROR(INDEX(Products!$B:$B,MATCH(B421,Products!$A:$A,0)),"SKU not found"))</f>
        <v/>
      </c>
    </row>
    <row r="422">
      <c r="A422" s="7" t="n"/>
      <c r="B422" s="4" t="n"/>
      <c r="C422" s="4" t="n"/>
      <c r="D422" s="4" t="n"/>
      <c r="E422" s="4" t="n"/>
      <c r="F422" s="4" t="n"/>
      <c r="G422">
        <f>IF(B422="","",IFERROR(INDEX(Products!$B:$B,MATCH(B422,Products!$A:$A,0)),"SKU not found"))</f>
        <v/>
      </c>
    </row>
    <row r="423">
      <c r="A423" s="7" t="n"/>
      <c r="B423" s="4" t="n"/>
      <c r="C423" s="4" t="n"/>
      <c r="D423" s="4" t="n"/>
      <c r="E423" s="4" t="n"/>
      <c r="F423" s="4" t="n"/>
      <c r="G423">
        <f>IF(B423="","",IFERROR(INDEX(Products!$B:$B,MATCH(B423,Products!$A:$A,0)),"SKU not found"))</f>
        <v/>
      </c>
    </row>
    <row r="424">
      <c r="A424" s="7" t="n"/>
      <c r="B424" s="4" t="n"/>
      <c r="C424" s="4" t="n"/>
      <c r="D424" s="4" t="n"/>
      <c r="E424" s="4" t="n"/>
      <c r="F424" s="4" t="n"/>
      <c r="G424">
        <f>IF(B424="","",IFERROR(INDEX(Products!$B:$B,MATCH(B424,Products!$A:$A,0)),"SKU not found"))</f>
        <v/>
      </c>
    </row>
    <row r="425">
      <c r="A425" s="7" t="n"/>
      <c r="B425" s="4" t="n"/>
      <c r="C425" s="4" t="n"/>
      <c r="D425" s="4" t="n"/>
      <c r="E425" s="4" t="n"/>
      <c r="F425" s="4" t="n"/>
      <c r="G425">
        <f>IF(B425="","",IFERROR(INDEX(Products!$B:$B,MATCH(B425,Products!$A:$A,0)),"SKU not found"))</f>
        <v/>
      </c>
    </row>
    <row r="426">
      <c r="A426" s="7" t="n"/>
      <c r="B426" s="4" t="n"/>
      <c r="C426" s="4" t="n"/>
      <c r="D426" s="4" t="n"/>
      <c r="E426" s="4" t="n"/>
      <c r="F426" s="4" t="n"/>
      <c r="G426">
        <f>IF(B426="","",IFERROR(INDEX(Products!$B:$B,MATCH(B426,Products!$A:$A,0)),"SKU not found"))</f>
        <v/>
      </c>
    </row>
    <row r="427">
      <c r="A427" s="7" t="n"/>
      <c r="B427" s="4" t="n"/>
      <c r="C427" s="4" t="n"/>
      <c r="D427" s="4" t="n"/>
      <c r="E427" s="4" t="n"/>
      <c r="F427" s="4" t="n"/>
      <c r="G427">
        <f>IF(B427="","",IFERROR(INDEX(Products!$B:$B,MATCH(B427,Products!$A:$A,0)),"SKU not found"))</f>
        <v/>
      </c>
    </row>
    <row r="428">
      <c r="A428" s="7" t="n"/>
      <c r="B428" s="4" t="n"/>
      <c r="C428" s="4" t="n"/>
      <c r="D428" s="4" t="n"/>
      <c r="E428" s="4" t="n"/>
      <c r="F428" s="4" t="n"/>
      <c r="G428">
        <f>IF(B428="","",IFERROR(INDEX(Products!$B:$B,MATCH(B428,Products!$A:$A,0)),"SKU not found"))</f>
        <v/>
      </c>
    </row>
    <row r="429">
      <c r="A429" s="7" t="n"/>
      <c r="B429" s="4" t="n"/>
      <c r="C429" s="4" t="n"/>
      <c r="D429" s="4" t="n"/>
      <c r="E429" s="4" t="n"/>
      <c r="F429" s="4" t="n"/>
      <c r="G429">
        <f>IF(B429="","",IFERROR(INDEX(Products!$B:$B,MATCH(B429,Products!$A:$A,0)),"SKU not found"))</f>
        <v/>
      </c>
    </row>
    <row r="430">
      <c r="A430" s="7" t="n"/>
      <c r="B430" s="4" t="n"/>
      <c r="C430" s="4" t="n"/>
      <c r="D430" s="4" t="n"/>
      <c r="E430" s="4" t="n"/>
      <c r="F430" s="4" t="n"/>
      <c r="G430">
        <f>IF(B430="","",IFERROR(INDEX(Products!$B:$B,MATCH(B430,Products!$A:$A,0)),"SKU not found"))</f>
        <v/>
      </c>
    </row>
    <row r="431">
      <c r="A431" s="7" t="n"/>
      <c r="B431" s="4" t="n"/>
      <c r="C431" s="4" t="n"/>
      <c r="D431" s="4" t="n"/>
      <c r="E431" s="4" t="n"/>
      <c r="F431" s="4" t="n"/>
      <c r="G431">
        <f>IF(B431="","",IFERROR(INDEX(Products!$B:$B,MATCH(B431,Products!$A:$A,0)),"SKU not found"))</f>
        <v/>
      </c>
    </row>
    <row r="432">
      <c r="A432" s="7" t="n"/>
      <c r="B432" s="4" t="n"/>
      <c r="C432" s="4" t="n"/>
      <c r="D432" s="4" t="n"/>
      <c r="E432" s="4" t="n"/>
      <c r="F432" s="4" t="n"/>
      <c r="G432">
        <f>IF(B432="","",IFERROR(INDEX(Products!$B:$B,MATCH(B432,Products!$A:$A,0)),"SKU not found"))</f>
        <v/>
      </c>
    </row>
    <row r="433">
      <c r="A433" s="7" t="n"/>
      <c r="B433" s="4" t="n"/>
      <c r="C433" s="4" t="n"/>
      <c r="D433" s="4" t="n"/>
      <c r="E433" s="4" t="n"/>
      <c r="F433" s="4" t="n"/>
      <c r="G433">
        <f>IF(B433="","",IFERROR(INDEX(Products!$B:$B,MATCH(B433,Products!$A:$A,0)),"SKU not found"))</f>
        <v/>
      </c>
    </row>
    <row r="434">
      <c r="A434" s="7" t="n"/>
      <c r="B434" s="4" t="n"/>
      <c r="C434" s="4" t="n"/>
      <c r="D434" s="4" t="n"/>
      <c r="E434" s="4" t="n"/>
      <c r="F434" s="4" t="n"/>
      <c r="G434">
        <f>IF(B434="","",IFERROR(INDEX(Products!$B:$B,MATCH(B434,Products!$A:$A,0)),"SKU not found"))</f>
        <v/>
      </c>
    </row>
    <row r="435">
      <c r="A435" s="7" t="n"/>
      <c r="B435" s="4" t="n"/>
      <c r="C435" s="4" t="n"/>
      <c r="D435" s="4" t="n"/>
      <c r="E435" s="4" t="n"/>
      <c r="F435" s="4" t="n"/>
      <c r="G435">
        <f>IF(B435="","",IFERROR(INDEX(Products!$B:$B,MATCH(B435,Products!$A:$A,0)),"SKU not found"))</f>
        <v/>
      </c>
    </row>
    <row r="436">
      <c r="A436" s="7" t="n"/>
      <c r="B436" s="4" t="n"/>
      <c r="C436" s="4" t="n"/>
      <c r="D436" s="4" t="n"/>
      <c r="E436" s="4" t="n"/>
      <c r="F436" s="4" t="n"/>
      <c r="G436">
        <f>IF(B436="","",IFERROR(INDEX(Products!$B:$B,MATCH(B436,Products!$A:$A,0)),"SKU not found"))</f>
        <v/>
      </c>
    </row>
    <row r="437">
      <c r="A437" s="7" t="n"/>
      <c r="B437" s="4" t="n"/>
      <c r="C437" s="4" t="n"/>
      <c r="D437" s="4" t="n"/>
      <c r="E437" s="4" t="n"/>
      <c r="F437" s="4" t="n"/>
      <c r="G437">
        <f>IF(B437="","",IFERROR(INDEX(Products!$B:$B,MATCH(B437,Products!$A:$A,0)),"SKU not found"))</f>
        <v/>
      </c>
    </row>
    <row r="438">
      <c r="A438" s="7" t="n"/>
      <c r="B438" s="4" t="n"/>
      <c r="C438" s="4" t="n"/>
      <c r="D438" s="4" t="n"/>
      <c r="E438" s="4" t="n"/>
      <c r="F438" s="4" t="n"/>
      <c r="G438">
        <f>IF(B438="","",IFERROR(INDEX(Products!$B:$B,MATCH(B438,Products!$A:$A,0)),"SKU not found"))</f>
        <v/>
      </c>
    </row>
    <row r="439">
      <c r="A439" s="7" t="n"/>
      <c r="B439" s="4" t="n"/>
      <c r="C439" s="4" t="n"/>
      <c r="D439" s="4" t="n"/>
      <c r="E439" s="4" t="n"/>
      <c r="F439" s="4" t="n"/>
      <c r="G439">
        <f>IF(B439="","",IFERROR(INDEX(Products!$B:$B,MATCH(B439,Products!$A:$A,0)),"SKU not found"))</f>
        <v/>
      </c>
    </row>
    <row r="440">
      <c r="A440" s="7" t="n"/>
      <c r="B440" s="4" t="n"/>
      <c r="C440" s="4" t="n"/>
      <c r="D440" s="4" t="n"/>
      <c r="E440" s="4" t="n"/>
      <c r="F440" s="4" t="n"/>
      <c r="G440">
        <f>IF(B440="","",IFERROR(INDEX(Products!$B:$B,MATCH(B440,Products!$A:$A,0)),"SKU not found"))</f>
        <v/>
      </c>
    </row>
    <row r="441">
      <c r="A441" s="7" t="n"/>
      <c r="B441" s="4" t="n"/>
      <c r="C441" s="4" t="n"/>
      <c r="D441" s="4" t="n"/>
      <c r="E441" s="4" t="n"/>
      <c r="F441" s="4" t="n"/>
      <c r="G441">
        <f>IF(B441="","",IFERROR(INDEX(Products!$B:$B,MATCH(B441,Products!$A:$A,0)),"SKU not found"))</f>
        <v/>
      </c>
    </row>
    <row r="442">
      <c r="A442" s="7" t="n"/>
      <c r="B442" s="4" t="n"/>
      <c r="C442" s="4" t="n"/>
      <c r="D442" s="4" t="n"/>
      <c r="E442" s="4" t="n"/>
      <c r="F442" s="4" t="n"/>
      <c r="G442">
        <f>IF(B442="","",IFERROR(INDEX(Products!$B:$B,MATCH(B442,Products!$A:$A,0)),"SKU not found"))</f>
        <v/>
      </c>
    </row>
    <row r="443">
      <c r="A443" s="7" t="n"/>
      <c r="B443" s="4" t="n"/>
      <c r="C443" s="4" t="n"/>
      <c r="D443" s="4" t="n"/>
      <c r="E443" s="4" t="n"/>
      <c r="F443" s="4" t="n"/>
      <c r="G443">
        <f>IF(B443="","",IFERROR(INDEX(Products!$B:$B,MATCH(B443,Products!$A:$A,0)),"SKU not found"))</f>
        <v/>
      </c>
    </row>
    <row r="444">
      <c r="A444" s="7" t="n"/>
      <c r="B444" s="4" t="n"/>
      <c r="C444" s="4" t="n"/>
      <c r="D444" s="4" t="n"/>
      <c r="E444" s="4" t="n"/>
      <c r="F444" s="4" t="n"/>
      <c r="G444">
        <f>IF(B444="","",IFERROR(INDEX(Products!$B:$B,MATCH(B444,Products!$A:$A,0)),"SKU not found"))</f>
        <v/>
      </c>
    </row>
    <row r="445">
      <c r="A445" s="7" t="n"/>
      <c r="B445" s="4" t="n"/>
      <c r="C445" s="4" t="n"/>
      <c r="D445" s="4" t="n"/>
      <c r="E445" s="4" t="n"/>
      <c r="F445" s="4" t="n"/>
      <c r="G445">
        <f>IF(B445="","",IFERROR(INDEX(Products!$B:$B,MATCH(B445,Products!$A:$A,0)),"SKU not found"))</f>
        <v/>
      </c>
    </row>
    <row r="446">
      <c r="A446" s="7" t="n"/>
      <c r="B446" s="4" t="n"/>
      <c r="C446" s="4" t="n"/>
      <c r="D446" s="4" t="n"/>
      <c r="E446" s="4" t="n"/>
      <c r="F446" s="4" t="n"/>
      <c r="G446">
        <f>IF(B446="","",IFERROR(INDEX(Products!$B:$B,MATCH(B446,Products!$A:$A,0)),"SKU not found"))</f>
        <v/>
      </c>
    </row>
    <row r="447">
      <c r="A447" s="7" t="n"/>
      <c r="B447" s="4" t="n"/>
      <c r="C447" s="4" t="n"/>
      <c r="D447" s="4" t="n"/>
      <c r="E447" s="4" t="n"/>
      <c r="F447" s="4" t="n"/>
      <c r="G447">
        <f>IF(B447="","",IFERROR(INDEX(Products!$B:$B,MATCH(B447,Products!$A:$A,0)),"SKU not found"))</f>
        <v/>
      </c>
    </row>
    <row r="448">
      <c r="A448" s="7" t="n"/>
      <c r="B448" s="4" t="n"/>
      <c r="C448" s="4" t="n"/>
      <c r="D448" s="4" t="n"/>
      <c r="E448" s="4" t="n"/>
      <c r="F448" s="4" t="n"/>
      <c r="G448">
        <f>IF(B448="","",IFERROR(INDEX(Products!$B:$B,MATCH(B448,Products!$A:$A,0)),"SKU not found"))</f>
        <v/>
      </c>
    </row>
    <row r="449">
      <c r="A449" s="7" t="n"/>
      <c r="B449" s="4" t="n"/>
      <c r="C449" s="4" t="n"/>
      <c r="D449" s="4" t="n"/>
      <c r="E449" s="4" t="n"/>
      <c r="F449" s="4" t="n"/>
      <c r="G449">
        <f>IF(B449="","",IFERROR(INDEX(Products!$B:$B,MATCH(B449,Products!$A:$A,0)),"SKU not found"))</f>
        <v/>
      </c>
    </row>
    <row r="450">
      <c r="A450" s="7" t="n"/>
      <c r="B450" s="4" t="n"/>
      <c r="C450" s="4" t="n"/>
      <c r="D450" s="4" t="n"/>
      <c r="E450" s="4" t="n"/>
      <c r="F450" s="4" t="n"/>
      <c r="G450">
        <f>IF(B450="","",IFERROR(INDEX(Products!$B:$B,MATCH(B450,Products!$A:$A,0)),"SKU not found"))</f>
        <v/>
      </c>
    </row>
    <row r="451">
      <c r="A451" s="7" t="n"/>
      <c r="B451" s="4" t="n"/>
      <c r="C451" s="4" t="n"/>
      <c r="D451" s="4" t="n"/>
      <c r="E451" s="4" t="n"/>
      <c r="F451" s="4" t="n"/>
      <c r="G451">
        <f>IF(B451="","",IFERROR(INDEX(Products!$B:$B,MATCH(B451,Products!$A:$A,0)),"SKU not found"))</f>
        <v/>
      </c>
    </row>
    <row r="452">
      <c r="A452" s="7" t="n"/>
      <c r="B452" s="4" t="n"/>
      <c r="C452" s="4" t="n"/>
      <c r="D452" s="4" t="n"/>
      <c r="E452" s="4" t="n"/>
      <c r="F452" s="4" t="n"/>
      <c r="G452">
        <f>IF(B452="","",IFERROR(INDEX(Products!$B:$B,MATCH(B452,Products!$A:$A,0)),"SKU not found"))</f>
        <v/>
      </c>
    </row>
    <row r="453">
      <c r="A453" s="7" t="n"/>
      <c r="B453" s="4" t="n"/>
      <c r="C453" s="4" t="n"/>
      <c r="D453" s="4" t="n"/>
      <c r="E453" s="4" t="n"/>
      <c r="F453" s="4" t="n"/>
      <c r="G453">
        <f>IF(B453="","",IFERROR(INDEX(Products!$B:$B,MATCH(B453,Products!$A:$A,0)),"SKU not found"))</f>
        <v/>
      </c>
    </row>
    <row r="454">
      <c r="A454" s="7" t="n"/>
      <c r="B454" s="4" t="n"/>
      <c r="C454" s="4" t="n"/>
      <c r="D454" s="4" t="n"/>
      <c r="E454" s="4" t="n"/>
      <c r="F454" s="4" t="n"/>
      <c r="G454">
        <f>IF(B454="","",IFERROR(INDEX(Products!$B:$B,MATCH(B454,Products!$A:$A,0)),"SKU not found"))</f>
        <v/>
      </c>
    </row>
    <row r="455">
      <c r="A455" s="7" t="n"/>
      <c r="B455" s="4" t="n"/>
      <c r="C455" s="4" t="n"/>
      <c r="D455" s="4" t="n"/>
      <c r="E455" s="4" t="n"/>
      <c r="F455" s="4" t="n"/>
      <c r="G455">
        <f>IF(B455="","",IFERROR(INDEX(Products!$B:$B,MATCH(B455,Products!$A:$A,0)),"SKU not found"))</f>
        <v/>
      </c>
    </row>
    <row r="456">
      <c r="A456" s="7" t="n"/>
      <c r="B456" s="4" t="n"/>
      <c r="C456" s="4" t="n"/>
      <c r="D456" s="4" t="n"/>
      <c r="E456" s="4" t="n"/>
      <c r="F456" s="4" t="n"/>
      <c r="G456">
        <f>IF(B456="","",IFERROR(INDEX(Products!$B:$B,MATCH(B456,Products!$A:$A,0)),"SKU not found"))</f>
        <v/>
      </c>
    </row>
    <row r="457">
      <c r="A457" s="7" t="n"/>
      <c r="B457" s="4" t="n"/>
      <c r="C457" s="4" t="n"/>
      <c r="D457" s="4" t="n"/>
      <c r="E457" s="4" t="n"/>
      <c r="F457" s="4" t="n"/>
      <c r="G457">
        <f>IF(B457="","",IFERROR(INDEX(Products!$B:$B,MATCH(B457,Products!$A:$A,0)),"SKU not found"))</f>
        <v/>
      </c>
    </row>
    <row r="458">
      <c r="A458" s="7" t="n"/>
      <c r="B458" s="4" t="n"/>
      <c r="C458" s="4" t="n"/>
      <c r="D458" s="4" t="n"/>
      <c r="E458" s="4" t="n"/>
      <c r="F458" s="4" t="n"/>
      <c r="G458">
        <f>IF(B458="","",IFERROR(INDEX(Products!$B:$B,MATCH(B458,Products!$A:$A,0)),"SKU not found"))</f>
        <v/>
      </c>
    </row>
    <row r="459">
      <c r="A459" s="7" t="n"/>
      <c r="B459" s="4" t="n"/>
      <c r="C459" s="4" t="n"/>
      <c r="D459" s="4" t="n"/>
      <c r="E459" s="4" t="n"/>
      <c r="F459" s="4" t="n"/>
      <c r="G459">
        <f>IF(B459="","",IFERROR(INDEX(Products!$B:$B,MATCH(B459,Products!$A:$A,0)),"SKU not found"))</f>
        <v/>
      </c>
    </row>
    <row r="460">
      <c r="A460" s="7" t="n"/>
      <c r="B460" s="4" t="n"/>
      <c r="C460" s="4" t="n"/>
      <c r="D460" s="4" t="n"/>
      <c r="E460" s="4" t="n"/>
      <c r="F460" s="4" t="n"/>
      <c r="G460">
        <f>IF(B460="","",IFERROR(INDEX(Products!$B:$B,MATCH(B460,Products!$A:$A,0)),"SKU not found"))</f>
        <v/>
      </c>
    </row>
    <row r="461">
      <c r="A461" s="7" t="n"/>
      <c r="B461" s="4" t="n"/>
      <c r="C461" s="4" t="n"/>
      <c r="D461" s="4" t="n"/>
      <c r="E461" s="4" t="n"/>
      <c r="F461" s="4" t="n"/>
      <c r="G461">
        <f>IF(B461="","",IFERROR(INDEX(Products!$B:$B,MATCH(B461,Products!$A:$A,0)),"SKU not found"))</f>
        <v/>
      </c>
    </row>
    <row r="462">
      <c r="A462" s="7" t="n"/>
      <c r="B462" s="4" t="n"/>
      <c r="C462" s="4" t="n"/>
      <c r="D462" s="4" t="n"/>
      <c r="E462" s="4" t="n"/>
      <c r="F462" s="4" t="n"/>
      <c r="G462">
        <f>IF(B462="","",IFERROR(INDEX(Products!$B:$B,MATCH(B462,Products!$A:$A,0)),"SKU not found"))</f>
        <v/>
      </c>
    </row>
    <row r="463">
      <c r="A463" s="7" t="n"/>
      <c r="B463" s="4" t="n"/>
      <c r="C463" s="4" t="n"/>
      <c r="D463" s="4" t="n"/>
      <c r="E463" s="4" t="n"/>
      <c r="F463" s="4" t="n"/>
      <c r="G463">
        <f>IF(B463="","",IFERROR(INDEX(Products!$B:$B,MATCH(B463,Products!$A:$A,0)),"SKU not found"))</f>
        <v/>
      </c>
    </row>
    <row r="464">
      <c r="A464" s="7" t="n"/>
      <c r="B464" s="4" t="n"/>
      <c r="C464" s="4" t="n"/>
      <c r="D464" s="4" t="n"/>
      <c r="E464" s="4" t="n"/>
      <c r="F464" s="4" t="n"/>
      <c r="G464">
        <f>IF(B464="","",IFERROR(INDEX(Products!$B:$B,MATCH(B464,Products!$A:$A,0)),"SKU not found"))</f>
        <v/>
      </c>
    </row>
    <row r="465">
      <c r="A465" s="7" t="n"/>
      <c r="B465" s="4" t="n"/>
      <c r="C465" s="4" t="n"/>
      <c r="D465" s="4" t="n"/>
      <c r="E465" s="4" t="n"/>
      <c r="F465" s="4" t="n"/>
      <c r="G465">
        <f>IF(B465="","",IFERROR(INDEX(Products!$B:$B,MATCH(B465,Products!$A:$A,0)),"SKU not found"))</f>
        <v/>
      </c>
    </row>
    <row r="466">
      <c r="A466" s="7" t="n"/>
      <c r="B466" s="4" t="n"/>
      <c r="C466" s="4" t="n"/>
      <c r="D466" s="4" t="n"/>
      <c r="E466" s="4" t="n"/>
      <c r="F466" s="4" t="n"/>
      <c r="G466">
        <f>IF(B466="","",IFERROR(INDEX(Products!$B:$B,MATCH(B466,Products!$A:$A,0)),"SKU not found"))</f>
        <v/>
      </c>
    </row>
    <row r="467">
      <c r="A467" s="7" t="n"/>
      <c r="B467" s="4" t="n"/>
      <c r="C467" s="4" t="n"/>
      <c r="D467" s="4" t="n"/>
      <c r="E467" s="4" t="n"/>
      <c r="F467" s="4" t="n"/>
      <c r="G467">
        <f>IF(B467="","",IFERROR(INDEX(Products!$B:$B,MATCH(B467,Products!$A:$A,0)),"SKU not found"))</f>
        <v/>
      </c>
    </row>
    <row r="468">
      <c r="A468" s="7" t="n"/>
      <c r="B468" s="4" t="n"/>
      <c r="C468" s="4" t="n"/>
      <c r="D468" s="4" t="n"/>
      <c r="E468" s="4" t="n"/>
      <c r="F468" s="4" t="n"/>
      <c r="G468">
        <f>IF(B468="","",IFERROR(INDEX(Products!$B:$B,MATCH(B468,Products!$A:$A,0)),"SKU not found"))</f>
        <v/>
      </c>
    </row>
    <row r="469">
      <c r="A469" s="7" t="n"/>
      <c r="B469" s="4" t="n"/>
      <c r="C469" s="4" t="n"/>
      <c r="D469" s="4" t="n"/>
      <c r="E469" s="4" t="n"/>
      <c r="F469" s="4" t="n"/>
      <c r="G469">
        <f>IF(B469="","",IFERROR(INDEX(Products!$B:$B,MATCH(B469,Products!$A:$A,0)),"SKU not found"))</f>
        <v/>
      </c>
    </row>
    <row r="470">
      <c r="A470" s="7" t="n"/>
      <c r="B470" s="4" t="n"/>
      <c r="C470" s="4" t="n"/>
      <c r="D470" s="4" t="n"/>
      <c r="E470" s="4" t="n"/>
      <c r="F470" s="4" t="n"/>
      <c r="G470">
        <f>IF(B470="","",IFERROR(INDEX(Products!$B:$B,MATCH(B470,Products!$A:$A,0)),"SKU not found"))</f>
        <v/>
      </c>
    </row>
    <row r="471">
      <c r="A471" s="7" t="n"/>
      <c r="B471" s="4" t="n"/>
      <c r="C471" s="4" t="n"/>
      <c r="D471" s="4" t="n"/>
      <c r="E471" s="4" t="n"/>
      <c r="F471" s="4" t="n"/>
      <c r="G471">
        <f>IF(B471="","",IFERROR(INDEX(Products!$B:$B,MATCH(B471,Products!$A:$A,0)),"SKU not found"))</f>
        <v/>
      </c>
    </row>
    <row r="472">
      <c r="A472" s="7" t="n"/>
      <c r="B472" s="4" t="n"/>
      <c r="C472" s="4" t="n"/>
      <c r="D472" s="4" t="n"/>
      <c r="E472" s="4" t="n"/>
      <c r="F472" s="4" t="n"/>
      <c r="G472">
        <f>IF(B472="","",IFERROR(INDEX(Products!$B:$B,MATCH(B472,Products!$A:$A,0)),"SKU not found"))</f>
        <v/>
      </c>
    </row>
    <row r="473">
      <c r="A473" s="7" t="n"/>
      <c r="B473" s="4" t="n"/>
      <c r="C473" s="4" t="n"/>
      <c r="D473" s="4" t="n"/>
      <c r="E473" s="4" t="n"/>
      <c r="F473" s="4" t="n"/>
      <c r="G473">
        <f>IF(B473="","",IFERROR(INDEX(Products!$B:$B,MATCH(B473,Products!$A:$A,0)),"SKU not found"))</f>
        <v/>
      </c>
    </row>
    <row r="474">
      <c r="A474" s="7" t="n"/>
      <c r="B474" s="4" t="n"/>
      <c r="C474" s="4" t="n"/>
      <c r="D474" s="4" t="n"/>
      <c r="E474" s="4" t="n"/>
      <c r="F474" s="4" t="n"/>
      <c r="G474">
        <f>IF(B474="","",IFERROR(INDEX(Products!$B:$B,MATCH(B474,Products!$A:$A,0)),"SKU not found"))</f>
        <v/>
      </c>
    </row>
    <row r="475">
      <c r="A475" s="7" t="n"/>
      <c r="B475" s="4" t="n"/>
      <c r="C475" s="4" t="n"/>
      <c r="D475" s="4" t="n"/>
      <c r="E475" s="4" t="n"/>
      <c r="F475" s="4" t="n"/>
      <c r="G475">
        <f>IF(B475="","",IFERROR(INDEX(Products!$B:$B,MATCH(B475,Products!$A:$A,0)),"SKU not found"))</f>
        <v/>
      </c>
    </row>
    <row r="476">
      <c r="A476" s="7" t="n"/>
      <c r="B476" s="4" t="n"/>
      <c r="C476" s="4" t="n"/>
      <c r="D476" s="4" t="n"/>
      <c r="E476" s="4" t="n"/>
      <c r="F476" s="4" t="n"/>
      <c r="G476">
        <f>IF(B476="","",IFERROR(INDEX(Products!$B:$B,MATCH(B476,Products!$A:$A,0)),"SKU not found"))</f>
        <v/>
      </c>
    </row>
    <row r="477">
      <c r="A477" s="7" t="n"/>
      <c r="B477" s="4" t="n"/>
      <c r="C477" s="4" t="n"/>
      <c r="D477" s="4" t="n"/>
      <c r="E477" s="4" t="n"/>
      <c r="F477" s="4" t="n"/>
      <c r="G477">
        <f>IF(B477="","",IFERROR(INDEX(Products!$B:$B,MATCH(B477,Products!$A:$A,0)),"SKU not found"))</f>
        <v/>
      </c>
    </row>
    <row r="478">
      <c r="A478" s="7" t="n"/>
      <c r="B478" s="4" t="n"/>
      <c r="C478" s="4" t="n"/>
      <c r="D478" s="4" t="n"/>
      <c r="E478" s="4" t="n"/>
      <c r="F478" s="4" t="n"/>
      <c r="G478">
        <f>IF(B478="","",IFERROR(INDEX(Products!$B:$B,MATCH(B478,Products!$A:$A,0)),"SKU not found"))</f>
        <v/>
      </c>
    </row>
    <row r="479">
      <c r="A479" s="7" t="n"/>
      <c r="B479" s="4" t="n"/>
      <c r="C479" s="4" t="n"/>
      <c r="D479" s="4" t="n"/>
      <c r="E479" s="4" t="n"/>
      <c r="F479" s="4" t="n"/>
      <c r="G479">
        <f>IF(B479="","",IFERROR(INDEX(Products!$B:$B,MATCH(B479,Products!$A:$A,0)),"SKU not found"))</f>
        <v/>
      </c>
    </row>
    <row r="480">
      <c r="A480" s="7" t="n"/>
      <c r="B480" s="4" t="n"/>
      <c r="C480" s="4" t="n"/>
      <c r="D480" s="4" t="n"/>
      <c r="E480" s="4" t="n"/>
      <c r="F480" s="4" t="n"/>
      <c r="G480">
        <f>IF(B480="","",IFERROR(INDEX(Products!$B:$B,MATCH(B480,Products!$A:$A,0)),"SKU not found"))</f>
        <v/>
      </c>
    </row>
    <row r="481">
      <c r="A481" s="7" t="n"/>
      <c r="B481" s="4" t="n"/>
      <c r="C481" s="4" t="n"/>
      <c r="D481" s="4" t="n"/>
      <c r="E481" s="4" t="n"/>
      <c r="F481" s="4" t="n"/>
      <c r="G481">
        <f>IF(B481="","",IFERROR(INDEX(Products!$B:$B,MATCH(B481,Products!$A:$A,0)),"SKU not found"))</f>
        <v/>
      </c>
    </row>
    <row r="482">
      <c r="A482" s="7" t="n"/>
      <c r="B482" s="4" t="n"/>
      <c r="C482" s="4" t="n"/>
      <c r="D482" s="4" t="n"/>
      <c r="E482" s="4" t="n"/>
      <c r="F482" s="4" t="n"/>
      <c r="G482">
        <f>IF(B482="","",IFERROR(INDEX(Products!$B:$B,MATCH(B482,Products!$A:$A,0)),"SKU not found"))</f>
        <v/>
      </c>
    </row>
    <row r="483">
      <c r="A483" s="7" t="n"/>
      <c r="B483" s="4" t="n"/>
      <c r="C483" s="4" t="n"/>
      <c r="D483" s="4" t="n"/>
      <c r="E483" s="4" t="n"/>
      <c r="F483" s="4" t="n"/>
      <c r="G483">
        <f>IF(B483="","",IFERROR(INDEX(Products!$B:$B,MATCH(B483,Products!$A:$A,0)),"SKU not found"))</f>
        <v/>
      </c>
    </row>
    <row r="484">
      <c r="A484" s="7" t="n"/>
      <c r="B484" s="4" t="n"/>
      <c r="C484" s="4" t="n"/>
      <c r="D484" s="4" t="n"/>
      <c r="E484" s="4" t="n"/>
      <c r="F484" s="4" t="n"/>
      <c r="G484">
        <f>IF(B484="","",IFERROR(INDEX(Products!$B:$B,MATCH(B484,Products!$A:$A,0)),"SKU not found"))</f>
        <v/>
      </c>
    </row>
    <row r="485">
      <c r="A485" s="7" t="n"/>
      <c r="B485" s="4" t="n"/>
      <c r="C485" s="4" t="n"/>
      <c r="D485" s="4" t="n"/>
      <c r="E485" s="4" t="n"/>
      <c r="F485" s="4" t="n"/>
      <c r="G485">
        <f>IF(B485="","",IFERROR(INDEX(Products!$B:$B,MATCH(B485,Products!$A:$A,0)),"SKU not found"))</f>
        <v/>
      </c>
    </row>
    <row r="486">
      <c r="A486" s="7" t="n"/>
      <c r="B486" s="4" t="n"/>
      <c r="C486" s="4" t="n"/>
      <c r="D486" s="4" t="n"/>
      <c r="E486" s="4" t="n"/>
      <c r="F486" s="4" t="n"/>
      <c r="G486">
        <f>IF(B486="","",IFERROR(INDEX(Products!$B:$B,MATCH(B486,Products!$A:$A,0)),"SKU not found"))</f>
        <v/>
      </c>
    </row>
    <row r="487">
      <c r="A487" s="7" t="n"/>
      <c r="B487" s="4" t="n"/>
      <c r="C487" s="4" t="n"/>
      <c r="D487" s="4" t="n"/>
      <c r="E487" s="4" t="n"/>
      <c r="F487" s="4" t="n"/>
      <c r="G487">
        <f>IF(B487="","",IFERROR(INDEX(Products!$B:$B,MATCH(B487,Products!$A:$A,0)),"SKU not found"))</f>
        <v/>
      </c>
    </row>
    <row r="488">
      <c r="A488" s="7" t="n"/>
      <c r="B488" s="4" t="n"/>
      <c r="C488" s="4" t="n"/>
      <c r="D488" s="4" t="n"/>
      <c r="E488" s="4" t="n"/>
      <c r="F488" s="4" t="n"/>
      <c r="G488">
        <f>IF(B488="","",IFERROR(INDEX(Products!$B:$B,MATCH(B488,Products!$A:$A,0)),"SKU not found"))</f>
        <v/>
      </c>
    </row>
    <row r="489">
      <c r="A489" s="7" t="n"/>
      <c r="B489" s="4" t="n"/>
      <c r="C489" s="4" t="n"/>
      <c r="D489" s="4" t="n"/>
      <c r="E489" s="4" t="n"/>
      <c r="F489" s="4" t="n"/>
      <c r="G489">
        <f>IF(B489="","",IFERROR(INDEX(Products!$B:$B,MATCH(B489,Products!$A:$A,0)),"SKU not found"))</f>
        <v/>
      </c>
    </row>
    <row r="490">
      <c r="A490" s="7" t="n"/>
      <c r="B490" s="4" t="n"/>
      <c r="C490" s="4" t="n"/>
      <c r="D490" s="4" t="n"/>
      <c r="E490" s="4" t="n"/>
      <c r="F490" s="4" t="n"/>
      <c r="G490">
        <f>IF(B490="","",IFERROR(INDEX(Products!$B:$B,MATCH(B490,Products!$A:$A,0)),"SKU not found"))</f>
        <v/>
      </c>
    </row>
    <row r="491">
      <c r="A491" s="7" t="n"/>
      <c r="B491" s="4" t="n"/>
      <c r="C491" s="4" t="n"/>
      <c r="D491" s="4" t="n"/>
      <c r="E491" s="4" t="n"/>
      <c r="F491" s="4" t="n"/>
      <c r="G491">
        <f>IF(B491="","",IFERROR(INDEX(Products!$B:$B,MATCH(B491,Products!$A:$A,0)),"SKU not found"))</f>
        <v/>
      </c>
    </row>
    <row r="492">
      <c r="A492" s="7" t="n"/>
      <c r="B492" s="4" t="n"/>
      <c r="C492" s="4" t="n"/>
      <c r="D492" s="4" t="n"/>
      <c r="E492" s="4" t="n"/>
      <c r="F492" s="4" t="n"/>
      <c r="G492">
        <f>IF(B492="","",IFERROR(INDEX(Products!$B:$B,MATCH(B492,Products!$A:$A,0)),"SKU not found"))</f>
        <v/>
      </c>
    </row>
    <row r="493">
      <c r="A493" s="7" t="n"/>
      <c r="B493" s="4" t="n"/>
      <c r="C493" s="4" t="n"/>
      <c r="D493" s="4" t="n"/>
      <c r="E493" s="4" t="n"/>
      <c r="F493" s="4" t="n"/>
      <c r="G493">
        <f>IF(B493="","",IFERROR(INDEX(Products!$B:$B,MATCH(B493,Products!$A:$A,0)),"SKU not found"))</f>
        <v/>
      </c>
    </row>
    <row r="494">
      <c r="A494" s="7" t="n"/>
      <c r="B494" s="4" t="n"/>
      <c r="C494" s="4" t="n"/>
      <c r="D494" s="4" t="n"/>
      <c r="E494" s="4" t="n"/>
      <c r="F494" s="4" t="n"/>
      <c r="G494">
        <f>IF(B494="","",IFERROR(INDEX(Products!$B:$B,MATCH(B494,Products!$A:$A,0)),"SKU not found"))</f>
        <v/>
      </c>
    </row>
    <row r="495">
      <c r="A495" s="7" t="n"/>
      <c r="B495" s="4" t="n"/>
      <c r="C495" s="4" t="n"/>
      <c r="D495" s="4" t="n"/>
      <c r="E495" s="4" t="n"/>
      <c r="F495" s="4" t="n"/>
      <c r="G495">
        <f>IF(B495="","",IFERROR(INDEX(Products!$B:$B,MATCH(B495,Products!$A:$A,0)),"SKU not found"))</f>
        <v/>
      </c>
    </row>
    <row r="496">
      <c r="A496" s="7" t="n"/>
      <c r="B496" s="4" t="n"/>
      <c r="C496" s="4" t="n"/>
      <c r="D496" s="4" t="n"/>
      <c r="E496" s="4" t="n"/>
      <c r="F496" s="4" t="n"/>
      <c r="G496">
        <f>IF(B496="","",IFERROR(INDEX(Products!$B:$B,MATCH(B496,Products!$A:$A,0)),"SKU not found"))</f>
        <v/>
      </c>
    </row>
    <row r="497">
      <c r="A497" s="7" t="n"/>
      <c r="B497" s="4" t="n"/>
      <c r="C497" s="4" t="n"/>
      <c r="D497" s="4" t="n"/>
      <c r="E497" s="4" t="n"/>
      <c r="F497" s="4" t="n"/>
      <c r="G497">
        <f>IF(B497="","",IFERROR(INDEX(Products!$B:$B,MATCH(B497,Products!$A:$A,0)),"SKU not found"))</f>
        <v/>
      </c>
    </row>
    <row r="498">
      <c r="A498" s="7" t="n"/>
      <c r="B498" s="4" t="n"/>
      <c r="C498" s="4" t="n"/>
      <c r="D498" s="4" t="n"/>
      <c r="E498" s="4" t="n"/>
      <c r="F498" s="4" t="n"/>
      <c r="G498">
        <f>IF(B498="","",IFERROR(INDEX(Products!$B:$B,MATCH(B498,Products!$A:$A,0)),"SKU not found"))</f>
        <v/>
      </c>
    </row>
    <row r="499">
      <c r="A499" s="7" t="n"/>
      <c r="B499" s="4" t="n"/>
      <c r="C499" s="4" t="n"/>
      <c r="D499" s="4" t="n"/>
      <c r="E499" s="4" t="n"/>
      <c r="F499" s="4" t="n"/>
      <c r="G499">
        <f>IF(B499="","",IFERROR(INDEX(Products!$B:$B,MATCH(B499,Products!$A:$A,0)),"SKU not found"))</f>
        <v/>
      </c>
    </row>
    <row r="500">
      <c r="A500" s="7" t="n"/>
      <c r="B500" s="4" t="n"/>
      <c r="C500" s="4" t="n"/>
      <c r="D500" s="4" t="n"/>
      <c r="E500" s="4" t="n"/>
      <c r="F500" s="4" t="n"/>
      <c r="G500">
        <f>IF(B500="","",IFERROR(INDEX(Products!$B:$B,MATCH(B500,Products!$A:$A,0)),"SKU not found"))</f>
        <v/>
      </c>
    </row>
    <row r="501">
      <c r="A501" s="7" t="n"/>
      <c r="B501" s="4" t="n"/>
      <c r="C501" s="4" t="n"/>
      <c r="D501" s="4" t="n"/>
      <c r="E501" s="4" t="n"/>
      <c r="F501" s="4" t="n"/>
      <c r="G501">
        <f>IF(B501="","",IFERROR(INDEX(Products!$B:$B,MATCH(B501,Products!$A:$A,0)),"SKU not found"))</f>
        <v/>
      </c>
    </row>
    <row r="502">
      <c r="A502" s="7" t="n"/>
      <c r="B502" s="4" t="n"/>
      <c r="C502" s="4" t="n"/>
      <c r="D502" s="4" t="n"/>
      <c r="E502" s="4" t="n"/>
      <c r="F502" s="4" t="n"/>
      <c r="G502">
        <f>IF(B502="","",IFERROR(INDEX(Products!$B:$B,MATCH(B502,Products!$A:$A,0)),"SKU not found"))</f>
        <v/>
      </c>
    </row>
    <row r="503">
      <c r="A503" s="7" t="n"/>
      <c r="B503" s="4" t="n"/>
      <c r="C503" s="4" t="n"/>
      <c r="D503" s="4" t="n"/>
      <c r="E503" s="4" t="n"/>
      <c r="F503" s="4" t="n"/>
      <c r="G503">
        <f>IF(B503="","",IFERROR(INDEX(Products!$B:$B,MATCH(B503,Products!$A:$A,0)),"SKU not found"))</f>
        <v/>
      </c>
    </row>
    <row r="504">
      <c r="A504" s="7" t="n"/>
      <c r="B504" s="4" t="n"/>
      <c r="C504" s="4" t="n"/>
      <c r="D504" s="4" t="n"/>
      <c r="E504" s="4" t="n"/>
      <c r="F504" s="4" t="n"/>
      <c r="G504">
        <f>IF(B504="","",IFERROR(INDEX(Products!$B:$B,MATCH(B504,Products!$A:$A,0)),"SKU not found"))</f>
        <v/>
      </c>
    </row>
    <row r="505">
      <c r="A505" s="7" t="n"/>
      <c r="B505" s="4" t="n"/>
      <c r="C505" s="4" t="n"/>
      <c r="D505" s="4" t="n"/>
      <c r="E505" s="4" t="n"/>
      <c r="F505" s="4" t="n"/>
      <c r="G505">
        <f>IF(B505="","",IFERROR(INDEX(Products!$B:$B,MATCH(B505,Products!$A:$A,0)),"SKU not found"))</f>
        <v/>
      </c>
    </row>
    <row r="506">
      <c r="A506" s="7" t="n"/>
      <c r="B506" s="4" t="n"/>
      <c r="C506" s="4" t="n"/>
      <c r="D506" s="4" t="n"/>
      <c r="E506" s="4" t="n"/>
      <c r="F506" s="4" t="n"/>
      <c r="G506">
        <f>IF(B506="","",IFERROR(INDEX(Products!$B:$B,MATCH(B506,Products!$A:$A,0)),"SKU not found"))</f>
        <v/>
      </c>
    </row>
    <row r="507">
      <c r="A507" s="7" t="n"/>
      <c r="B507" s="4" t="n"/>
      <c r="C507" s="4" t="n"/>
      <c r="D507" s="4" t="n"/>
      <c r="E507" s="4" t="n"/>
      <c r="F507" s="4" t="n"/>
      <c r="G507">
        <f>IF(B507="","",IFERROR(INDEX(Products!$B:$B,MATCH(B507,Products!$A:$A,0)),"SKU not found"))</f>
        <v/>
      </c>
    </row>
    <row r="508">
      <c r="A508" s="7" t="n"/>
      <c r="B508" s="4" t="n"/>
      <c r="C508" s="4" t="n"/>
      <c r="D508" s="4" t="n"/>
      <c r="E508" s="4" t="n"/>
      <c r="F508" s="4" t="n"/>
      <c r="G508">
        <f>IF(B508="","",IFERROR(INDEX(Products!$B:$B,MATCH(B508,Products!$A:$A,0)),"SKU not found"))</f>
        <v/>
      </c>
    </row>
    <row r="509">
      <c r="A509" s="7" t="n"/>
      <c r="B509" s="4" t="n"/>
      <c r="C509" s="4" t="n"/>
      <c r="D509" s="4" t="n"/>
      <c r="E509" s="4" t="n"/>
      <c r="F509" s="4" t="n"/>
      <c r="G509">
        <f>IF(B509="","",IFERROR(INDEX(Products!$B:$B,MATCH(B509,Products!$A:$A,0)),"SKU not found"))</f>
        <v/>
      </c>
    </row>
    <row r="510">
      <c r="A510" s="7" t="n"/>
      <c r="B510" s="4" t="n"/>
      <c r="C510" s="4" t="n"/>
      <c r="D510" s="4" t="n"/>
      <c r="E510" s="4" t="n"/>
      <c r="F510" s="4" t="n"/>
      <c r="G510">
        <f>IF(B510="","",IFERROR(INDEX(Products!$B:$B,MATCH(B510,Products!$A:$A,0)),"SKU not found"))</f>
        <v/>
      </c>
    </row>
    <row r="511">
      <c r="A511" s="7" t="n"/>
      <c r="B511" s="4" t="n"/>
      <c r="C511" s="4" t="n"/>
      <c r="D511" s="4" t="n"/>
      <c r="E511" s="4" t="n"/>
      <c r="F511" s="4" t="n"/>
      <c r="G511">
        <f>IF(B511="","",IFERROR(INDEX(Products!$B:$B,MATCH(B511,Products!$A:$A,0)),"SKU not found"))</f>
        <v/>
      </c>
    </row>
    <row r="512">
      <c r="A512" s="7" t="n"/>
      <c r="B512" s="4" t="n"/>
      <c r="C512" s="4" t="n"/>
      <c r="D512" s="4" t="n"/>
      <c r="E512" s="4" t="n"/>
      <c r="F512" s="4" t="n"/>
      <c r="G512">
        <f>IF(B512="","",IFERROR(INDEX(Products!$B:$B,MATCH(B512,Products!$A:$A,0)),"SKU not found"))</f>
        <v/>
      </c>
    </row>
    <row r="513">
      <c r="A513" s="7" t="n"/>
      <c r="B513" s="4" t="n"/>
      <c r="C513" s="4" t="n"/>
      <c r="D513" s="4" t="n"/>
      <c r="E513" s="4" t="n"/>
      <c r="F513" s="4" t="n"/>
      <c r="G513">
        <f>IF(B513="","",IFERROR(INDEX(Products!$B:$B,MATCH(B513,Products!$A:$A,0)),"SKU not found"))</f>
        <v/>
      </c>
    </row>
    <row r="514">
      <c r="A514" s="7" t="n"/>
      <c r="B514" s="4" t="n"/>
      <c r="C514" s="4" t="n"/>
      <c r="D514" s="4" t="n"/>
      <c r="E514" s="4" t="n"/>
      <c r="F514" s="4" t="n"/>
      <c r="G514">
        <f>IF(B514="","",IFERROR(INDEX(Products!$B:$B,MATCH(B514,Products!$A:$A,0)),"SKU not found"))</f>
        <v/>
      </c>
    </row>
    <row r="515">
      <c r="A515" s="7" t="n"/>
      <c r="B515" s="4" t="n"/>
      <c r="C515" s="4" t="n"/>
      <c r="D515" s="4" t="n"/>
      <c r="E515" s="4" t="n"/>
      <c r="F515" s="4" t="n"/>
      <c r="G515">
        <f>IF(B515="","",IFERROR(INDEX(Products!$B:$B,MATCH(B515,Products!$A:$A,0)),"SKU not found"))</f>
        <v/>
      </c>
    </row>
    <row r="516">
      <c r="A516" s="7" t="n"/>
      <c r="B516" s="4" t="n"/>
      <c r="C516" s="4" t="n"/>
      <c r="D516" s="4" t="n"/>
      <c r="E516" s="4" t="n"/>
      <c r="F516" s="4" t="n"/>
      <c r="G516">
        <f>IF(B516="","",IFERROR(INDEX(Products!$B:$B,MATCH(B516,Products!$A:$A,0)),"SKU not found"))</f>
        <v/>
      </c>
    </row>
    <row r="517">
      <c r="A517" s="7" t="n"/>
      <c r="B517" s="4" t="n"/>
      <c r="C517" s="4" t="n"/>
      <c r="D517" s="4" t="n"/>
      <c r="E517" s="4" t="n"/>
      <c r="F517" s="4" t="n"/>
      <c r="G517">
        <f>IF(B517="","",IFERROR(INDEX(Products!$B:$B,MATCH(B517,Products!$A:$A,0)),"SKU not found"))</f>
        <v/>
      </c>
    </row>
    <row r="518">
      <c r="A518" s="7" t="n"/>
      <c r="B518" s="4" t="n"/>
      <c r="C518" s="4" t="n"/>
      <c r="D518" s="4" t="n"/>
      <c r="E518" s="4" t="n"/>
      <c r="F518" s="4" t="n"/>
      <c r="G518">
        <f>IF(B518="","",IFERROR(INDEX(Products!$B:$B,MATCH(B518,Products!$A:$A,0)),"SKU not found"))</f>
        <v/>
      </c>
    </row>
    <row r="519">
      <c r="A519" s="7" t="n"/>
      <c r="B519" s="4" t="n"/>
      <c r="C519" s="4" t="n"/>
      <c r="D519" s="4" t="n"/>
      <c r="E519" s="4" t="n"/>
      <c r="F519" s="4" t="n"/>
      <c r="G519">
        <f>IF(B519="","",IFERROR(INDEX(Products!$B:$B,MATCH(B519,Products!$A:$A,0)),"SKU not found"))</f>
        <v/>
      </c>
    </row>
    <row r="520">
      <c r="A520" s="7" t="n"/>
      <c r="B520" s="4" t="n"/>
      <c r="C520" s="4" t="n"/>
      <c r="D520" s="4" t="n"/>
      <c r="E520" s="4" t="n"/>
      <c r="F520" s="4" t="n"/>
      <c r="G520">
        <f>IF(B520="","",IFERROR(INDEX(Products!$B:$B,MATCH(B520,Products!$A:$A,0)),"SKU not found"))</f>
        <v/>
      </c>
    </row>
    <row r="521">
      <c r="A521" s="7" t="n"/>
      <c r="B521" s="4" t="n"/>
      <c r="C521" s="4" t="n"/>
      <c r="D521" s="4" t="n"/>
      <c r="E521" s="4" t="n"/>
      <c r="F521" s="4" t="n"/>
      <c r="G521">
        <f>IF(B521="","",IFERROR(INDEX(Products!$B:$B,MATCH(B521,Products!$A:$A,0)),"SKU not found"))</f>
        <v/>
      </c>
    </row>
    <row r="522">
      <c r="A522" s="7" t="n"/>
      <c r="B522" s="4" t="n"/>
      <c r="C522" s="4" t="n"/>
      <c r="D522" s="4" t="n"/>
      <c r="E522" s="4" t="n"/>
      <c r="F522" s="4" t="n"/>
      <c r="G522">
        <f>IF(B522="","",IFERROR(INDEX(Products!$B:$B,MATCH(B522,Products!$A:$A,0)),"SKU not found"))</f>
        <v/>
      </c>
    </row>
    <row r="523">
      <c r="A523" s="7" t="n"/>
      <c r="B523" s="4" t="n"/>
      <c r="C523" s="4" t="n"/>
      <c r="D523" s="4" t="n"/>
      <c r="E523" s="4" t="n"/>
      <c r="F523" s="4" t="n"/>
      <c r="G523">
        <f>IF(B523="","",IFERROR(INDEX(Products!$B:$B,MATCH(B523,Products!$A:$A,0)),"SKU not found"))</f>
        <v/>
      </c>
    </row>
    <row r="524">
      <c r="A524" s="7" t="n"/>
      <c r="B524" s="4" t="n"/>
      <c r="C524" s="4" t="n"/>
      <c r="D524" s="4" t="n"/>
      <c r="E524" s="4" t="n"/>
      <c r="F524" s="4" t="n"/>
      <c r="G524">
        <f>IF(B524="","",IFERROR(INDEX(Products!$B:$B,MATCH(B524,Products!$A:$A,0)),"SKU not found"))</f>
        <v/>
      </c>
    </row>
    <row r="525">
      <c r="A525" s="7" t="n"/>
      <c r="B525" s="4" t="n"/>
      <c r="C525" s="4" t="n"/>
      <c r="D525" s="4" t="n"/>
      <c r="E525" s="4" t="n"/>
      <c r="F525" s="4" t="n"/>
      <c r="G525">
        <f>IF(B525="","",IFERROR(INDEX(Products!$B:$B,MATCH(B525,Products!$A:$A,0)),"SKU not found"))</f>
        <v/>
      </c>
    </row>
    <row r="526">
      <c r="A526" s="7" t="n"/>
      <c r="B526" s="4" t="n"/>
      <c r="C526" s="4" t="n"/>
      <c r="D526" s="4" t="n"/>
      <c r="E526" s="4" t="n"/>
      <c r="F526" s="4" t="n"/>
      <c r="G526">
        <f>IF(B526="","",IFERROR(INDEX(Products!$B:$B,MATCH(B526,Products!$A:$A,0)),"SKU not found"))</f>
        <v/>
      </c>
    </row>
    <row r="527">
      <c r="A527" s="7" t="n"/>
      <c r="B527" s="4" t="n"/>
      <c r="C527" s="4" t="n"/>
      <c r="D527" s="4" t="n"/>
      <c r="E527" s="4" t="n"/>
      <c r="F527" s="4" t="n"/>
      <c r="G527">
        <f>IF(B527="","",IFERROR(INDEX(Products!$B:$B,MATCH(B527,Products!$A:$A,0)),"SKU not found"))</f>
        <v/>
      </c>
    </row>
    <row r="528">
      <c r="A528" s="7" t="n"/>
      <c r="B528" s="4" t="n"/>
      <c r="C528" s="4" t="n"/>
      <c r="D528" s="4" t="n"/>
      <c r="E528" s="4" t="n"/>
      <c r="F528" s="4" t="n"/>
      <c r="G528">
        <f>IF(B528="","",IFERROR(INDEX(Products!$B:$B,MATCH(B528,Products!$A:$A,0)),"SKU not found"))</f>
        <v/>
      </c>
    </row>
    <row r="529">
      <c r="A529" s="7" t="n"/>
      <c r="B529" s="4" t="n"/>
      <c r="C529" s="4" t="n"/>
      <c r="D529" s="4" t="n"/>
      <c r="E529" s="4" t="n"/>
      <c r="F529" s="4" t="n"/>
      <c r="G529">
        <f>IF(B529="","",IFERROR(INDEX(Products!$B:$B,MATCH(B529,Products!$A:$A,0)),"SKU not found"))</f>
        <v/>
      </c>
    </row>
    <row r="530">
      <c r="A530" s="7" t="n"/>
      <c r="B530" s="4" t="n"/>
      <c r="C530" s="4" t="n"/>
      <c r="D530" s="4" t="n"/>
      <c r="E530" s="4" t="n"/>
      <c r="F530" s="4" t="n"/>
      <c r="G530">
        <f>IF(B530="","",IFERROR(INDEX(Products!$B:$B,MATCH(B530,Products!$A:$A,0)),"SKU not found"))</f>
        <v/>
      </c>
    </row>
    <row r="531">
      <c r="A531" s="7" t="n"/>
      <c r="B531" s="4" t="n"/>
      <c r="C531" s="4" t="n"/>
      <c r="D531" s="4" t="n"/>
      <c r="E531" s="4" t="n"/>
      <c r="F531" s="4" t="n"/>
      <c r="G531">
        <f>IF(B531="","",IFERROR(INDEX(Products!$B:$B,MATCH(B531,Products!$A:$A,0)),"SKU not found"))</f>
        <v/>
      </c>
    </row>
    <row r="532">
      <c r="A532" s="7" t="n"/>
      <c r="B532" s="4" t="n"/>
      <c r="C532" s="4" t="n"/>
      <c r="D532" s="4" t="n"/>
      <c r="E532" s="4" t="n"/>
      <c r="F532" s="4" t="n"/>
      <c r="G532">
        <f>IF(B532="","",IFERROR(INDEX(Products!$B:$B,MATCH(B532,Products!$A:$A,0)),"SKU not found"))</f>
        <v/>
      </c>
    </row>
    <row r="533">
      <c r="A533" s="7" t="n"/>
      <c r="B533" s="4" t="n"/>
      <c r="C533" s="4" t="n"/>
      <c r="D533" s="4" t="n"/>
      <c r="E533" s="4" t="n"/>
      <c r="F533" s="4" t="n"/>
      <c r="G533">
        <f>IF(B533="","",IFERROR(INDEX(Products!$B:$B,MATCH(B533,Products!$A:$A,0)),"SKU not found"))</f>
        <v/>
      </c>
    </row>
    <row r="534">
      <c r="A534" s="7" t="n"/>
      <c r="B534" s="4" t="n"/>
      <c r="C534" s="4" t="n"/>
      <c r="D534" s="4" t="n"/>
      <c r="E534" s="4" t="n"/>
      <c r="F534" s="4" t="n"/>
      <c r="G534">
        <f>IF(B534="","",IFERROR(INDEX(Products!$B:$B,MATCH(B534,Products!$A:$A,0)),"SKU not found"))</f>
        <v/>
      </c>
    </row>
    <row r="535">
      <c r="A535" s="7" t="n"/>
      <c r="B535" s="4" t="n"/>
      <c r="C535" s="4" t="n"/>
      <c r="D535" s="4" t="n"/>
      <c r="E535" s="4" t="n"/>
      <c r="F535" s="4" t="n"/>
      <c r="G535">
        <f>IF(B535="","",IFERROR(INDEX(Products!$B:$B,MATCH(B535,Products!$A:$A,0)),"SKU not found"))</f>
        <v/>
      </c>
    </row>
    <row r="536">
      <c r="A536" s="7" t="n"/>
      <c r="B536" s="4" t="n"/>
      <c r="C536" s="4" t="n"/>
      <c r="D536" s="4" t="n"/>
      <c r="E536" s="4" t="n"/>
      <c r="F536" s="4" t="n"/>
      <c r="G536">
        <f>IF(B536="","",IFERROR(INDEX(Products!$B:$B,MATCH(B536,Products!$A:$A,0)),"SKU not found"))</f>
        <v/>
      </c>
    </row>
    <row r="537">
      <c r="A537" s="7" t="n"/>
      <c r="B537" s="4" t="n"/>
      <c r="C537" s="4" t="n"/>
      <c r="D537" s="4" t="n"/>
      <c r="E537" s="4" t="n"/>
      <c r="F537" s="4" t="n"/>
      <c r="G537">
        <f>IF(B537="","",IFERROR(INDEX(Products!$B:$B,MATCH(B537,Products!$A:$A,0)),"SKU not found"))</f>
        <v/>
      </c>
    </row>
    <row r="538">
      <c r="A538" s="7" t="n"/>
      <c r="B538" s="4" t="n"/>
      <c r="C538" s="4" t="n"/>
      <c r="D538" s="4" t="n"/>
      <c r="E538" s="4" t="n"/>
      <c r="F538" s="4" t="n"/>
      <c r="G538">
        <f>IF(B538="","",IFERROR(INDEX(Products!$B:$B,MATCH(B538,Products!$A:$A,0)),"SKU not found"))</f>
        <v/>
      </c>
    </row>
    <row r="539">
      <c r="A539" s="7" t="n"/>
      <c r="B539" s="4" t="n"/>
      <c r="C539" s="4" t="n"/>
      <c r="D539" s="4" t="n"/>
      <c r="E539" s="4" t="n"/>
      <c r="F539" s="4" t="n"/>
      <c r="G539">
        <f>IF(B539="","",IFERROR(INDEX(Products!$B:$B,MATCH(B539,Products!$A:$A,0)),"SKU not found"))</f>
        <v/>
      </c>
    </row>
    <row r="540">
      <c r="A540" s="7" t="n"/>
      <c r="B540" s="4" t="n"/>
      <c r="C540" s="4" t="n"/>
      <c r="D540" s="4" t="n"/>
      <c r="E540" s="4" t="n"/>
      <c r="F540" s="4" t="n"/>
      <c r="G540">
        <f>IF(B540="","",IFERROR(INDEX(Products!$B:$B,MATCH(B540,Products!$A:$A,0)),"SKU not found"))</f>
        <v/>
      </c>
    </row>
    <row r="541">
      <c r="A541" s="7" t="n"/>
      <c r="B541" s="4" t="n"/>
      <c r="C541" s="4" t="n"/>
      <c r="D541" s="4" t="n"/>
      <c r="E541" s="4" t="n"/>
      <c r="F541" s="4" t="n"/>
      <c r="G541">
        <f>IF(B541="","",IFERROR(INDEX(Products!$B:$B,MATCH(B541,Products!$A:$A,0)),"SKU not found"))</f>
        <v/>
      </c>
    </row>
    <row r="542">
      <c r="A542" s="7" t="n"/>
      <c r="B542" s="4" t="n"/>
      <c r="C542" s="4" t="n"/>
      <c r="D542" s="4" t="n"/>
      <c r="E542" s="4" t="n"/>
      <c r="F542" s="4" t="n"/>
      <c r="G542">
        <f>IF(B542="","",IFERROR(INDEX(Products!$B:$B,MATCH(B542,Products!$A:$A,0)),"SKU not found"))</f>
        <v/>
      </c>
    </row>
    <row r="543">
      <c r="A543" s="7" t="n"/>
      <c r="B543" s="4" t="n"/>
      <c r="C543" s="4" t="n"/>
      <c r="D543" s="4" t="n"/>
      <c r="E543" s="4" t="n"/>
      <c r="F543" s="4" t="n"/>
      <c r="G543">
        <f>IF(B543="","",IFERROR(INDEX(Products!$B:$B,MATCH(B543,Products!$A:$A,0)),"SKU not found"))</f>
        <v/>
      </c>
    </row>
    <row r="544">
      <c r="A544" s="7" t="n"/>
      <c r="B544" s="4" t="n"/>
      <c r="C544" s="4" t="n"/>
      <c r="D544" s="4" t="n"/>
      <c r="E544" s="4" t="n"/>
      <c r="F544" s="4" t="n"/>
      <c r="G544">
        <f>IF(B544="","",IFERROR(INDEX(Products!$B:$B,MATCH(B544,Products!$A:$A,0)),"SKU not found"))</f>
        <v/>
      </c>
    </row>
    <row r="545">
      <c r="A545" s="7" t="n"/>
      <c r="B545" s="4" t="n"/>
      <c r="C545" s="4" t="n"/>
      <c r="D545" s="4" t="n"/>
      <c r="E545" s="4" t="n"/>
      <c r="F545" s="4" t="n"/>
      <c r="G545">
        <f>IF(B545="","",IFERROR(INDEX(Products!$B:$B,MATCH(B545,Products!$A:$A,0)),"SKU not found"))</f>
        <v/>
      </c>
    </row>
    <row r="546">
      <c r="A546" s="7" t="n"/>
      <c r="B546" s="4" t="n"/>
      <c r="C546" s="4" t="n"/>
      <c r="D546" s="4" t="n"/>
      <c r="E546" s="4" t="n"/>
      <c r="F546" s="4" t="n"/>
      <c r="G546">
        <f>IF(B546="","",IFERROR(INDEX(Products!$B:$B,MATCH(B546,Products!$A:$A,0)),"SKU not found"))</f>
        <v/>
      </c>
    </row>
    <row r="547">
      <c r="A547" s="7" t="n"/>
      <c r="B547" s="4" t="n"/>
      <c r="C547" s="4" t="n"/>
      <c r="D547" s="4" t="n"/>
      <c r="E547" s="4" t="n"/>
      <c r="F547" s="4" t="n"/>
      <c r="G547">
        <f>IF(B547="","",IFERROR(INDEX(Products!$B:$B,MATCH(B547,Products!$A:$A,0)),"SKU not found"))</f>
        <v/>
      </c>
    </row>
    <row r="548">
      <c r="A548" s="7" t="n"/>
      <c r="B548" s="4" t="n"/>
      <c r="C548" s="4" t="n"/>
      <c r="D548" s="4" t="n"/>
      <c r="E548" s="4" t="n"/>
      <c r="F548" s="4" t="n"/>
      <c r="G548">
        <f>IF(B548="","",IFERROR(INDEX(Products!$B:$B,MATCH(B548,Products!$A:$A,0)),"SKU not found"))</f>
        <v/>
      </c>
    </row>
    <row r="549">
      <c r="A549" s="7" t="n"/>
      <c r="B549" s="4" t="n"/>
      <c r="C549" s="4" t="n"/>
      <c r="D549" s="4" t="n"/>
      <c r="E549" s="4" t="n"/>
      <c r="F549" s="4" t="n"/>
      <c r="G549">
        <f>IF(B549="","",IFERROR(INDEX(Products!$B:$B,MATCH(B549,Products!$A:$A,0)),"SKU not found"))</f>
        <v/>
      </c>
    </row>
    <row r="550">
      <c r="A550" s="7" t="n"/>
      <c r="B550" s="4" t="n"/>
      <c r="C550" s="4" t="n"/>
      <c r="D550" s="4" t="n"/>
      <c r="E550" s="4" t="n"/>
      <c r="F550" s="4" t="n"/>
      <c r="G550">
        <f>IF(B550="","",IFERROR(INDEX(Products!$B:$B,MATCH(B550,Products!$A:$A,0)),"SKU not found"))</f>
        <v/>
      </c>
    </row>
    <row r="551">
      <c r="A551" s="7" t="n"/>
      <c r="B551" s="4" t="n"/>
      <c r="C551" s="4" t="n"/>
      <c r="D551" s="4" t="n"/>
      <c r="E551" s="4" t="n"/>
      <c r="F551" s="4" t="n"/>
      <c r="G551">
        <f>IF(B551="","",IFERROR(INDEX(Products!$B:$B,MATCH(B551,Products!$A:$A,0)),"SKU not found"))</f>
        <v/>
      </c>
    </row>
    <row r="552">
      <c r="A552" s="7" t="n"/>
      <c r="B552" s="4" t="n"/>
      <c r="C552" s="4" t="n"/>
      <c r="D552" s="4" t="n"/>
      <c r="E552" s="4" t="n"/>
      <c r="F552" s="4" t="n"/>
      <c r="G552">
        <f>IF(B552="","",IFERROR(INDEX(Products!$B:$B,MATCH(B552,Products!$A:$A,0)),"SKU not found"))</f>
        <v/>
      </c>
    </row>
    <row r="553">
      <c r="A553" s="7" t="n"/>
      <c r="B553" s="4" t="n"/>
      <c r="C553" s="4" t="n"/>
      <c r="D553" s="4" t="n"/>
      <c r="E553" s="4" t="n"/>
      <c r="F553" s="4" t="n"/>
      <c r="G553">
        <f>IF(B553="","",IFERROR(INDEX(Products!$B:$B,MATCH(B553,Products!$A:$A,0)),"SKU not found"))</f>
        <v/>
      </c>
    </row>
    <row r="554">
      <c r="A554" s="7" t="n"/>
      <c r="B554" s="4" t="n"/>
      <c r="C554" s="4" t="n"/>
      <c r="D554" s="4" t="n"/>
      <c r="E554" s="4" t="n"/>
      <c r="F554" s="4" t="n"/>
      <c r="G554">
        <f>IF(B554="","",IFERROR(INDEX(Products!$B:$B,MATCH(B554,Products!$A:$A,0)),"SKU not found"))</f>
        <v/>
      </c>
    </row>
    <row r="555">
      <c r="A555" s="7" t="n"/>
      <c r="B555" s="4" t="n"/>
      <c r="C555" s="4" t="n"/>
      <c r="D555" s="4" t="n"/>
      <c r="E555" s="4" t="n"/>
      <c r="F555" s="4" t="n"/>
      <c r="G555">
        <f>IF(B555="","",IFERROR(INDEX(Products!$B:$B,MATCH(B555,Products!$A:$A,0)),"SKU not found"))</f>
        <v/>
      </c>
    </row>
    <row r="556">
      <c r="A556" s="7" t="n"/>
      <c r="B556" s="4" t="n"/>
      <c r="C556" s="4" t="n"/>
      <c r="D556" s="4" t="n"/>
      <c r="E556" s="4" t="n"/>
      <c r="F556" s="4" t="n"/>
      <c r="G556">
        <f>IF(B556="","",IFERROR(INDEX(Products!$B:$B,MATCH(B556,Products!$A:$A,0)),"SKU not found"))</f>
        <v/>
      </c>
    </row>
    <row r="557">
      <c r="A557" s="7" t="n"/>
      <c r="B557" s="4" t="n"/>
      <c r="C557" s="4" t="n"/>
      <c r="D557" s="4" t="n"/>
      <c r="E557" s="4" t="n"/>
      <c r="F557" s="4" t="n"/>
      <c r="G557">
        <f>IF(B557="","",IFERROR(INDEX(Products!$B:$B,MATCH(B557,Products!$A:$A,0)),"SKU not found"))</f>
        <v/>
      </c>
    </row>
    <row r="558">
      <c r="A558" s="7" t="n"/>
      <c r="B558" s="4" t="n"/>
      <c r="C558" s="4" t="n"/>
      <c r="D558" s="4" t="n"/>
      <c r="E558" s="4" t="n"/>
      <c r="F558" s="4" t="n"/>
      <c r="G558">
        <f>IF(B558="","",IFERROR(INDEX(Products!$B:$B,MATCH(B558,Products!$A:$A,0)),"SKU not found"))</f>
        <v/>
      </c>
    </row>
    <row r="559">
      <c r="A559" s="7" t="n"/>
      <c r="B559" s="4" t="n"/>
      <c r="C559" s="4" t="n"/>
      <c r="D559" s="4" t="n"/>
      <c r="E559" s="4" t="n"/>
      <c r="F559" s="4" t="n"/>
      <c r="G559">
        <f>IF(B559="","",IFERROR(INDEX(Products!$B:$B,MATCH(B559,Products!$A:$A,0)),"SKU not found"))</f>
        <v/>
      </c>
    </row>
    <row r="560">
      <c r="A560" s="7" t="n"/>
      <c r="B560" s="4" t="n"/>
      <c r="C560" s="4" t="n"/>
      <c r="D560" s="4" t="n"/>
      <c r="E560" s="4" t="n"/>
      <c r="F560" s="4" t="n"/>
      <c r="G560">
        <f>IF(B560="","",IFERROR(INDEX(Products!$B:$B,MATCH(B560,Products!$A:$A,0)),"SKU not found"))</f>
        <v/>
      </c>
    </row>
    <row r="561">
      <c r="A561" s="7" t="n"/>
      <c r="B561" s="4" t="n"/>
      <c r="C561" s="4" t="n"/>
      <c r="D561" s="4" t="n"/>
      <c r="E561" s="4" t="n"/>
      <c r="F561" s="4" t="n"/>
      <c r="G561">
        <f>IF(B561="","",IFERROR(INDEX(Products!$B:$B,MATCH(B561,Products!$A:$A,0)),"SKU not found"))</f>
        <v/>
      </c>
    </row>
    <row r="562">
      <c r="A562" s="7" t="n"/>
      <c r="B562" s="4" t="n"/>
      <c r="C562" s="4" t="n"/>
      <c r="D562" s="4" t="n"/>
      <c r="E562" s="4" t="n"/>
      <c r="F562" s="4" t="n"/>
      <c r="G562">
        <f>IF(B562="","",IFERROR(INDEX(Products!$B:$B,MATCH(B562,Products!$A:$A,0)),"SKU not found"))</f>
        <v/>
      </c>
    </row>
    <row r="563">
      <c r="A563" s="7" t="n"/>
      <c r="B563" s="4" t="n"/>
      <c r="C563" s="4" t="n"/>
      <c r="D563" s="4" t="n"/>
      <c r="E563" s="4" t="n"/>
      <c r="F563" s="4" t="n"/>
      <c r="G563">
        <f>IF(B563="","",IFERROR(INDEX(Products!$B:$B,MATCH(B563,Products!$A:$A,0)),"SKU not found"))</f>
        <v/>
      </c>
    </row>
    <row r="564">
      <c r="A564" s="7" t="n"/>
      <c r="B564" s="4" t="n"/>
      <c r="C564" s="4" t="n"/>
      <c r="D564" s="4" t="n"/>
      <c r="E564" s="4" t="n"/>
      <c r="F564" s="4" t="n"/>
      <c r="G564">
        <f>IF(B564="","",IFERROR(INDEX(Products!$B:$B,MATCH(B564,Products!$A:$A,0)),"SKU not found"))</f>
        <v/>
      </c>
    </row>
    <row r="565">
      <c r="A565" s="7" t="n"/>
      <c r="B565" s="4" t="n"/>
      <c r="C565" s="4" t="n"/>
      <c r="D565" s="4" t="n"/>
      <c r="E565" s="4" t="n"/>
      <c r="F565" s="4" t="n"/>
      <c r="G565">
        <f>IF(B565="","",IFERROR(INDEX(Products!$B:$B,MATCH(B565,Products!$A:$A,0)),"SKU not found"))</f>
        <v/>
      </c>
    </row>
    <row r="566">
      <c r="A566" s="7" t="n"/>
      <c r="B566" s="4" t="n"/>
      <c r="C566" s="4" t="n"/>
      <c r="D566" s="4" t="n"/>
      <c r="E566" s="4" t="n"/>
      <c r="F566" s="4" t="n"/>
      <c r="G566">
        <f>IF(B566="","",IFERROR(INDEX(Products!$B:$B,MATCH(B566,Products!$A:$A,0)),"SKU not found"))</f>
        <v/>
      </c>
    </row>
    <row r="567">
      <c r="A567" s="7" t="n"/>
      <c r="B567" s="4" t="n"/>
      <c r="C567" s="4" t="n"/>
      <c r="D567" s="4" t="n"/>
      <c r="E567" s="4" t="n"/>
      <c r="F567" s="4" t="n"/>
      <c r="G567">
        <f>IF(B567="","",IFERROR(INDEX(Products!$B:$B,MATCH(B567,Products!$A:$A,0)),"SKU not found"))</f>
        <v/>
      </c>
    </row>
    <row r="568">
      <c r="A568" s="7" t="n"/>
      <c r="B568" s="4" t="n"/>
      <c r="C568" s="4" t="n"/>
      <c r="D568" s="4" t="n"/>
      <c r="E568" s="4" t="n"/>
      <c r="F568" s="4" t="n"/>
      <c r="G568">
        <f>IF(B568="","",IFERROR(INDEX(Products!$B:$B,MATCH(B568,Products!$A:$A,0)),"SKU not found"))</f>
        <v/>
      </c>
    </row>
    <row r="569">
      <c r="A569" s="7" t="n"/>
      <c r="B569" s="4" t="n"/>
      <c r="C569" s="4" t="n"/>
      <c r="D569" s="4" t="n"/>
      <c r="E569" s="4" t="n"/>
      <c r="F569" s="4" t="n"/>
      <c r="G569">
        <f>IF(B569="","",IFERROR(INDEX(Products!$B:$B,MATCH(B569,Products!$A:$A,0)),"SKU not found"))</f>
        <v/>
      </c>
    </row>
    <row r="570">
      <c r="A570" s="7" t="n"/>
      <c r="B570" s="4" t="n"/>
      <c r="C570" s="4" t="n"/>
      <c r="D570" s="4" t="n"/>
      <c r="E570" s="4" t="n"/>
      <c r="F570" s="4" t="n"/>
      <c r="G570">
        <f>IF(B570="","",IFERROR(INDEX(Products!$B:$B,MATCH(B570,Products!$A:$A,0)),"SKU not found"))</f>
        <v/>
      </c>
    </row>
    <row r="571">
      <c r="A571" s="7" t="n"/>
      <c r="B571" s="4" t="n"/>
      <c r="C571" s="4" t="n"/>
      <c r="D571" s="4" t="n"/>
      <c r="E571" s="4" t="n"/>
      <c r="F571" s="4" t="n"/>
      <c r="G571">
        <f>IF(B571="","",IFERROR(INDEX(Products!$B:$B,MATCH(B571,Products!$A:$A,0)),"SKU not found"))</f>
        <v/>
      </c>
    </row>
    <row r="572">
      <c r="A572" s="7" t="n"/>
      <c r="B572" s="4" t="n"/>
      <c r="C572" s="4" t="n"/>
      <c r="D572" s="4" t="n"/>
      <c r="E572" s="4" t="n"/>
      <c r="F572" s="4" t="n"/>
      <c r="G572">
        <f>IF(B572="","",IFERROR(INDEX(Products!$B:$B,MATCH(B572,Products!$A:$A,0)),"SKU not found"))</f>
        <v/>
      </c>
    </row>
    <row r="573">
      <c r="A573" s="7" t="n"/>
      <c r="B573" s="4" t="n"/>
      <c r="C573" s="4" t="n"/>
      <c r="D573" s="4" t="n"/>
      <c r="E573" s="4" t="n"/>
      <c r="F573" s="4" t="n"/>
      <c r="G573">
        <f>IF(B573="","",IFERROR(INDEX(Products!$B:$B,MATCH(B573,Products!$A:$A,0)),"SKU not found"))</f>
        <v/>
      </c>
    </row>
    <row r="574">
      <c r="A574" s="7" t="n"/>
      <c r="B574" s="4" t="n"/>
      <c r="C574" s="4" t="n"/>
      <c r="D574" s="4" t="n"/>
      <c r="E574" s="4" t="n"/>
      <c r="F574" s="4" t="n"/>
      <c r="G574">
        <f>IF(B574="","",IFERROR(INDEX(Products!$B:$B,MATCH(B574,Products!$A:$A,0)),"SKU not found"))</f>
        <v/>
      </c>
    </row>
    <row r="575">
      <c r="A575" s="7" t="n"/>
      <c r="B575" s="4" t="n"/>
      <c r="C575" s="4" t="n"/>
      <c r="D575" s="4" t="n"/>
      <c r="E575" s="4" t="n"/>
      <c r="F575" s="4" t="n"/>
      <c r="G575">
        <f>IF(B575="","",IFERROR(INDEX(Products!$B:$B,MATCH(B575,Products!$A:$A,0)),"SKU not found"))</f>
        <v/>
      </c>
    </row>
    <row r="576">
      <c r="A576" s="7" t="n"/>
      <c r="B576" s="4" t="n"/>
      <c r="C576" s="4" t="n"/>
      <c r="D576" s="4" t="n"/>
      <c r="E576" s="4" t="n"/>
      <c r="F576" s="4" t="n"/>
      <c r="G576">
        <f>IF(B576="","",IFERROR(INDEX(Products!$B:$B,MATCH(B576,Products!$A:$A,0)),"SKU not found"))</f>
        <v/>
      </c>
    </row>
    <row r="577">
      <c r="A577" s="7" t="n"/>
      <c r="B577" s="4" t="n"/>
      <c r="C577" s="4" t="n"/>
      <c r="D577" s="4" t="n"/>
      <c r="E577" s="4" t="n"/>
      <c r="F577" s="4" t="n"/>
      <c r="G577">
        <f>IF(B577="","",IFERROR(INDEX(Products!$B:$B,MATCH(B577,Products!$A:$A,0)),"SKU not found"))</f>
        <v/>
      </c>
    </row>
    <row r="578">
      <c r="A578" s="7" t="n"/>
      <c r="B578" s="4" t="n"/>
      <c r="C578" s="4" t="n"/>
      <c r="D578" s="4" t="n"/>
      <c r="E578" s="4" t="n"/>
      <c r="F578" s="4" t="n"/>
      <c r="G578">
        <f>IF(B578="","",IFERROR(INDEX(Products!$B:$B,MATCH(B578,Products!$A:$A,0)),"SKU not found"))</f>
        <v/>
      </c>
    </row>
    <row r="579">
      <c r="A579" s="7" t="n"/>
      <c r="B579" s="4" t="n"/>
      <c r="C579" s="4" t="n"/>
      <c r="D579" s="4" t="n"/>
      <c r="E579" s="4" t="n"/>
      <c r="F579" s="4" t="n"/>
      <c r="G579">
        <f>IF(B579="","",IFERROR(INDEX(Products!$B:$B,MATCH(B579,Products!$A:$A,0)),"SKU not found"))</f>
        <v/>
      </c>
    </row>
    <row r="580">
      <c r="A580" s="7" t="n"/>
      <c r="B580" s="4" t="n"/>
      <c r="C580" s="4" t="n"/>
      <c r="D580" s="4" t="n"/>
      <c r="E580" s="4" t="n"/>
      <c r="F580" s="4" t="n"/>
      <c r="G580">
        <f>IF(B580="","",IFERROR(INDEX(Products!$B:$B,MATCH(B580,Products!$A:$A,0)),"SKU not found"))</f>
        <v/>
      </c>
    </row>
    <row r="581">
      <c r="A581" s="7" t="n"/>
      <c r="B581" s="4" t="n"/>
      <c r="C581" s="4" t="n"/>
      <c r="D581" s="4" t="n"/>
      <c r="E581" s="4" t="n"/>
      <c r="F581" s="4" t="n"/>
      <c r="G581">
        <f>IF(B581="","",IFERROR(INDEX(Products!$B:$B,MATCH(B581,Products!$A:$A,0)),"SKU not found"))</f>
        <v/>
      </c>
    </row>
    <row r="582">
      <c r="A582" s="7" t="n"/>
      <c r="B582" s="4" t="n"/>
      <c r="C582" s="4" t="n"/>
      <c r="D582" s="4" t="n"/>
      <c r="E582" s="4" t="n"/>
      <c r="F582" s="4" t="n"/>
      <c r="G582">
        <f>IF(B582="","",IFERROR(INDEX(Products!$B:$B,MATCH(B582,Products!$A:$A,0)),"SKU not found"))</f>
        <v/>
      </c>
    </row>
    <row r="583">
      <c r="A583" s="7" t="n"/>
      <c r="B583" s="4" t="n"/>
      <c r="C583" s="4" t="n"/>
      <c r="D583" s="4" t="n"/>
      <c r="E583" s="4" t="n"/>
      <c r="F583" s="4" t="n"/>
      <c r="G583">
        <f>IF(B583="","",IFERROR(INDEX(Products!$B:$B,MATCH(B583,Products!$A:$A,0)),"SKU not found"))</f>
        <v/>
      </c>
    </row>
    <row r="584">
      <c r="A584" s="7" t="n"/>
      <c r="B584" s="4" t="n"/>
      <c r="C584" s="4" t="n"/>
      <c r="D584" s="4" t="n"/>
      <c r="E584" s="4" t="n"/>
      <c r="F584" s="4" t="n"/>
      <c r="G584">
        <f>IF(B584="","",IFERROR(INDEX(Products!$B:$B,MATCH(B584,Products!$A:$A,0)),"SKU not found"))</f>
        <v/>
      </c>
    </row>
    <row r="585">
      <c r="A585" s="7" t="n"/>
      <c r="B585" s="4" t="n"/>
      <c r="C585" s="4" t="n"/>
      <c r="D585" s="4" t="n"/>
      <c r="E585" s="4" t="n"/>
      <c r="F585" s="4" t="n"/>
      <c r="G585">
        <f>IF(B585="","",IFERROR(INDEX(Products!$B:$B,MATCH(B585,Products!$A:$A,0)),"SKU not found"))</f>
        <v/>
      </c>
    </row>
    <row r="586">
      <c r="A586" s="7" t="n"/>
      <c r="B586" s="4" t="n"/>
      <c r="C586" s="4" t="n"/>
      <c r="D586" s="4" t="n"/>
      <c r="E586" s="4" t="n"/>
      <c r="F586" s="4" t="n"/>
      <c r="G586">
        <f>IF(B586="","",IFERROR(INDEX(Products!$B:$B,MATCH(B586,Products!$A:$A,0)),"SKU not found"))</f>
        <v/>
      </c>
    </row>
    <row r="587">
      <c r="A587" s="7" t="n"/>
      <c r="B587" s="4" t="n"/>
      <c r="C587" s="4" t="n"/>
      <c r="D587" s="4" t="n"/>
      <c r="E587" s="4" t="n"/>
      <c r="F587" s="4" t="n"/>
      <c r="G587">
        <f>IF(B587="","",IFERROR(INDEX(Products!$B:$B,MATCH(B587,Products!$A:$A,0)),"SKU not found"))</f>
        <v/>
      </c>
    </row>
    <row r="588">
      <c r="A588" s="7" t="n"/>
      <c r="B588" s="4" t="n"/>
      <c r="C588" s="4" t="n"/>
      <c r="D588" s="4" t="n"/>
      <c r="E588" s="4" t="n"/>
      <c r="F588" s="4" t="n"/>
      <c r="G588">
        <f>IF(B588="","",IFERROR(INDEX(Products!$B:$B,MATCH(B588,Products!$A:$A,0)),"SKU not found"))</f>
        <v/>
      </c>
    </row>
    <row r="589">
      <c r="A589" s="7" t="n"/>
      <c r="B589" s="4" t="n"/>
      <c r="C589" s="4" t="n"/>
      <c r="D589" s="4" t="n"/>
      <c r="E589" s="4" t="n"/>
      <c r="F589" s="4" t="n"/>
      <c r="G589">
        <f>IF(B589="","",IFERROR(INDEX(Products!$B:$B,MATCH(B589,Products!$A:$A,0)),"SKU not found"))</f>
        <v/>
      </c>
    </row>
    <row r="590">
      <c r="A590" s="7" t="n"/>
      <c r="B590" s="4" t="n"/>
      <c r="C590" s="4" t="n"/>
      <c r="D590" s="4" t="n"/>
      <c r="E590" s="4" t="n"/>
      <c r="F590" s="4" t="n"/>
      <c r="G590">
        <f>IF(B590="","",IFERROR(INDEX(Products!$B:$B,MATCH(B590,Products!$A:$A,0)),"SKU not found"))</f>
        <v/>
      </c>
    </row>
    <row r="591">
      <c r="A591" s="7" t="n"/>
      <c r="B591" s="4" t="n"/>
      <c r="C591" s="4" t="n"/>
      <c r="D591" s="4" t="n"/>
      <c r="E591" s="4" t="n"/>
      <c r="F591" s="4" t="n"/>
      <c r="G591">
        <f>IF(B591="","",IFERROR(INDEX(Products!$B:$B,MATCH(B591,Products!$A:$A,0)),"SKU not found"))</f>
        <v/>
      </c>
    </row>
    <row r="592">
      <c r="A592" s="7" t="n"/>
      <c r="B592" s="4" t="n"/>
      <c r="C592" s="4" t="n"/>
      <c r="D592" s="4" t="n"/>
      <c r="E592" s="4" t="n"/>
      <c r="F592" s="4" t="n"/>
      <c r="G592">
        <f>IF(B592="","",IFERROR(INDEX(Products!$B:$B,MATCH(B592,Products!$A:$A,0)),"SKU not found"))</f>
        <v/>
      </c>
    </row>
    <row r="593">
      <c r="A593" s="7" t="n"/>
      <c r="B593" s="4" t="n"/>
      <c r="C593" s="4" t="n"/>
      <c r="D593" s="4" t="n"/>
      <c r="E593" s="4" t="n"/>
      <c r="F593" s="4" t="n"/>
      <c r="G593">
        <f>IF(B593="","",IFERROR(INDEX(Products!$B:$B,MATCH(B593,Products!$A:$A,0)),"SKU not found"))</f>
        <v/>
      </c>
    </row>
    <row r="594">
      <c r="A594" s="7" t="n"/>
      <c r="B594" s="4" t="n"/>
      <c r="C594" s="4" t="n"/>
      <c r="D594" s="4" t="n"/>
      <c r="E594" s="4" t="n"/>
      <c r="F594" s="4" t="n"/>
      <c r="G594">
        <f>IF(B594="","",IFERROR(INDEX(Products!$B:$B,MATCH(B594,Products!$A:$A,0)),"SKU not found"))</f>
        <v/>
      </c>
    </row>
    <row r="595">
      <c r="A595" s="7" t="n"/>
      <c r="B595" s="4" t="n"/>
      <c r="C595" s="4" t="n"/>
      <c r="D595" s="4" t="n"/>
      <c r="E595" s="4" t="n"/>
      <c r="F595" s="4" t="n"/>
      <c r="G595">
        <f>IF(B595="","",IFERROR(INDEX(Products!$B:$B,MATCH(B595,Products!$A:$A,0)),"SKU not found"))</f>
        <v/>
      </c>
    </row>
    <row r="596">
      <c r="A596" s="7" t="n"/>
      <c r="B596" s="4" t="n"/>
      <c r="C596" s="4" t="n"/>
      <c r="D596" s="4" t="n"/>
      <c r="E596" s="4" t="n"/>
      <c r="F596" s="4" t="n"/>
      <c r="G596">
        <f>IF(B596="","",IFERROR(INDEX(Products!$B:$B,MATCH(B596,Products!$A:$A,0)),"SKU not found"))</f>
        <v/>
      </c>
    </row>
    <row r="597">
      <c r="A597" s="7" t="n"/>
      <c r="B597" s="4" t="n"/>
      <c r="C597" s="4" t="n"/>
      <c r="D597" s="4" t="n"/>
      <c r="E597" s="4" t="n"/>
      <c r="F597" s="4" t="n"/>
      <c r="G597">
        <f>IF(B597="","",IFERROR(INDEX(Products!$B:$B,MATCH(B597,Products!$A:$A,0)),"SKU not found"))</f>
        <v/>
      </c>
    </row>
    <row r="598">
      <c r="A598" s="7" t="n"/>
      <c r="B598" s="4" t="n"/>
      <c r="C598" s="4" t="n"/>
      <c r="D598" s="4" t="n"/>
      <c r="E598" s="4" t="n"/>
      <c r="F598" s="4" t="n"/>
      <c r="G598">
        <f>IF(B598="","",IFERROR(INDEX(Products!$B:$B,MATCH(B598,Products!$A:$A,0)),"SKU not found"))</f>
        <v/>
      </c>
    </row>
    <row r="599">
      <c r="A599" s="7" t="n"/>
      <c r="B599" s="4" t="n"/>
      <c r="C599" s="4" t="n"/>
      <c r="D599" s="4" t="n"/>
      <c r="E599" s="4" t="n"/>
      <c r="F599" s="4" t="n"/>
      <c r="G599">
        <f>IF(B599="","",IFERROR(INDEX(Products!$B:$B,MATCH(B599,Products!$A:$A,0)),"SKU not found"))</f>
        <v/>
      </c>
    </row>
    <row r="600">
      <c r="A600" s="7" t="n"/>
      <c r="B600" s="4" t="n"/>
      <c r="C600" s="4" t="n"/>
      <c r="D600" s="4" t="n"/>
      <c r="E600" s="4" t="n"/>
      <c r="F600" s="4" t="n"/>
      <c r="G600">
        <f>IF(B600="","",IFERROR(INDEX(Products!$B:$B,MATCH(B600,Products!$A:$A,0)),"SKU not found"))</f>
        <v/>
      </c>
    </row>
    <row r="601">
      <c r="A601" s="7" t="n"/>
      <c r="B601" s="4" t="n"/>
      <c r="C601" s="4" t="n"/>
      <c r="D601" s="4" t="n"/>
      <c r="E601" s="4" t="n"/>
      <c r="F601" s="4" t="n"/>
      <c r="G601">
        <f>IF(B601="","",IFERROR(INDEX(Products!$B:$B,MATCH(B601,Products!$A:$A,0)),"SKU not found"))</f>
        <v/>
      </c>
    </row>
    <row r="602">
      <c r="A602" s="7" t="n"/>
      <c r="B602" s="4" t="n"/>
      <c r="C602" s="4" t="n"/>
      <c r="D602" s="4" t="n"/>
      <c r="E602" s="4" t="n"/>
      <c r="F602" s="4" t="n"/>
      <c r="G602">
        <f>IF(B602="","",IFERROR(INDEX(Products!$B:$B,MATCH(B602,Products!$A:$A,0)),"SKU not found"))</f>
        <v/>
      </c>
    </row>
    <row r="603">
      <c r="A603" s="7" t="n"/>
      <c r="B603" s="4" t="n"/>
      <c r="C603" s="4" t="n"/>
      <c r="D603" s="4" t="n"/>
      <c r="E603" s="4" t="n"/>
      <c r="F603" s="4" t="n"/>
      <c r="G603">
        <f>IF(B603="","",IFERROR(INDEX(Products!$B:$B,MATCH(B603,Products!$A:$A,0)),"SKU not found"))</f>
        <v/>
      </c>
    </row>
    <row r="604">
      <c r="A604" s="7" t="n"/>
      <c r="B604" s="4" t="n"/>
      <c r="C604" s="4" t="n"/>
      <c r="D604" s="4" t="n"/>
      <c r="E604" s="4" t="n"/>
      <c r="F604" s="4" t="n"/>
      <c r="G604">
        <f>IF(B604="","",IFERROR(INDEX(Products!$B:$B,MATCH(B604,Products!$A:$A,0)),"SKU not found"))</f>
        <v/>
      </c>
    </row>
    <row r="605">
      <c r="A605" s="7" t="n"/>
      <c r="B605" s="4" t="n"/>
      <c r="C605" s="4" t="n"/>
      <c r="D605" s="4" t="n"/>
      <c r="E605" s="4" t="n"/>
      <c r="F605" s="4" t="n"/>
      <c r="G605">
        <f>IF(B605="","",IFERROR(INDEX(Products!$B:$B,MATCH(B605,Products!$A:$A,0)),"SKU not found"))</f>
        <v/>
      </c>
    </row>
    <row r="606">
      <c r="A606" s="7" t="n"/>
      <c r="B606" s="4" t="n"/>
      <c r="C606" s="4" t="n"/>
      <c r="D606" s="4" t="n"/>
      <c r="E606" s="4" t="n"/>
      <c r="F606" s="4" t="n"/>
      <c r="G606">
        <f>IF(B606="","",IFERROR(INDEX(Products!$B:$B,MATCH(B606,Products!$A:$A,0)),"SKU not found"))</f>
        <v/>
      </c>
    </row>
    <row r="607">
      <c r="A607" s="7" t="n"/>
      <c r="B607" s="4" t="n"/>
      <c r="C607" s="4" t="n"/>
      <c r="D607" s="4" t="n"/>
      <c r="E607" s="4" t="n"/>
      <c r="F607" s="4" t="n"/>
      <c r="G607">
        <f>IF(B607="","",IFERROR(INDEX(Products!$B:$B,MATCH(B607,Products!$A:$A,0)),"SKU not found"))</f>
        <v/>
      </c>
    </row>
    <row r="608">
      <c r="A608" s="7" t="n"/>
      <c r="B608" s="4" t="n"/>
      <c r="C608" s="4" t="n"/>
      <c r="D608" s="4" t="n"/>
      <c r="E608" s="4" t="n"/>
      <c r="F608" s="4" t="n"/>
      <c r="G608">
        <f>IF(B608="","",IFERROR(INDEX(Products!$B:$B,MATCH(B608,Products!$A:$A,0)),"SKU not found"))</f>
        <v/>
      </c>
    </row>
    <row r="609">
      <c r="A609" s="7" t="n"/>
      <c r="B609" s="4" t="n"/>
      <c r="C609" s="4" t="n"/>
      <c r="D609" s="4" t="n"/>
      <c r="E609" s="4" t="n"/>
      <c r="F609" s="4" t="n"/>
      <c r="G609">
        <f>IF(B609="","",IFERROR(INDEX(Products!$B:$B,MATCH(B609,Products!$A:$A,0)),"SKU not found"))</f>
        <v/>
      </c>
    </row>
    <row r="610">
      <c r="A610" s="7" t="n"/>
      <c r="B610" s="4" t="n"/>
      <c r="C610" s="4" t="n"/>
      <c r="D610" s="4" t="n"/>
      <c r="E610" s="4" t="n"/>
      <c r="F610" s="4" t="n"/>
      <c r="G610">
        <f>IF(B610="","",IFERROR(INDEX(Products!$B:$B,MATCH(B610,Products!$A:$A,0)),"SKU not found"))</f>
        <v/>
      </c>
    </row>
    <row r="611">
      <c r="A611" s="7" t="n"/>
      <c r="B611" s="4" t="n"/>
      <c r="C611" s="4" t="n"/>
      <c r="D611" s="4" t="n"/>
      <c r="E611" s="4" t="n"/>
      <c r="F611" s="4" t="n"/>
      <c r="G611">
        <f>IF(B611="","",IFERROR(INDEX(Products!$B:$B,MATCH(B611,Products!$A:$A,0)),"SKU not found"))</f>
        <v/>
      </c>
    </row>
    <row r="612">
      <c r="A612" s="7" t="n"/>
      <c r="B612" s="4" t="n"/>
      <c r="C612" s="4" t="n"/>
      <c r="D612" s="4" t="n"/>
      <c r="E612" s="4" t="n"/>
      <c r="F612" s="4" t="n"/>
      <c r="G612">
        <f>IF(B612="","",IFERROR(INDEX(Products!$B:$B,MATCH(B612,Products!$A:$A,0)),"SKU not found"))</f>
        <v/>
      </c>
    </row>
    <row r="613">
      <c r="A613" s="7" t="n"/>
      <c r="B613" s="4" t="n"/>
      <c r="C613" s="4" t="n"/>
      <c r="D613" s="4" t="n"/>
      <c r="E613" s="4" t="n"/>
      <c r="F613" s="4" t="n"/>
      <c r="G613">
        <f>IF(B613="","",IFERROR(INDEX(Products!$B:$B,MATCH(B613,Products!$A:$A,0)),"SKU not found"))</f>
        <v/>
      </c>
    </row>
    <row r="614">
      <c r="A614" s="7" t="n"/>
      <c r="B614" s="4" t="n"/>
      <c r="C614" s="4" t="n"/>
      <c r="D614" s="4" t="n"/>
      <c r="E614" s="4" t="n"/>
      <c r="F614" s="4" t="n"/>
      <c r="G614">
        <f>IF(B614="","",IFERROR(INDEX(Products!$B:$B,MATCH(B614,Products!$A:$A,0)),"SKU not found"))</f>
        <v/>
      </c>
    </row>
    <row r="615">
      <c r="A615" s="7" t="n"/>
      <c r="B615" s="4" t="n"/>
      <c r="C615" s="4" t="n"/>
      <c r="D615" s="4" t="n"/>
      <c r="E615" s="4" t="n"/>
      <c r="F615" s="4" t="n"/>
      <c r="G615">
        <f>IF(B615="","",IFERROR(INDEX(Products!$B:$B,MATCH(B615,Products!$A:$A,0)),"SKU not found"))</f>
        <v/>
      </c>
    </row>
    <row r="616">
      <c r="A616" s="7" t="n"/>
      <c r="B616" s="4" t="n"/>
      <c r="C616" s="4" t="n"/>
      <c r="D616" s="4" t="n"/>
      <c r="E616" s="4" t="n"/>
      <c r="F616" s="4" t="n"/>
      <c r="G616">
        <f>IF(B616="","",IFERROR(INDEX(Products!$B:$B,MATCH(B616,Products!$A:$A,0)),"SKU not found"))</f>
        <v/>
      </c>
    </row>
    <row r="617">
      <c r="A617" s="7" t="n"/>
      <c r="B617" s="4" t="n"/>
      <c r="C617" s="4" t="n"/>
      <c r="D617" s="4" t="n"/>
      <c r="E617" s="4" t="n"/>
      <c r="F617" s="4" t="n"/>
      <c r="G617">
        <f>IF(B617="","",IFERROR(INDEX(Products!$B:$B,MATCH(B617,Products!$A:$A,0)),"SKU not found"))</f>
        <v/>
      </c>
    </row>
    <row r="618">
      <c r="A618" s="7" t="n"/>
      <c r="B618" s="4" t="n"/>
      <c r="C618" s="4" t="n"/>
      <c r="D618" s="4" t="n"/>
      <c r="E618" s="4" t="n"/>
      <c r="F618" s="4" t="n"/>
      <c r="G618">
        <f>IF(B618="","",IFERROR(INDEX(Products!$B:$B,MATCH(B618,Products!$A:$A,0)),"SKU not found"))</f>
        <v/>
      </c>
    </row>
    <row r="619">
      <c r="A619" s="7" t="n"/>
      <c r="B619" s="4" t="n"/>
      <c r="C619" s="4" t="n"/>
      <c r="D619" s="4" t="n"/>
      <c r="E619" s="4" t="n"/>
      <c r="F619" s="4" t="n"/>
      <c r="G619">
        <f>IF(B619="","",IFERROR(INDEX(Products!$B:$B,MATCH(B619,Products!$A:$A,0)),"SKU not found"))</f>
        <v/>
      </c>
    </row>
    <row r="620">
      <c r="A620" s="7" t="n"/>
      <c r="B620" s="4" t="n"/>
      <c r="C620" s="4" t="n"/>
      <c r="D620" s="4" t="n"/>
      <c r="E620" s="4" t="n"/>
      <c r="F620" s="4" t="n"/>
      <c r="G620">
        <f>IF(B620="","",IFERROR(INDEX(Products!$B:$B,MATCH(B620,Products!$A:$A,0)),"SKU not found"))</f>
        <v/>
      </c>
    </row>
    <row r="621">
      <c r="A621" s="7" t="n"/>
      <c r="B621" s="4" t="n"/>
      <c r="C621" s="4" t="n"/>
      <c r="D621" s="4" t="n"/>
      <c r="E621" s="4" t="n"/>
      <c r="F621" s="4" t="n"/>
      <c r="G621">
        <f>IF(B621="","",IFERROR(INDEX(Products!$B:$B,MATCH(B621,Products!$A:$A,0)),"SKU not found"))</f>
        <v/>
      </c>
    </row>
    <row r="622">
      <c r="A622" s="7" t="n"/>
      <c r="B622" s="4" t="n"/>
      <c r="C622" s="4" t="n"/>
      <c r="D622" s="4" t="n"/>
      <c r="E622" s="4" t="n"/>
      <c r="F622" s="4" t="n"/>
      <c r="G622">
        <f>IF(B622="","",IFERROR(INDEX(Products!$B:$B,MATCH(B622,Products!$A:$A,0)),"SKU not found"))</f>
        <v/>
      </c>
    </row>
    <row r="623">
      <c r="A623" s="7" t="n"/>
      <c r="B623" s="4" t="n"/>
      <c r="C623" s="4" t="n"/>
      <c r="D623" s="4" t="n"/>
      <c r="E623" s="4" t="n"/>
      <c r="F623" s="4" t="n"/>
      <c r="G623">
        <f>IF(B623="","",IFERROR(INDEX(Products!$B:$B,MATCH(B623,Products!$A:$A,0)),"SKU not found"))</f>
        <v/>
      </c>
    </row>
    <row r="624">
      <c r="A624" s="7" t="n"/>
      <c r="B624" s="4" t="n"/>
      <c r="C624" s="4" t="n"/>
      <c r="D624" s="4" t="n"/>
      <c r="E624" s="4" t="n"/>
      <c r="F624" s="4" t="n"/>
      <c r="G624">
        <f>IF(B624="","",IFERROR(INDEX(Products!$B:$B,MATCH(B624,Products!$A:$A,0)),"SKU not found"))</f>
        <v/>
      </c>
    </row>
    <row r="625">
      <c r="A625" s="7" t="n"/>
      <c r="B625" s="4" t="n"/>
      <c r="C625" s="4" t="n"/>
      <c r="D625" s="4" t="n"/>
      <c r="E625" s="4" t="n"/>
      <c r="F625" s="4" t="n"/>
      <c r="G625">
        <f>IF(B625="","",IFERROR(INDEX(Products!$B:$B,MATCH(B625,Products!$A:$A,0)),"SKU not found"))</f>
        <v/>
      </c>
    </row>
    <row r="626">
      <c r="A626" s="7" t="n"/>
      <c r="B626" s="4" t="n"/>
      <c r="C626" s="4" t="n"/>
      <c r="D626" s="4" t="n"/>
      <c r="E626" s="4" t="n"/>
      <c r="F626" s="4" t="n"/>
      <c r="G626">
        <f>IF(B626="","",IFERROR(INDEX(Products!$B:$B,MATCH(B626,Products!$A:$A,0)),"SKU not found"))</f>
        <v/>
      </c>
    </row>
    <row r="627">
      <c r="A627" s="7" t="n"/>
      <c r="B627" s="4" t="n"/>
      <c r="C627" s="4" t="n"/>
      <c r="D627" s="4" t="n"/>
      <c r="E627" s="4" t="n"/>
      <c r="F627" s="4" t="n"/>
      <c r="G627">
        <f>IF(B627="","",IFERROR(INDEX(Products!$B:$B,MATCH(B627,Products!$A:$A,0)),"SKU not found"))</f>
        <v/>
      </c>
    </row>
    <row r="628">
      <c r="A628" s="7" t="n"/>
      <c r="B628" s="4" t="n"/>
      <c r="C628" s="4" t="n"/>
      <c r="D628" s="4" t="n"/>
      <c r="E628" s="4" t="n"/>
      <c r="F628" s="4" t="n"/>
      <c r="G628">
        <f>IF(B628="","",IFERROR(INDEX(Products!$B:$B,MATCH(B628,Products!$A:$A,0)),"SKU not found"))</f>
        <v/>
      </c>
    </row>
    <row r="629">
      <c r="A629" s="7" t="n"/>
      <c r="B629" s="4" t="n"/>
      <c r="C629" s="4" t="n"/>
      <c r="D629" s="4" t="n"/>
      <c r="E629" s="4" t="n"/>
      <c r="F629" s="4" t="n"/>
      <c r="G629">
        <f>IF(B629="","",IFERROR(INDEX(Products!$B:$B,MATCH(B629,Products!$A:$A,0)),"SKU not found"))</f>
        <v/>
      </c>
    </row>
    <row r="630">
      <c r="A630" s="7" t="n"/>
      <c r="B630" s="4" t="n"/>
      <c r="C630" s="4" t="n"/>
      <c r="D630" s="4" t="n"/>
      <c r="E630" s="4" t="n"/>
      <c r="F630" s="4" t="n"/>
      <c r="G630">
        <f>IF(B630="","",IFERROR(INDEX(Products!$B:$B,MATCH(B630,Products!$A:$A,0)),"SKU not found"))</f>
        <v/>
      </c>
    </row>
    <row r="631">
      <c r="A631" s="7" t="n"/>
      <c r="B631" s="4" t="n"/>
      <c r="C631" s="4" t="n"/>
      <c r="D631" s="4" t="n"/>
      <c r="E631" s="4" t="n"/>
      <c r="F631" s="4" t="n"/>
      <c r="G631">
        <f>IF(B631="","",IFERROR(INDEX(Products!$B:$B,MATCH(B631,Products!$A:$A,0)),"SKU not found"))</f>
        <v/>
      </c>
    </row>
    <row r="632">
      <c r="A632" s="7" t="n"/>
      <c r="B632" s="4" t="n"/>
      <c r="C632" s="4" t="n"/>
      <c r="D632" s="4" t="n"/>
      <c r="E632" s="4" t="n"/>
      <c r="F632" s="4" t="n"/>
      <c r="G632">
        <f>IF(B632="","",IFERROR(INDEX(Products!$B:$B,MATCH(B632,Products!$A:$A,0)),"SKU not found"))</f>
        <v/>
      </c>
    </row>
    <row r="633">
      <c r="A633" s="7" t="n"/>
      <c r="B633" s="4" t="n"/>
      <c r="C633" s="4" t="n"/>
      <c r="D633" s="4" t="n"/>
      <c r="E633" s="4" t="n"/>
      <c r="F633" s="4" t="n"/>
      <c r="G633">
        <f>IF(B633="","",IFERROR(INDEX(Products!$B:$B,MATCH(B633,Products!$A:$A,0)),"SKU not found"))</f>
        <v/>
      </c>
    </row>
    <row r="634">
      <c r="A634" s="7" t="n"/>
      <c r="B634" s="4" t="n"/>
      <c r="C634" s="4" t="n"/>
      <c r="D634" s="4" t="n"/>
      <c r="E634" s="4" t="n"/>
      <c r="F634" s="4" t="n"/>
      <c r="G634">
        <f>IF(B634="","",IFERROR(INDEX(Products!$B:$B,MATCH(B634,Products!$A:$A,0)),"SKU not found"))</f>
        <v/>
      </c>
    </row>
    <row r="635">
      <c r="A635" s="7" t="n"/>
      <c r="B635" s="4" t="n"/>
      <c r="C635" s="4" t="n"/>
      <c r="D635" s="4" t="n"/>
      <c r="E635" s="4" t="n"/>
      <c r="F635" s="4" t="n"/>
      <c r="G635">
        <f>IF(B635="","",IFERROR(INDEX(Products!$B:$B,MATCH(B635,Products!$A:$A,0)),"SKU not found"))</f>
        <v/>
      </c>
    </row>
    <row r="636">
      <c r="A636" s="7" t="n"/>
      <c r="B636" s="4" t="n"/>
      <c r="C636" s="4" t="n"/>
      <c r="D636" s="4" t="n"/>
      <c r="E636" s="4" t="n"/>
      <c r="F636" s="4" t="n"/>
      <c r="G636">
        <f>IF(B636="","",IFERROR(INDEX(Products!$B:$B,MATCH(B636,Products!$A:$A,0)),"SKU not found"))</f>
        <v/>
      </c>
    </row>
    <row r="637">
      <c r="A637" s="7" t="n"/>
      <c r="B637" s="4" t="n"/>
      <c r="C637" s="4" t="n"/>
      <c r="D637" s="4" t="n"/>
      <c r="E637" s="4" t="n"/>
      <c r="F637" s="4" t="n"/>
      <c r="G637">
        <f>IF(B637="","",IFERROR(INDEX(Products!$B:$B,MATCH(B637,Products!$A:$A,0)),"SKU not found"))</f>
        <v/>
      </c>
    </row>
    <row r="638">
      <c r="A638" s="7" t="n"/>
      <c r="B638" s="4" t="n"/>
      <c r="C638" s="4" t="n"/>
      <c r="D638" s="4" t="n"/>
      <c r="E638" s="4" t="n"/>
      <c r="F638" s="4" t="n"/>
      <c r="G638">
        <f>IF(B638="","",IFERROR(INDEX(Products!$B:$B,MATCH(B638,Products!$A:$A,0)),"SKU not found"))</f>
        <v/>
      </c>
    </row>
    <row r="639">
      <c r="A639" s="7" t="n"/>
      <c r="B639" s="4" t="n"/>
      <c r="C639" s="4" t="n"/>
      <c r="D639" s="4" t="n"/>
      <c r="E639" s="4" t="n"/>
      <c r="F639" s="4" t="n"/>
      <c r="G639">
        <f>IF(B639="","",IFERROR(INDEX(Products!$B:$B,MATCH(B639,Products!$A:$A,0)),"SKU not found"))</f>
        <v/>
      </c>
    </row>
    <row r="640">
      <c r="A640" s="7" t="n"/>
      <c r="B640" s="4" t="n"/>
      <c r="C640" s="4" t="n"/>
      <c r="D640" s="4" t="n"/>
      <c r="E640" s="4" t="n"/>
      <c r="F640" s="4" t="n"/>
      <c r="G640">
        <f>IF(B640="","",IFERROR(INDEX(Products!$B:$B,MATCH(B640,Products!$A:$A,0)),"SKU not found"))</f>
        <v/>
      </c>
    </row>
    <row r="641">
      <c r="A641" s="7" t="n"/>
      <c r="B641" s="4" t="n"/>
      <c r="C641" s="4" t="n"/>
      <c r="D641" s="4" t="n"/>
      <c r="E641" s="4" t="n"/>
      <c r="F641" s="4" t="n"/>
      <c r="G641">
        <f>IF(B641="","",IFERROR(INDEX(Products!$B:$B,MATCH(B641,Products!$A:$A,0)),"SKU not found"))</f>
        <v/>
      </c>
    </row>
    <row r="642">
      <c r="A642" s="7" t="n"/>
      <c r="B642" s="4" t="n"/>
      <c r="C642" s="4" t="n"/>
      <c r="D642" s="4" t="n"/>
      <c r="E642" s="4" t="n"/>
      <c r="F642" s="4" t="n"/>
      <c r="G642">
        <f>IF(B642="","",IFERROR(INDEX(Products!$B:$B,MATCH(B642,Products!$A:$A,0)),"SKU not found"))</f>
        <v/>
      </c>
    </row>
    <row r="643">
      <c r="A643" s="7" t="n"/>
      <c r="B643" s="4" t="n"/>
      <c r="C643" s="4" t="n"/>
      <c r="D643" s="4" t="n"/>
      <c r="E643" s="4" t="n"/>
      <c r="F643" s="4" t="n"/>
      <c r="G643">
        <f>IF(B643="","",IFERROR(INDEX(Products!$B:$B,MATCH(B643,Products!$A:$A,0)),"SKU not found"))</f>
        <v/>
      </c>
    </row>
    <row r="644">
      <c r="A644" s="7" t="n"/>
      <c r="B644" s="4" t="n"/>
      <c r="C644" s="4" t="n"/>
      <c r="D644" s="4" t="n"/>
      <c r="E644" s="4" t="n"/>
      <c r="F644" s="4" t="n"/>
      <c r="G644">
        <f>IF(B644="","",IFERROR(INDEX(Products!$B:$B,MATCH(B644,Products!$A:$A,0)),"SKU not found"))</f>
        <v/>
      </c>
    </row>
    <row r="645">
      <c r="A645" s="7" t="n"/>
      <c r="B645" s="4" t="n"/>
      <c r="C645" s="4" t="n"/>
      <c r="D645" s="4" t="n"/>
      <c r="E645" s="4" t="n"/>
      <c r="F645" s="4" t="n"/>
      <c r="G645">
        <f>IF(B645="","",IFERROR(INDEX(Products!$B:$B,MATCH(B645,Products!$A:$A,0)),"SKU not found"))</f>
        <v/>
      </c>
    </row>
    <row r="646">
      <c r="A646" s="7" t="n"/>
      <c r="B646" s="4" t="n"/>
      <c r="C646" s="4" t="n"/>
      <c r="D646" s="4" t="n"/>
      <c r="E646" s="4" t="n"/>
      <c r="F646" s="4" t="n"/>
      <c r="G646">
        <f>IF(B646="","",IFERROR(INDEX(Products!$B:$B,MATCH(B646,Products!$A:$A,0)),"SKU not found"))</f>
        <v/>
      </c>
    </row>
    <row r="647">
      <c r="A647" s="7" t="n"/>
      <c r="B647" s="4" t="n"/>
      <c r="C647" s="4" t="n"/>
      <c r="D647" s="4" t="n"/>
      <c r="E647" s="4" t="n"/>
      <c r="F647" s="4" t="n"/>
      <c r="G647">
        <f>IF(B647="","",IFERROR(INDEX(Products!$B:$B,MATCH(B647,Products!$A:$A,0)),"SKU not found"))</f>
        <v/>
      </c>
    </row>
    <row r="648">
      <c r="A648" s="7" t="n"/>
      <c r="B648" s="4" t="n"/>
      <c r="C648" s="4" t="n"/>
      <c r="D648" s="4" t="n"/>
      <c r="E648" s="4" t="n"/>
      <c r="F648" s="4" t="n"/>
      <c r="G648">
        <f>IF(B648="","",IFERROR(INDEX(Products!$B:$B,MATCH(B648,Products!$A:$A,0)),"SKU not found"))</f>
        <v/>
      </c>
    </row>
    <row r="649">
      <c r="A649" s="7" t="n"/>
      <c r="B649" s="4" t="n"/>
      <c r="C649" s="4" t="n"/>
      <c r="D649" s="4" t="n"/>
      <c r="E649" s="4" t="n"/>
      <c r="F649" s="4" t="n"/>
      <c r="G649">
        <f>IF(B649="","",IFERROR(INDEX(Products!$B:$B,MATCH(B649,Products!$A:$A,0)),"SKU not found"))</f>
        <v/>
      </c>
    </row>
    <row r="650">
      <c r="A650" s="7" t="n"/>
      <c r="B650" s="4" t="n"/>
      <c r="C650" s="4" t="n"/>
      <c r="D650" s="4" t="n"/>
      <c r="E650" s="4" t="n"/>
      <c r="F650" s="4" t="n"/>
      <c r="G650">
        <f>IF(B650="","",IFERROR(INDEX(Products!$B:$B,MATCH(B650,Products!$A:$A,0)),"SKU not found"))</f>
        <v/>
      </c>
    </row>
    <row r="651">
      <c r="A651" s="7" t="n"/>
      <c r="B651" s="4" t="n"/>
      <c r="C651" s="4" t="n"/>
      <c r="D651" s="4" t="n"/>
      <c r="E651" s="4" t="n"/>
      <c r="F651" s="4" t="n"/>
      <c r="G651">
        <f>IF(B651="","",IFERROR(INDEX(Products!$B:$B,MATCH(B651,Products!$A:$A,0)),"SKU not found"))</f>
        <v/>
      </c>
    </row>
    <row r="652">
      <c r="A652" s="7" t="n"/>
      <c r="B652" s="4" t="n"/>
      <c r="C652" s="4" t="n"/>
      <c r="D652" s="4" t="n"/>
      <c r="E652" s="4" t="n"/>
      <c r="F652" s="4" t="n"/>
      <c r="G652">
        <f>IF(B652="","",IFERROR(INDEX(Products!$B:$B,MATCH(B652,Products!$A:$A,0)),"SKU not found"))</f>
        <v/>
      </c>
    </row>
    <row r="653">
      <c r="A653" s="7" t="n"/>
      <c r="B653" s="4" t="n"/>
      <c r="C653" s="4" t="n"/>
      <c r="D653" s="4" t="n"/>
      <c r="E653" s="4" t="n"/>
      <c r="F653" s="4" t="n"/>
      <c r="G653">
        <f>IF(B653="","",IFERROR(INDEX(Products!$B:$B,MATCH(B653,Products!$A:$A,0)),"SKU not found"))</f>
        <v/>
      </c>
    </row>
    <row r="654">
      <c r="A654" s="7" t="n"/>
      <c r="B654" s="4" t="n"/>
      <c r="C654" s="4" t="n"/>
      <c r="D654" s="4" t="n"/>
      <c r="E654" s="4" t="n"/>
      <c r="F654" s="4" t="n"/>
      <c r="G654">
        <f>IF(B654="","",IFERROR(INDEX(Products!$B:$B,MATCH(B654,Products!$A:$A,0)),"SKU not found"))</f>
        <v/>
      </c>
    </row>
    <row r="655">
      <c r="A655" s="7" t="n"/>
      <c r="B655" s="4" t="n"/>
      <c r="C655" s="4" t="n"/>
      <c r="D655" s="4" t="n"/>
      <c r="E655" s="4" t="n"/>
      <c r="F655" s="4" t="n"/>
      <c r="G655">
        <f>IF(B655="","",IFERROR(INDEX(Products!$B:$B,MATCH(B655,Products!$A:$A,0)),"SKU not found"))</f>
        <v/>
      </c>
    </row>
    <row r="656">
      <c r="A656" s="7" t="n"/>
      <c r="B656" s="4" t="n"/>
      <c r="C656" s="4" t="n"/>
      <c r="D656" s="4" t="n"/>
      <c r="E656" s="4" t="n"/>
      <c r="F656" s="4" t="n"/>
      <c r="G656">
        <f>IF(B656="","",IFERROR(INDEX(Products!$B:$B,MATCH(B656,Products!$A:$A,0)),"SKU not found"))</f>
        <v/>
      </c>
    </row>
    <row r="657">
      <c r="A657" s="7" t="n"/>
      <c r="B657" s="4" t="n"/>
      <c r="C657" s="4" t="n"/>
      <c r="D657" s="4" t="n"/>
      <c r="E657" s="4" t="n"/>
      <c r="F657" s="4" t="n"/>
      <c r="G657">
        <f>IF(B657="","",IFERROR(INDEX(Products!$B:$B,MATCH(B657,Products!$A:$A,0)),"SKU not found"))</f>
        <v/>
      </c>
    </row>
    <row r="658">
      <c r="A658" s="7" t="n"/>
      <c r="B658" s="4" t="n"/>
      <c r="C658" s="4" t="n"/>
      <c r="D658" s="4" t="n"/>
      <c r="E658" s="4" t="n"/>
      <c r="F658" s="4" t="n"/>
      <c r="G658">
        <f>IF(B658="","",IFERROR(INDEX(Products!$B:$B,MATCH(B658,Products!$A:$A,0)),"SKU not found"))</f>
        <v/>
      </c>
    </row>
    <row r="659">
      <c r="A659" s="7" t="n"/>
      <c r="B659" s="4" t="n"/>
      <c r="C659" s="4" t="n"/>
      <c r="D659" s="4" t="n"/>
      <c r="E659" s="4" t="n"/>
      <c r="F659" s="4" t="n"/>
      <c r="G659">
        <f>IF(B659="","",IFERROR(INDEX(Products!$B:$B,MATCH(B659,Products!$A:$A,0)),"SKU not found"))</f>
        <v/>
      </c>
    </row>
    <row r="660">
      <c r="A660" s="7" t="n"/>
      <c r="B660" s="4" t="n"/>
      <c r="C660" s="4" t="n"/>
      <c r="D660" s="4" t="n"/>
      <c r="E660" s="4" t="n"/>
      <c r="F660" s="4" t="n"/>
      <c r="G660">
        <f>IF(B660="","",IFERROR(INDEX(Products!$B:$B,MATCH(B660,Products!$A:$A,0)),"SKU not found"))</f>
        <v/>
      </c>
    </row>
    <row r="661">
      <c r="A661" s="7" t="n"/>
      <c r="B661" s="4" t="n"/>
      <c r="C661" s="4" t="n"/>
      <c r="D661" s="4" t="n"/>
      <c r="E661" s="4" t="n"/>
      <c r="F661" s="4" t="n"/>
      <c r="G661">
        <f>IF(B661="","",IFERROR(INDEX(Products!$B:$B,MATCH(B661,Products!$A:$A,0)),"SKU not found"))</f>
        <v/>
      </c>
    </row>
    <row r="662">
      <c r="A662" s="7" t="n"/>
      <c r="B662" s="4" t="n"/>
      <c r="C662" s="4" t="n"/>
      <c r="D662" s="4" t="n"/>
      <c r="E662" s="4" t="n"/>
      <c r="F662" s="4" t="n"/>
      <c r="G662">
        <f>IF(B662="","",IFERROR(INDEX(Products!$B:$B,MATCH(B662,Products!$A:$A,0)),"SKU not found"))</f>
        <v/>
      </c>
    </row>
    <row r="663">
      <c r="A663" s="7" t="n"/>
      <c r="B663" s="4" t="n"/>
      <c r="C663" s="4" t="n"/>
      <c r="D663" s="4" t="n"/>
      <c r="E663" s="4" t="n"/>
      <c r="F663" s="4" t="n"/>
      <c r="G663">
        <f>IF(B663="","",IFERROR(INDEX(Products!$B:$B,MATCH(B663,Products!$A:$A,0)),"SKU not found"))</f>
        <v/>
      </c>
    </row>
    <row r="664">
      <c r="A664" s="7" t="n"/>
      <c r="B664" s="4" t="n"/>
      <c r="C664" s="4" t="n"/>
      <c r="D664" s="4" t="n"/>
      <c r="E664" s="4" t="n"/>
      <c r="F664" s="4" t="n"/>
      <c r="G664">
        <f>IF(B664="","",IFERROR(INDEX(Products!$B:$B,MATCH(B664,Products!$A:$A,0)),"SKU not found"))</f>
        <v/>
      </c>
    </row>
    <row r="665">
      <c r="A665" s="7" t="n"/>
      <c r="B665" s="4" t="n"/>
      <c r="C665" s="4" t="n"/>
      <c r="D665" s="4" t="n"/>
      <c r="E665" s="4" t="n"/>
      <c r="F665" s="4" t="n"/>
      <c r="G665">
        <f>IF(B665="","",IFERROR(INDEX(Products!$B:$B,MATCH(B665,Products!$A:$A,0)),"SKU not found"))</f>
        <v/>
      </c>
    </row>
    <row r="666">
      <c r="A666" s="7" t="n"/>
      <c r="B666" s="4" t="n"/>
      <c r="C666" s="4" t="n"/>
      <c r="D666" s="4" t="n"/>
      <c r="E666" s="4" t="n"/>
      <c r="F666" s="4" t="n"/>
      <c r="G666">
        <f>IF(B666="","",IFERROR(INDEX(Products!$B:$B,MATCH(B666,Products!$A:$A,0)),"SKU not found"))</f>
        <v/>
      </c>
    </row>
    <row r="667">
      <c r="A667" s="7" t="n"/>
      <c r="B667" s="4" t="n"/>
      <c r="C667" s="4" t="n"/>
      <c r="D667" s="4" t="n"/>
      <c r="E667" s="4" t="n"/>
      <c r="F667" s="4" t="n"/>
      <c r="G667">
        <f>IF(B667="","",IFERROR(INDEX(Products!$B:$B,MATCH(B667,Products!$A:$A,0)),"SKU not found"))</f>
        <v/>
      </c>
    </row>
    <row r="668">
      <c r="A668" s="7" t="n"/>
      <c r="B668" s="4" t="n"/>
      <c r="C668" s="4" t="n"/>
      <c r="D668" s="4" t="n"/>
      <c r="E668" s="4" t="n"/>
      <c r="F668" s="4" t="n"/>
      <c r="G668">
        <f>IF(B668="","",IFERROR(INDEX(Products!$B:$B,MATCH(B668,Products!$A:$A,0)),"SKU not found"))</f>
        <v/>
      </c>
    </row>
    <row r="669">
      <c r="A669" s="7" t="n"/>
      <c r="B669" s="4" t="n"/>
      <c r="C669" s="4" t="n"/>
      <c r="D669" s="4" t="n"/>
      <c r="E669" s="4" t="n"/>
      <c r="F669" s="4" t="n"/>
      <c r="G669">
        <f>IF(B669="","",IFERROR(INDEX(Products!$B:$B,MATCH(B669,Products!$A:$A,0)),"SKU not found"))</f>
        <v/>
      </c>
    </row>
    <row r="670">
      <c r="A670" s="7" t="n"/>
      <c r="B670" s="4" t="n"/>
      <c r="C670" s="4" t="n"/>
      <c r="D670" s="4" t="n"/>
      <c r="E670" s="4" t="n"/>
      <c r="F670" s="4" t="n"/>
      <c r="G670">
        <f>IF(B670="","",IFERROR(INDEX(Products!$B:$B,MATCH(B670,Products!$A:$A,0)),"SKU not found"))</f>
        <v/>
      </c>
    </row>
    <row r="671">
      <c r="A671" s="7" t="n"/>
      <c r="B671" s="4" t="n"/>
      <c r="C671" s="4" t="n"/>
      <c r="D671" s="4" t="n"/>
      <c r="E671" s="4" t="n"/>
      <c r="F671" s="4" t="n"/>
      <c r="G671">
        <f>IF(B671="","",IFERROR(INDEX(Products!$B:$B,MATCH(B671,Products!$A:$A,0)),"SKU not found"))</f>
        <v/>
      </c>
    </row>
    <row r="672">
      <c r="A672" s="7" t="n"/>
      <c r="B672" s="4" t="n"/>
      <c r="C672" s="4" t="n"/>
      <c r="D672" s="4" t="n"/>
      <c r="E672" s="4" t="n"/>
      <c r="F672" s="4" t="n"/>
      <c r="G672">
        <f>IF(B672="","",IFERROR(INDEX(Products!$B:$B,MATCH(B672,Products!$A:$A,0)),"SKU not found"))</f>
        <v/>
      </c>
    </row>
    <row r="673">
      <c r="A673" s="7" t="n"/>
      <c r="B673" s="4" t="n"/>
      <c r="C673" s="4" t="n"/>
      <c r="D673" s="4" t="n"/>
      <c r="E673" s="4" t="n"/>
      <c r="F673" s="4" t="n"/>
      <c r="G673">
        <f>IF(B673="","",IFERROR(INDEX(Products!$B:$B,MATCH(B673,Products!$A:$A,0)),"SKU not found"))</f>
        <v/>
      </c>
    </row>
    <row r="674">
      <c r="A674" s="7" t="n"/>
      <c r="B674" s="4" t="n"/>
      <c r="C674" s="4" t="n"/>
      <c r="D674" s="4" t="n"/>
      <c r="E674" s="4" t="n"/>
      <c r="F674" s="4" t="n"/>
      <c r="G674">
        <f>IF(B674="","",IFERROR(INDEX(Products!$B:$B,MATCH(B674,Products!$A:$A,0)),"SKU not found"))</f>
        <v/>
      </c>
    </row>
    <row r="675">
      <c r="A675" s="7" t="n"/>
      <c r="B675" s="4" t="n"/>
      <c r="C675" s="4" t="n"/>
      <c r="D675" s="4" t="n"/>
      <c r="E675" s="4" t="n"/>
      <c r="F675" s="4" t="n"/>
      <c r="G675">
        <f>IF(B675="","",IFERROR(INDEX(Products!$B:$B,MATCH(B675,Products!$A:$A,0)),"SKU not found"))</f>
        <v/>
      </c>
    </row>
    <row r="676">
      <c r="A676" s="7" t="n"/>
      <c r="B676" s="4" t="n"/>
      <c r="C676" s="4" t="n"/>
      <c r="D676" s="4" t="n"/>
      <c r="E676" s="4" t="n"/>
      <c r="F676" s="4" t="n"/>
      <c r="G676">
        <f>IF(B676="","",IFERROR(INDEX(Products!$B:$B,MATCH(B676,Products!$A:$A,0)),"SKU not found"))</f>
        <v/>
      </c>
    </row>
    <row r="677">
      <c r="A677" s="7" t="n"/>
      <c r="B677" s="4" t="n"/>
      <c r="C677" s="4" t="n"/>
      <c r="D677" s="4" t="n"/>
      <c r="E677" s="4" t="n"/>
      <c r="F677" s="4" t="n"/>
      <c r="G677">
        <f>IF(B677="","",IFERROR(INDEX(Products!$B:$B,MATCH(B677,Products!$A:$A,0)),"SKU not found"))</f>
        <v/>
      </c>
    </row>
    <row r="678">
      <c r="A678" s="7" t="n"/>
      <c r="B678" s="4" t="n"/>
      <c r="C678" s="4" t="n"/>
      <c r="D678" s="4" t="n"/>
      <c r="E678" s="4" t="n"/>
      <c r="F678" s="4" t="n"/>
      <c r="G678">
        <f>IF(B678="","",IFERROR(INDEX(Products!$B:$B,MATCH(B678,Products!$A:$A,0)),"SKU not found"))</f>
        <v/>
      </c>
    </row>
    <row r="679">
      <c r="A679" s="7" t="n"/>
      <c r="B679" s="4" t="n"/>
      <c r="C679" s="4" t="n"/>
      <c r="D679" s="4" t="n"/>
      <c r="E679" s="4" t="n"/>
      <c r="F679" s="4" t="n"/>
      <c r="G679">
        <f>IF(B679="","",IFERROR(INDEX(Products!$B:$B,MATCH(B679,Products!$A:$A,0)),"SKU not found"))</f>
        <v/>
      </c>
    </row>
    <row r="680">
      <c r="A680" s="7" t="n"/>
      <c r="B680" s="4" t="n"/>
      <c r="C680" s="4" t="n"/>
      <c r="D680" s="4" t="n"/>
      <c r="E680" s="4" t="n"/>
      <c r="F680" s="4" t="n"/>
      <c r="G680">
        <f>IF(B680="","",IFERROR(INDEX(Products!$B:$B,MATCH(B680,Products!$A:$A,0)),"SKU not found"))</f>
        <v/>
      </c>
    </row>
    <row r="681">
      <c r="A681" s="7" t="n"/>
      <c r="B681" s="4" t="n"/>
      <c r="C681" s="4" t="n"/>
      <c r="D681" s="4" t="n"/>
      <c r="E681" s="4" t="n"/>
      <c r="F681" s="4" t="n"/>
      <c r="G681">
        <f>IF(B681="","",IFERROR(INDEX(Products!$B:$B,MATCH(B681,Products!$A:$A,0)),"SKU not found"))</f>
        <v/>
      </c>
    </row>
    <row r="682">
      <c r="A682" s="7" t="n"/>
      <c r="B682" s="4" t="n"/>
      <c r="C682" s="4" t="n"/>
      <c r="D682" s="4" t="n"/>
      <c r="E682" s="4" t="n"/>
      <c r="F682" s="4" t="n"/>
      <c r="G682">
        <f>IF(B682="","",IFERROR(INDEX(Products!$B:$B,MATCH(B682,Products!$A:$A,0)),"SKU not found"))</f>
        <v/>
      </c>
    </row>
    <row r="683">
      <c r="A683" s="7" t="n"/>
      <c r="B683" s="4" t="n"/>
      <c r="C683" s="4" t="n"/>
      <c r="D683" s="4" t="n"/>
      <c r="E683" s="4" t="n"/>
      <c r="F683" s="4" t="n"/>
      <c r="G683">
        <f>IF(B683="","",IFERROR(INDEX(Products!$B:$B,MATCH(B683,Products!$A:$A,0)),"SKU not found"))</f>
        <v/>
      </c>
    </row>
    <row r="684">
      <c r="A684" s="7" t="n"/>
      <c r="B684" s="4" t="n"/>
      <c r="C684" s="4" t="n"/>
      <c r="D684" s="4" t="n"/>
      <c r="E684" s="4" t="n"/>
      <c r="F684" s="4" t="n"/>
      <c r="G684">
        <f>IF(B684="","",IFERROR(INDEX(Products!$B:$B,MATCH(B684,Products!$A:$A,0)),"SKU not found"))</f>
        <v/>
      </c>
    </row>
    <row r="685">
      <c r="A685" s="7" t="n"/>
      <c r="B685" s="4" t="n"/>
      <c r="C685" s="4" t="n"/>
      <c r="D685" s="4" t="n"/>
      <c r="E685" s="4" t="n"/>
      <c r="F685" s="4" t="n"/>
      <c r="G685">
        <f>IF(B685="","",IFERROR(INDEX(Products!$B:$B,MATCH(B685,Products!$A:$A,0)),"SKU not found"))</f>
        <v/>
      </c>
    </row>
    <row r="686">
      <c r="A686" s="7" t="n"/>
      <c r="B686" s="4" t="n"/>
      <c r="C686" s="4" t="n"/>
      <c r="D686" s="4" t="n"/>
      <c r="E686" s="4" t="n"/>
      <c r="F686" s="4" t="n"/>
      <c r="G686">
        <f>IF(B686="","",IFERROR(INDEX(Products!$B:$B,MATCH(B686,Products!$A:$A,0)),"SKU not found"))</f>
        <v/>
      </c>
    </row>
    <row r="687">
      <c r="A687" s="7" t="n"/>
      <c r="B687" s="4" t="n"/>
      <c r="C687" s="4" t="n"/>
      <c r="D687" s="4" t="n"/>
      <c r="E687" s="4" t="n"/>
      <c r="F687" s="4" t="n"/>
      <c r="G687">
        <f>IF(B687="","",IFERROR(INDEX(Products!$B:$B,MATCH(B687,Products!$A:$A,0)),"SKU not found"))</f>
        <v/>
      </c>
    </row>
    <row r="688">
      <c r="A688" s="7" t="n"/>
      <c r="B688" s="4" t="n"/>
      <c r="C688" s="4" t="n"/>
      <c r="D688" s="4" t="n"/>
      <c r="E688" s="4" t="n"/>
      <c r="F688" s="4" t="n"/>
      <c r="G688">
        <f>IF(B688="","",IFERROR(INDEX(Products!$B:$B,MATCH(B688,Products!$A:$A,0)),"SKU not found"))</f>
        <v/>
      </c>
    </row>
    <row r="689">
      <c r="A689" s="7" t="n"/>
      <c r="B689" s="4" t="n"/>
      <c r="C689" s="4" t="n"/>
      <c r="D689" s="4" t="n"/>
      <c r="E689" s="4" t="n"/>
      <c r="F689" s="4" t="n"/>
      <c r="G689">
        <f>IF(B689="","",IFERROR(INDEX(Products!$B:$B,MATCH(B689,Products!$A:$A,0)),"SKU not found"))</f>
        <v/>
      </c>
    </row>
    <row r="690">
      <c r="A690" s="7" t="n"/>
      <c r="B690" s="4" t="n"/>
      <c r="C690" s="4" t="n"/>
      <c r="D690" s="4" t="n"/>
      <c r="E690" s="4" t="n"/>
      <c r="F690" s="4" t="n"/>
      <c r="G690">
        <f>IF(B690="","",IFERROR(INDEX(Products!$B:$B,MATCH(B690,Products!$A:$A,0)),"SKU not found"))</f>
        <v/>
      </c>
    </row>
    <row r="691">
      <c r="A691" s="7" t="n"/>
      <c r="B691" s="4" t="n"/>
      <c r="C691" s="4" t="n"/>
      <c r="D691" s="4" t="n"/>
      <c r="E691" s="4" t="n"/>
      <c r="F691" s="4" t="n"/>
      <c r="G691">
        <f>IF(B691="","",IFERROR(INDEX(Products!$B:$B,MATCH(B691,Products!$A:$A,0)),"SKU not found"))</f>
        <v/>
      </c>
    </row>
    <row r="692">
      <c r="A692" s="7" t="n"/>
      <c r="B692" s="4" t="n"/>
      <c r="C692" s="4" t="n"/>
      <c r="D692" s="4" t="n"/>
      <c r="E692" s="4" t="n"/>
      <c r="F692" s="4" t="n"/>
      <c r="G692">
        <f>IF(B692="","",IFERROR(INDEX(Products!$B:$B,MATCH(B692,Products!$A:$A,0)),"SKU not found"))</f>
        <v/>
      </c>
    </row>
    <row r="693">
      <c r="A693" s="7" t="n"/>
      <c r="B693" s="4" t="n"/>
      <c r="C693" s="4" t="n"/>
      <c r="D693" s="4" t="n"/>
      <c r="E693" s="4" t="n"/>
      <c r="F693" s="4" t="n"/>
      <c r="G693">
        <f>IF(B693="","",IFERROR(INDEX(Products!$B:$B,MATCH(B693,Products!$A:$A,0)),"SKU not found"))</f>
        <v/>
      </c>
    </row>
    <row r="694">
      <c r="A694" s="7" t="n"/>
      <c r="B694" s="4" t="n"/>
      <c r="C694" s="4" t="n"/>
      <c r="D694" s="4" t="n"/>
      <c r="E694" s="4" t="n"/>
      <c r="F694" s="4" t="n"/>
      <c r="G694">
        <f>IF(B694="","",IFERROR(INDEX(Products!$B:$B,MATCH(B694,Products!$A:$A,0)),"SKU not found"))</f>
        <v/>
      </c>
    </row>
    <row r="695">
      <c r="A695" s="7" t="n"/>
      <c r="B695" s="4" t="n"/>
      <c r="C695" s="4" t="n"/>
      <c r="D695" s="4" t="n"/>
      <c r="E695" s="4" t="n"/>
      <c r="F695" s="4" t="n"/>
      <c r="G695">
        <f>IF(B695="","",IFERROR(INDEX(Products!$B:$B,MATCH(B695,Products!$A:$A,0)),"SKU not found"))</f>
        <v/>
      </c>
    </row>
    <row r="696">
      <c r="A696" s="7" t="n"/>
      <c r="B696" s="4" t="n"/>
      <c r="C696" s="4" t="n"/>
      <c r="D696" s="4" t="n"/>
      <c r="E696" s="4" t="n"/>
      <c r="F696" s="4" t="n"/>
      <c r="G696">
        <f>IF(B696="","",IFERROR(INDEX(Products!$B:$B,MATCH(B696,Products!$A:$A,0)),"SKU not found"))</f>
        <v/>
      </c>
    </row>
    <row r="697">
      <c r="A697" s="7" t="n"/>
      <c r="B697" s="4" t="n"/>
      <c r="C697" s="4" t="n"/>
      <c r="D697" s="4" t="n"/>
      <c r="E697" s="4" t="n"/>
      <c r="F697" s="4" t="n"/>
      <c r="G697">
        <f>IF(B697="","",IFERROR(INDEX(Products!$B:$B,MATCH(B697,Products!$A:$A,0)),"SKU not found"))</f>
        <v/>
      </c>
    </row>
    <row r="698">
      <c r="A698" s="7" t="n"/>
      <c r="B698" s="4" t="n"/>
      <c r="C698" s="4" t="n"/>
      <c r="D698" s="4" t="n"/>
      <c r="E698" s="4" t="n"/>
      <c r="F698" s="4" t="n"/>
      <c r="G698">
        <f>IF(B698="","",IFERROR(INDEX(Products!$B:$B,MATCH(B698,Products!$A:$A,0)),"SKU not found"))</f>
        <v/>
      </c>
    </row>
    <row r="699">
      <c r="A699" s="7" t="n"/>
      <c r="B699" s="4" t="n"/>
      <c r="C699" s="4" t="n"/>
      <c r="D699" s="4" t="n"/>
      <c r="E699" s="4" t="n"/>
      <c r="F699" s="4" t="n"/>
      <c r="G699">
        <f>IF(B699="","",IFERROR(INDEX(Products!$B:$B,MATCH(B699,Products!$A:$A,0)),"SKU not found"))</f>
        <v/>
      </c>
    </row>
    <row r="700">
      <c r="A700" s="7" t="n"/>
      <c r="B700" s="4" t="n"/>
      <c r="C700" s="4" t="n"/>
      <c r="D700" s="4" t="n"/>
      <c r="E700" s="4" t="n"/>
      <c r="F700" s="4" t="n"/>
      <c r="G700">
        <f>IF(B700="","",IFERROR(INDEX(Products!$B:$B,MATCH(B700,Products!$A:$A,0)),"SKU not found"))</f>
        <v/>
      </c>
    </row>
    <row r="701">
      <c r="A701" s="7" t="n"/>
      <c r="B701" s="4" t="n"/>
      <c r="C701" s="4" t="n"/>
      <c r="D701" s="4" t="n"/>
      <c r="E701" s="4" t="n"/>
      <c r="F701" s="4" t="n"/>
      <c r="G701">
        <f>IF(B701="","",IFERROR(INDEX(Products!$B:$B,MATCH(B701,Products!$A:$A,0)),"SKU not found"))</f>
        <v/>
      </c>
    </row>
    <row r="702">
      <c r="A702" s="7" t="n"/>
      <c r="B702" s="4" t="n"/>
      <c r="C702" s="4" t="n"/>
      <c r="D702" s="4" t="n"/>
      <c r="E702" s="4" t="n"/>
      <c r="F702" s="4" t="n"/>
      <c r="G702">
        <f>IF(B702="","",IFERROR(INDEX(Products!$B:$B,MATCH(B702,Products!$A:$A,0)),"SKU not found"))</f>
        <v/>
      </c>
    </row>
    <row r="703">
      <c r="A703" s="7" t="n"/>
      <c r="B703" s="4" t="n"/>
      <c r="C703" s="4" t="n"/>
      <c r="D703" s="4" t="n"/>
      <c r="E703" s="4" t="n"/>
      <c r="F703" s="4" t="n"/>
      <c r="G703">
        <f>IF(B703="","",IFERROR(INDEX(Products!$B:$B,MATCH(B703,Products!$A:$A,0)),"SKU not found"))</f>
        <v/>
      </c>
    </row>
    <row r="704">
      <c r="A704" s="7" t="n"/>
      <c r="B704" s="4" t="n"/>
      <c r="C704" s="4" t="n"/>
      <c r="D704" s="4" t="n"/>
      <c r="E704" s="4" t="n"/>
      <c r="F704" s="4" t="n"/>
      <c r="G704">
        <f>IF(B704="","",IFERROR(INDEX(Products!$B:$B,MATCH(B704,Products!$A:$A,0)),"SKU not found"))</f>
        <v/>
      </c>
    </row>
    <row r="705">
      <c r="A705" s="7" t="n"/>
      <c r="B705" s="4" t="n"/>
      <c r="C705" s="4" t="n"/>
      <c r="D705" s="4" t="n"/>
      <c r="E705" s="4" t="n"/>
      <c r="F705" s="4" t="n"/>
      <c r="G705">
        <f>IF(B705="","",IFERROR(INDEX(Products!$B:$B,MATCH(B705,Products!$A:$A,0)),"SKU not found"))</f>
        <v/>
      </c>
    </row>
    <row r="706">
      <c r="A706" s="7" t="n"/>
      <c r="B706" s="4" t="n"/>
      <c r="C706" s="4" t="n"/>
      <c r="D706" s="4" t="n"/>
      <c r="E706" s="4" t="n"/>
      <c r="F706" s="4" t="n"/>
      <c r="G706">
        <f>IF(B706="","",IFERROR(INDEX(Products!$B:$B,MATCH(B706,Products!$A:$A,0)),"SKU not found"))</f>
        <v/>
      </c>
    </row>
    <row r="707">
      <c r="A707" s="7" t="n"/>
      <c r="B707" s="4" t="n"/>
      <c r="C707" s="4" t="n"/>
      <c r="D707" s="4" t="n"/>
      <c r="E707" s="4" t="n"/>
      <c r="F707" s="4" t="n"/>
      <c r="G707">
        <f>IF(B707="","",IFERROR(INDEX(Products!$B:$B,MATCH(B707,Products!$A:$A,0)),"SKU not found"))</f>
        <v/>
      </c>
    </row>
    <row r="708">
      <c r="A708" s="7" t="n"/>
      <c r="B708" s="4" t="n"/>
      <c r="C708" s="4" t="n"/>
      <c r="D708" s="4" t="n"/>
      <c r="E708" s="4" t="n"/>
      <c r="F708" s="4" t="n"/>
      <c r="G708">
        <f>IF(B708="","",IFERROR(INDEX(Products!$B:$B,MATCH(B708,Products!$A:$A,0)),"SKU not found"))</f>
        <v/>
      </c>
    </row>
    <row r="709">
      <c r="A709" s="7" t="n"/>
      <c r="B709" s="4" t="n"/>
      <c r="C709" s="4" t="n"/>
      <c r="D709" s="4" t="n"/>
      <c r="E709" s="4" t="n"/>
      <c r="F709" s="4" t="n"/>
      <c r="G709">
        <f>IF(B709="","",IFERROR(INDEX(Products!$B:$B,MATCH(B709,Products!$A:$A,0)),"SKU not found"))</f>
        <v/>
      </c>
    </row>
    <row r="710">
      <c r="A710" s="7" t="n"/>
      <c r="B710" s="4" t="n"/>
      <c r="C710" s="4" t="n"/>
      <c r="D710" s="4" t="n"/>
      <c r="E710" s="4" t="n"/>
      <c r="F710" s="4" t="n"/>
      <c r="G710">
        <f>IF(B710="","",IFERROR(INDEX(Products!$B:$B,MATCH(B710,Products!$A:$A,0)),"SKU not found"))</f>
        <v/>
      </c>
    </row>
    <row r="711">
      <c r="A711" s="7" t="n"/>
      <c r="B711" s="4" t="n"/>
      <c r="C711" s="4" t="n"/>
      <c r="D711" s="4" t="n"/>
      <c r="E711" s="4" t="n"/>
      <c r="F711" s="4" t="n"/>
      <c r="G711">
        <f>IF(B711="","",IFERROR(INDEX(Products!$B:$B,MATCH(B711,Products!$A:$A,0)),"SKU not found"))</f>
        <v/>
      </c>
    </row>
    <row r="712">
      <c r="A712" s="7" t="n"/>
      <c r="B712" s="4" t="n"/>
      <c r="C712" s="4" t="n"/>
      <c r="D712" s="4" t="n"/>
      <c r="E712" s="4" t="n"/>
      <c r="F712" s="4" t="n"/>
      <c r="G712">
        <f>IF(B712="","",IFERROR(INDEX(Products!$B:$B,MATCH(B712,Products!$A:$A,0)),"SKU not found"))</f>
        <v/>
      </c>
    </row>
    <row r="713">
      <c r="A713" s="7" t="n"/>
      <c r="B713" s="4" t="n"/>
      <c r="C713" s="4" t="n"/>
      <c r="D713" s="4" t="n"/>
      <c r="E713" s="4" t="n"/>
      <c r="F713" s="4" t="n"/>
      <c r="G713">
        <f>IF(B713="","",IFERROR(INDEX(Products!$B:$B,MATCH(B713,Products!$A:$A,0)),"SKU not found"))</f>
        <v/>
      </c>
    </row>
    <row r="714">
      <c r="A714" s="7" t="n"/>
      <c r="B714" s="4" t="n"/>
      <c r="C714" s="4" t="n"/>
      <c r="D714" s="4" t="n"/>
      <c r="E714" s="4" t="n"/>
      <c r="F714" s="4" t="n"/>
      <c r="G714">
        <f>IF(B714="","",IFERROR(INDEX(Products!$B:$B,MATCH(B714,Products!$A:$A,0)),"SKU not found"))</f>
        <v/>
      </c>
    </row>
    <row r="715">
      <c r="A715" s="7" t="n"/>
      <c r="B715" s="4" t="n"/>
      <c r="C715" s="4" t="n"/>
      <c r="D715" s="4" t="n"/>
      <c r="E715" s="4" t="n"/>
      <c r="F715" s="4" t="n"/>
      <c r="G715">
        <f>IF(B715="","",IFERROR(INDEX(Products!$B:$B,MATCH(B715,Products!$A:$A,0)),"SKU not found"))</f>
        <v/>
      </c>
    </row>
    <row r="716">
      <c r="A716" s="7" t="n"/>
      <c r="B716" s="4" t="n"/>
      <c r="C716" s="4" t="n"/>
      <c r="D716" s="4" t="n"/>
      <c r="E716" s="4" t="n"/>
      <c r="F716" s="4" t="n"/>
      <c r="G716">
        <f>IF(B716="","",IFERROR(INDEX(Products!$B:$B,MATCH(B716,Products!$A:$A,0)),"SKU not found"))</f>
        <v/>
      </c>
    </row>
    <row r="717">
      <c r="A717" s="7" t="n"/>
      <c r="B717" s="4" t="n"/>
      <c r="C717" s="4" t="n"/>
      <c r="D717" s="4" t="n"/>
      <c r="E717" s="4" t="n"/>
      <c r="F717" s="4" t="n"/>
      <c r="G717">
        <f>IF(B717="","",IFERROR(INDEX(Products!$B:$B,MATCH(B717,Products!$A:$A,0)),"SKU not found"))</f>
        <v/>
      </c>
    </row>
    <row r="718">
      <c r="A718" s="7" t="n"/>
      <c r="B718" s="4" t="n"/>
      <c r="C718" s="4" t="n"/>
      <c r="D718" s="4" t="n"/>
      <c r="E718" s="4" t="n"/>
      <c r="F718" s="4" t="n"/>
      <c r="G718">
        <f>IF(B718="","",IFERROR(INDEX(Products!$B:$B,MATCH(B718,Products!$A:$A,0)),"SKU not found"))</f>
        <v/>
      </c>
    </row>
    <row r="719">
      <c r="A719" s="7" t="n"/>
      <c r="B719" s="4" t="n"/>
      <c r="C719" s="4" t="n"/>
      <c r="D719" s="4" t="n"/>
      <c r="E719" s="4" t="n"/>
      <c r="F719" s="4" t="n"/>
      <c r="G719">
        <f>IF(B719="","",IFERROR(INDEX(Products!$B:$B,MATCH(B719,Products!$A:$A,0)),"SKU not found"))</f>
        <v/>
      </c>
    </row>
    <row r="720">
      <c r="A720" s="7" t="n"/>
      <c r="B720" s="4" t="n"/>
      <c r="C720" s="4" t="n"/>
      <c r="D720" s="4" t="n"/>
      <c r="E720" s="4" t="n"/>
      <c r="F720" s="4" t="n"/>
      <c r="G720">
        <f>IF(B720="","",IFERROR(INDEX(Products!$B:$B,MATCH(B720,Products!$A:$A,0)),"SKU not found"))</f>
        <v/>
      </c>
    </row>
    <row r="721">
      <c r="A721" s="7" t="n"/>
      <c r="B721" s="4" t="n"/>
      <c r="C721" s="4" t="n"/>
      <c r="D721" s="4" t="n"/>
      <c r="E721" s="4" t="n"/>
      <c r="F721" s="4" t="n"/>
      <c r="G721">
        <f>IF(B721="","",IFERROR(INDEX(Products!$B:$B,MATCH(B721,Products!$A:$A,0)),"SKU not found"))</f>
        <v/>
      </c>
    </row>
    <row r="722">
      <c r="A722" s="7" t="n"/>
      <c r="B722" s="4" t="n"/>
      <c r="C722" s="4" t="n"/>
      <c r="D722" s="4" t="n"/>
      <c r="E722" s="4" t="n"/>
      <c r="F722" s="4" t="n"/>
      <c r="G722">
        <f>IF(B722="","",IFERROR(INDEX(Products!$B:$B,MATCH(B722,Products!$A:$A,0)),"SKU not found"))</f>
        <v/>
      </c>
    </row>
    <row r="723">
      <c r="A723" s="7" t="n"/>
      <c r="B723" s="4" t="n"/>
      <c r="C723" s="4" t="n"/>
      <c r="D723" s="4" t="n"/>
      <c r="E723" s="4" t="n"/>
      <c r="F723" s="4" t="n"/>
      <c r="G723">
        <f>IF(B723="","",IFERROR(INDEX(Products!$B:$B,MATCH(B723,Products!$A:$A,0)),"SKU not found"))</f>
        <v/>
      </c>
    </row>
    <row r="724">
      <c r="A724" s="7" t="n"/>
      <c r="B724" s="4" t="n"/>
      <c r="C724" s="4" t="n"/>
      <c r="D724" s="4" t="n"/>
      <c r="E724" s="4" t="n"/>
      <c r="F724" s="4" t="n"/>
      <c r="G724">
        <f>IF(B724="","",IFERROR(INDEX(Products!$B:$B,MATCH(B724,Products!$A:$A,0)),"SKU not found"))</f>
        <v/>
      </c>
    </row>
    <row r="725">
      <c r="A725" s="7" t="n"/>
      <c r="B725" s="4" t="n"/>
      <c r="C725" s="4" t="n"/>
      <c r="D725" s="4" t="n"/>
      <c r="E725" s="4" t="n"/>
      <c r="F725" s="4" t="n"/>
      <c r="G725">
        <f>IF(B725="","",IFERROR(INDEX(Products!$B:$B,MATCH(B725,Products!$A:$A,0)),"SKU not found"))</f>
        <v/>
      </c>
    </row>
    <row r="726">
      <c r="A726" s="7" t="n"/>
      <c r="B726" s="4" t="n"/>
      <c r="C726" s="4" t="n"/>
      <c r="D726" s="4" t="n"/>
      <c r="E726" s="4" t="n"/>
      <c r="F726" s="4" t="n"/>
      <c r="G726">
        <f>IF(B726="","",IFERROR(INDEX(Products!$B:$B,MATCH(B726,Products!$A:$A,0)),"SKU not found"))</f>
        <v/>
      </c>
    </row>
    <row r="727">
      <c r="A727" s="7" t="n"/>
      <c r="B727" s="4" t="n"/>
      <c r="C727" s="4" t="n"/>
      <c r="D727" s="4" t="n"/>
      <c r="E727" s="4" t="n"/>
      <c r="F727" s="4" t="n"/>
      <c r="G727">
        <f>IF(B727="","",IFERROR(INDEX(Products!$B:$B,MATCH(B727,Products!$A:$A,0)),"SKU not found"))</f>
        <v/>
      </c>
    </row>
    <row r="728">
      <c r="A728" s="7" t="n"/>
      <c r="B728" s="4" t="n"/>
      <c r="C728" s="4" t="n"/>
      <c r="D728" s="4" t="n"/>
      <c r="E728" s="4" t="n"/>
      <c r="F728" s="4" t="n"/>
      <c r="G728">
        <f>IF(B728="","",IFERROR(INDEX(Products!$B:$B,MATCH(B728,Products!$A:$A,0)),"SKU not found"))</f>
        <v/>
      </c>
    </row>
    <row r="729">
      <c r="A729" s="7" t="n"/>
      <c r="B729" s="4" t="n"/>
      <c r="C729" s="4" t="n"/>
      <c r="D729" s="4" t="n"/>
      <c r="E729" s="4" t="n"/>
      <c r="F729" s="4" t="n"/>
      <c r="G729">
        <f>IF(B729="","",IFERROR(INDEX(Products!$B:$B,MATCH(B729,Products!$A:$A,0)),"SKU not found"))</f>
        <v/>
      </c>
    </row>
    <row r="730">
      <c r="A730" s="7" t="n"/>
      <c r="B730" s="4" t="n"/>
      <c r="C730" s="4" t="n"/>
      <c r="D730" s="4" t="n"/>
      <c r="E730" s="4" t="n"/>
      <c r="F730" s="4" t="n"/>
      <c r="G730">
        <f>IF(B730="","",IFERROR(INDEX(Products!$B:$B,MATCH(B730,Products!$A:$A,0)),"SKU not found"))</f>
        <v/>
      </c>
    </row>
    <row r="731">
      <c r="A731" s="7" t="n"/>
      <c r="B731" s="4" t="n"/>
      <c r="C731" s="4" t="n"/>
      <c r="D731" s="4" t="n"/>
      <c r="E731" s="4" t="n"/>
      <c r="F731" s="4" t="n"/>
      <c r="G731">
        <f>IF(B731="","",IFERROR(INDEX(Products!$B:$B,MATCH(B731,Products!$A:$A,0)),"SKU not found"))</f>
        <v/>
      </c>
    </row>
    <row r="732">
      <c r="A732" s="7" t="n"/>
      <c r="B732" s="4" t="n"/>
      <c r="C732" s="4" t="n"/>
      <c r="D732" s="4" t="n"/>
      <c r="E732" s="4" t="n"/>
      <c r="F732" s="4" t="n"/>
      <c r="G732">
        <f>IF(B732="","",IFERROR(INDEX(Products!$B:$B,MATCH(B732,Products!$A:$A,0)),"SKU not found"))</f>
        <v/>
      </c>
    </row>
    <row r="733">
      <c r="A733" s="7" t="n"/>
      <c r="B733" s="4" t="n"/>
      <c r="C733" s="4" t="n"/>
      <c r="D733" s="4" t="n"/>
      <c r="E733" s="4" t="n"/>
      <c r="F733" s="4" t="n"/>
      <c r="G733">
        <f>IF(B733="","",IFERROR(INDEX(Products!$B:$B,MATCH(B733,Products!$A:$A,0)),"SKU not found"))</f>
        <v/>
      </c>
    </row>
    <row r="734">
      <c r="A734" s="7" t="n"/>
      <c r="B734" s="4" t="n"/>
      <c r="C734" s="4" t="n"/>
      <c r="D734" s="4" t="n"/>
      <c r="E734" s="4" t="n"/>
      <c r="F734" s="4" t="n"/>
      <c r="G734">
        <f>IF(B734="","",IFERROR(INDEX(Products!$B:$B,MATCH(B734,Products!$A:$A,0)),"SKU not found"))</f>
        <v/>
      </c>
    </row>
    <row r="735">
      <c r="A735" s="7" t="n"/>
      <c r="B735" s="4" t="n"/>
      <c r="C735" s="4" t="n"/>
      <c r="D735" s="4" t="n"/>
      <c r="E735" s="4" t="n"/>
      <c r="F735" s="4" t="n"/>
      <c r="G735">
        <f>IF(B735="","",IFERROR(INDEX(Products!$B:$B,MATCH(B735,Products!$A:$A,0)),"SKU not found"))</f>
        <v/>
      </c>
    </row>
    <row r="736">
      <c r="A736" s="7" t="n"/>
      <c r="B736" s="4" t="n"/>
      <c r="C736" s="4" t="n"/>
      <c r="D736" s="4" t="n"/>
      <c r="E736" s="4" t="n"/>
      <c r="F736" s="4" t="n"/>
      <c r="G736">
        <f>IF(B736="","",IFERROR(INDEX(Products!$B:$B,MATCH(B736,Products!$A:$A,0)),"SKU not found"))</f>
        <v/>
      </c>
    </row>
    <row r="737">
      <c r="A737" s="7" t="n"/>
      <c r="B737" s="4" t="n"/>
      <c r="C737" s="4" t="n"/>
      <c r="D737" s="4" t="n"/>
      <c r="E737" s="4" t="n"/>
      <c r="F737" s="4" t="n"/>
      <c r="G737">
        <f>IF(B737="","",IFERROR(INDEX(Products!$B:$B,MATCH(B737,Products!$A:$A,0)),"SKU not found"))</f>
        <v/>
      </c>
    </row>
    <row r="738">
      <c r="A738" s="7" t="n"/>
      <c r="B738" s="4" t="n"/>
      <c r="C738" s="4" t="n"/>
      <c r="D738" s="4" t="n"/>
      <c r="E738" s="4" t="n"/>
      <c r="F738" s="4" t="n"/>
      <c r="G738">
        <f>IF(B738="","",IFERROR(INDEX(Products!$B:$B,MATCH(B738,Products!$A:$A,0)),"SKU not found"))</f>
        <v/>
      </c>
    </row>
    <row r="739">
      <c r="A739" s="7" t="n"/>
      <c r="B739" s="4" t="n"/>
      <c r="C739" s="4" t="n"/>
      <c r="D739" s="4" t="n"/>
      <c r="E739" s="4" t="n"/>
      <c r="F739" s="4" t="n"/>
      <c r="G739">
        <f>IF(B739="","",IFERROR(INDEX(Products!$B:$B,MATCH(B739,Products!$A:$A,0)),"SKU not found"))</f>
        <v/>
      </c>
    </row>
    <row r="740">
      <c r="A740" s="7" t="n"/>
      <c r="B740" s="4" t="n"/>
      <c r="C740" s="4" t="n"/>
      <c r="D740" s="4" t="n"/>
      <c r="E740" s="4" t="n"/>
      <c r="F740" s="4" t="n"/>
      <c r="G740">
        <f>IF(B740="","",IFERROR(INDEX(Products!$B:$B,MATCH(B740,Products!$A:$A,0)),"SKU not found"))</f>
        <v/>
      </c>
    </row>
    <row r="741">
      <c r="A741" s="7" t="n"/>
      <c r="B741" s="4" t="n"/>
      <c r="C741" s="4" t="n"/>
      <c r="D741" s="4" t="n"/>
      <c r="E741" s="4" t="n"/>
      <c r="F741" s="4" t="n"/>
      <c r="G741">
        <f>IF(B741="","",IFERROR(INDEX(Products!$B:$B,MATCH(B741,Products!$A:$A,0)),"SKU not found"))</f>
        <v/>
      </c>
    </row>
    <row r="742">
      <c r="A742" s="7" t="n"/>
      <c r="B742" s="4" t="n"/>
      <c r="C742" s="4" t="n"/>
      <c r="D742" s="4" t="n"/>
      <c r="E742" s="4" t="n"/>
      <c r="F742" s="4" t="n"/>
      <c r="G742">
        <f>IF(B742="","",IFERROR(INDEX(Products!$B:$B,MATCH(B742,Products!$A:$A,0)),"SKU not found"))</f>
        <v/>
      </c>
    </row>
    <row r="743">
      <c r="A743" s="7" t="n"/>
      <c r="B743" s="4" t="n"/>
      <c r="C743" s="4" t="n"/>
      <c r="D743" s="4" t="n"/>
      <c r="E743" s="4" t="n"/>
      <c r="F743" s="4" t="n"/>
      <c r="G743">
        <f>IF(B743="","",IFERROR(INDEX(Products!$B:$B,MATCH(B743,Products!$A:$A,0)),"SKU not found"))</f>
        <v/>
      </c>
    </row>
    <row r="744">
      <c r="A744" s="7" t="n"/>
      <c r="B744" s="4" t="n"/>
      <c r="C744" s="4" t="n"/>
      <c r="D744" s="4" t="n"/>
      <c r="E744" s="4" t="n"/>
      <c r="F744" s="4" t="n"/>
      <c r="G744">
        <f>IF(B744="","",IFERROR(INDEX(Products!$B:$B,MATCH(B744,Products!$A:$A,0)),"SKU not found"))</f>
        <v/>
      </c>
    </row>
    <row r="745">
      <c r="A745" s="7" t="n"/>
      <c r="B745" s="4" t="n"/>
      <c r="C745" s="4" t="n"/>
      <c r="D745" s="4" t="n"/>
      <c r="E745" s="4" t="n"/>
      <c r="F745" s="4" t="n"/>
      <c r="G745">
        <f>IF(B745="","",IFERROR(INDEX(Products!$B:$B,MATCH(B745,Products!$A:$A,0)),"SKU not found"))</f>
        <v/>
      </c>
    </row>
    <row r="746">
      <c r="A746" s="7" t="n"/>
      <c r="B746" s="4" t="n"/>
      <c r="C746" s="4" t="n"/>
      <c r="D746" s="4" t="n"/>
      <c r="E746" s="4" t="n"/>
      <c r="F746" s="4" t="n"/>
      <c r="G746">
        <f>IF(B746="","",IFERROR(INDEX(Products!$B:$B,MATCH(B746,Products!$A:$A,0)),"SKU not found"))</f>
        <v/>
      </c>
    </row>
    <row r="747">
      <c r="A747" s="7" t="n"/>
      <c r="B747" s="4" t="n"/>
      <c r="C747" s="4" t="n"/>
      <c r="D747" s="4" t="n"/>
      <c r="E747" s="4" t="n"/>
      <c r="F747" s="4" t="n"/>
      <c r="G747">
        <f>IF(B747="","",IFERROR(INDEX(Products!$B:$B,MATCH(B747,Products!$A:$A,0)),"SKU not found"))</f>
        <v/>
      </c>
    </row>
    <row r="748">
      <c r="A748" s="7" t="n"/>
      <c r="B748" s="4" t="n"/>
      <c r="C748" s="4" t="n"/>
      <c r="D748" s="4" t="n"/>
      <c r="E748" s="4" t="n"/>
      <c r="F748" s="4" t="n"/>
      <c r="G748">
        <f>IF(B748="","",IFERROR(INDEX(Products!$B:$B,MATCH(B748,Products!$A:$A,0)),"SKU not found"))</f>
        <v/>
      </c>
    </row>
    <row r="749">
      <c r="A749" s="7" t="n"/>
      <c r="B749" s="4" t="n"/>
      <c r="C749" s="4" t="n"/>
      <c r="D749" s="4" t="n"/>
      <c r="E749" s="4" t="n"/>
      <c r="F749" s="4" t="n"/>
      <c r="G749">
        <f>IF(B749="","",IFERROR(INDEX(Products!$B:$B,MATCH(B749,Products!$A:$A,0)),"SKU not found"))</f>
        <v/>
      </c>
    </row>
    <row r="750">
      <c r="A750" s="7" t="n"/>
      <c r="B750" s="4" t="n"/>
      <c r="C750" s="4" t="n"/>
      <c r="D750" s="4" t="n"/>
      <c r="E750" s="4" t="n"/>
      <c r="F750" s="4" t="n"/>
      <c r="G750">
        <f>IF(B750="","",IFERROR(INDEX(Products!$B:$B,MATCH(B750,Products!$A:$A,0)),"SKU not found"))</f>
        <v/>
      </c>
    </row>
    <row r="751">
      <c r="A751" s="7" t="n"/>
      <c r="B751" s="4" t="n"/>
      <c r="C751" s="4" t="n"/>
      <c r="D751" s="4" t="n"/>
      <c r="E751" s="4" t="n"/>
      <c r="F751" s="4" t="n"/>
      <c r="G751">
        <f>IF(B751="","",IFERROR(INDEX(Products!$B:$B,MATCH(B751,Products!$A:$A,0)),"SKU not found"))</f>
        <v/>
      </c>
    </row>
    <row r="752">
      <c r="A752" s="7" t="n"/>
      <c r="B752" s="4" t="n"/>
      <c r="C752" s="4" t="n"/>
      <c r="D752" s="4" t="n"/>
      <c r="E752" s="4" t="n"/>
      <c r="F752" s="4" t="n"/>
      <c r="G752">
        <f>IF(B752="","",IFERROR(INDEX(Products!$B:$B,MATCH(B752,Products!$A:$A,0)),"SKU not found"))</f>
        <v/>
      </c>
    </row>
    <row r="753">
      <c r="A753" s="7" t="n"/>
      <c r="B753" s="4" t="n"/>
      <c r="C753" s="4" t="n"/>
      <c r="D753" s="4" t="n"/>
      <c r="E753" s="4" t="n"/>
      <c r="F753" s="4" t="n"/>
      <c r="G753">
        <f>IF(B753="","",IFERROR(INDEX(Products!$B:$B,MATCH(B753,Products!$A:$A,0)),"SKU not found"))</f>
        <v/>
      </c>
    </row>
    <row r="754">
      <c r="A754" s="7" t="n"/>
      <c r="B754" s="4" t="n"/>
      <c r="C754" s="4" t="n"/>
      <c r="D754" s="4" t="n"/>
      <c r="E754" s="4" t="n"/>
      <c r="F754" s="4" t="n"/>
      <c r="G754">
        <f>IF(B754="","",IFERROR(INDEX(Products!$B:$B,MATCH(B754,Products!$A:$A,0)),"SKU not found"))</f>
        <v/>
      </c>
    </row>
    <row r="755">
      <c r="A755" s="7" t="n"/>
      <c r="B755" s="4" t="n"/>
      <c r="C755" s="4" t="n"/>
      <c r="D755" s="4" t="n"/>
      <c r="E755" s="4" t="n"/>
      <c r="F755" s="4" t="n"/>
      <c r="G755">
        <f>IF(B755="","",IFERROR(INDEX(Products!$B:$B,MATCH(B755,Products!$A:$A,0)),"SKU not found"))</f>
        <v/>
      </c>
    </row>
    <row r="756">
      <c r="A756" s="7" t="n"/>
      <c r="B756" s="4" t="n"/>
      <c r="C756" s="4" t="n"/>
      <c r="D756" s="4" t="n"/>
      <c r="E756" s="4" t="n"/>
      <c r="F756" s="4" t="n"/>
      <c r="G756">
        <f>IF(B756="","",IFERROR(INDEX(Products!$B:$B,MATCH(B756,Products!$A:$A,0)),"SKU not found"))</f>
        <v/>
      </c>
    </row>
    <row r="757">
      <c r="A757" s="7" t="n"/>
      <c r="B757" s="4" t="n"/>
      <c r="C757" s="4" t="n"/>
      <c r="D757" s="4" t="n"/>
      <c r="E757" s="4" t="n"/>
      <c r="F757" s="4" t="n"/>
      <c r="G757">
        <f>IF(B757="","",IFERROR(INDEX(Products!$B:$B,MATCH(B757,Products!$A:$A,0)),"SKU not found"))</f>
        <v/>
      </c>
    </row>
    <row r="758">
      <c r="A758" s="7" t="n"/>
      <c r="B758" s="4" t="n"/>
      <c r="C758" s="4" t="n"/>
      <c r="D758" s="4" t="n"/>
      <c r="E758" s="4" t="n"/>
      <c r="F758" s="4" t="n"/>
      <c r="G758">
        <f>IF(B758="","",IFERROR(INDEX(Products!$B:$B,MATCH(B758,Products!$A:$A,0)),"SKU not found"))</f>
        <v/>
      </c>
    </row>
    <row r="759">
      <c r="A759" s="7" t="n"/>
      <c r="B759" s="4" t="n"/>
      <c r="C759" s="4" t="n"/>
      <c r="D759" s="4" t="n"/>
      <c r="E759" s="4" t="n"/>
      <c r="F759" s="4" t="n"/>
      <c r="G759">
        <f>IF(B759="","",IFERROR(INDEX(Products!$B:$B,MATCH(B759,Products!$A:$A,0)),"SKU not found"))</f>
        <v/>
      </c>
    </row>
    <row r="760">
      <c r="A760" s="7" t="n"/>
      <c r="B760" s="4" t="n"/>
      <c r="C760" s="4" t="n"/>
      <c r="D760" s="4" t="n"/>
      <c r="E760" s="4" t="n"/>
      <c r="F760" s="4" t="n"/>
      <c r="G760">
        <f>IF(B760="","",IFERROR(INDEX(Products!$B:$B,MATCH(B760,Products!$A:$A,0)),"SKU not found"))</f>
        <v/>
      </c>
    </row>
    <row r="761">
      <c r="A761" s="7" t="n"/>
      <c r="B761" s="4" t="n"/>
      <c r="C761" s="4" t="n"/>
      <c r="D761" s="4" t="n"/>
      <c r="E761" s="4" t="n"/>
      <c r="F761" s="4" t="n"/>
      <c r="G761">
        <f>IF(B761="","",IFERROR(INDEX(Products!$B:$B,MATCH(B761,Products!$A:$A,0)),"SKU not found"))</f>
        <v/>
      </c>
    </row>
    <row r="762">
      <c r="A762" s="7" t="n"/>
      <c r="B762" s="4" t="n"/>
      <c r="C762" s="4" t="n"/>
      <c r="D762" s="4" t="n"/>
      <c r="E762" s="4" t="n"/>
      <c r="F762" s="4" t="n"/>
      <c r="G762">
        <f>IF(B762="","",IFERROR(INDEX(Products!$B:$B,MATCH(B762,Products!$A:$A,0)),"SKU not found"))</f>
        <v/>
      </c>
    </row>
    <row r="763">
      <c r="A763" s="7" t="n"/>
      <c r="B763" s="4" t="n"/>
      <c r="C763" s="4" t="n"/>
      <c r="D763" s="4" t="n"/>
      <c r="E763" s="4" t="n"/>
      <c r="F763" s="4" t="n"/>
      <c r="G763">
        <f>IF(B763="","",IFERROR(INDEX(Products!$B:$B,MATCH(B763,Products!$A:$A,0)),"SKU not found"))</f>
        <v/>
      </c>
    </row>
    <row r="764">
      <c r="A764" s="7" t="n"/>
      <c r="B764" s="4" t="n"/>
      <c r="C764" s="4" t="n"/>
      <c r="D764" s="4" t="n"/>
      <c r="E764" s="4" t="n"/>
      <c r="F764" s="4" t="n"/>
      <c r="G764">
        <f>IF(B764="","",IFERROR(INDEX(Products!$B:$B,MATCH(B764,Products!$A:$A,0)),"SKU not found"))</f>
        <v/>
      </c>
    </row>
    <row r="765">
      <c r="A765" s="7" t="n"/>
      <c r="B765" s="4" t="n"/>
      <c r="C765" s="4" t="n"/>
      <c r="D765" s="4" t="n"/>
      <c r="E765" s="4" t="n"/>
      <c r="F765" s="4" t="n"/>
      <c r="G765">
        <f>IF(B765="","",IFERROR(INDEX(Products!$B:$B,MATCH(B765,Products!$A:$A,0)),"SKU not found"))</f>
        <v/>
      </c>
    </row>
    <row r="766">
      <c r="A766" s="7" t="n"/>
      <c r="B766" s="4" t="n"/>
      <c r="C766" s="4" t="n"/>
      <c r="D766" s="4" t="n"/>
      <c r="E766" s="4" t="n"/>
      <c r="F766" s="4" t="n"/>
      <c r="G766">
        <f>IF(B766="","",IFERROR(INDEX(Products!$B:$B,MATCH(B766,Products!$A:$A,0)),"SKU not found"))</f>
        <v/>
      </c>
    </row>
    <row r="767">
      <c r="A767" s="7" t="n"/>
      <c r="B767" s="4" t="n"/>
      <c r="C767" s="4" t="n"/>
      <c r="D767" s="4" t="n"/>
      <c r="E767" s="4" t="n"/>
      <c r="F767" s="4" t="n"/>
      <c r="G767">
        <f>IF(B767="","",IFERROR(INDEX(Products!$B:$B,MATCH(B767,Products!$A:$A,0)),"SKU not found"))</f>
        <v/>
      </c>
    </row>
    <row r="768">
      <c r="A768" s="7" t="n"/>
      <c r="B768" s="4" t="n"/>
      <c r="C768" s="4" t="n"/>
      <c r="D768" s="4" t="n"/>
      <c r="E768" s="4" t="n"/>
      <c r="F768" s="4" t="n"/>
      <c r="G768">
        <f>IF(B768="","",IFERROR(INDEX(Products!$B:$B,MATCH(B768,Products!$A:$A,0)),"SKU not found"))</f>
        <v/>
      </c>
    </row>
    <row r="769">
      <c r="A769" s="7" t="n"/>
      <c r="B769" s="4" t="n"/>
      <c r="C769" s="4" t="n"/>
      <c r="D769" s="4" t="n"/>
      <c r="E769" s="4" t="n"/>
      <c r="F769" s="4" t="n"/>
      <c r="G769">
        <f>IF(B769="","",IFERROR(INDEX(Products!$B:$B,MATCH(B769,Products!$A:$A,0)),"SKU not found"))</f>
        <v/>
      </c>
    </row>
    <row r="770">
      <c r="A770" s="7" t="n"/>
      <c r="B770" s="4" t="n"/>
      <c r="C770" s="4" t="n"/>
      <c r="D770" s="4" t="n"/>
      <c r="E770" s="4" t="n"/>
      <c r="F770" s="4" t="n"/>
      <c r="G770">
        <f>IF(B770="","",IFERROR(INDEX(Products!$B:$B,MATCH(B770,Products!$A:$A,0)),"SKU not found"))</f>
        <v/>
      </c>
    </row>
    <row r="771">
      <c r="A771" s="7" t="n"/>
      <c r="B771" s="4" t="n"/>
      <c r="C771" s="4" t="n"/>
      <c r="D771" s="4" t="n"/>
      <c r="E771" s="4" t="n"/>
      <c r="F771" s="4" t="n"/>
      <c r="G771">
        <f>IF(B771="","",IFERROR(INDEX(Products!$B:$B,MATCH(B771,Products!$A:$A,0)),"SKU not found"))</f>
        <v/>
      </c>
    </row>
    <row r="772">
      <c r="A772" s="7" t="n"/>
      <c r="B772" s="4" t="n"/>
      <c r="C772" s="4" t="n"/>
      <c r="D772" s="4" t="n"/>
      <c r="E772" s="4" t="n"/>
      <c r="F772" s="4" t="n"/>
      <c r="G772">
        <f>IF(B772="","",IFERROR(INDEX(Products!$B:$B,MATCH(B772,Products!$A:$A,0)),"SKU not found"))</f>
        <v/>
      </c>
    </row>
    <row r="773">
      <c r="A773" s="7" t="n"/>
      <c r="B773" s="4" t="n"/>
      <c r="C773" s="4" t="n"/>
      <c r="D773" s="4" t="n"/>
      <c r="E773" s="4" t="n"/>
      <c r="F773" s="4" t="n"/>
      <c r="G773">
        <f>IF(B773="","",IFERROR(INDEX(Products!$B:$B,MATCH(B773,Products!$A:$A,0)),"SKU not found"))</f>
        <v/>
      </c>
    </row>
    <row r="774">
      <c r="A774" s="7" t="n"/>
      <c r="B774" s="4" t="n"/>
      <c r="C774" s="4" t="n"/>
      <c r="D774" s="4" t="n"/>
      <c r="E774" s="4" t="n"/>
      <c r="F774" s="4" t="n"/>
      <c r="G774">
        <f>IF(B774="","",IFERROR(INDEX(Products!$B:$B,MATCH(B774,Products!$A:$A,0)),"SKU not found"))</f>
        <v/>
      </c>
    </row>
    <row r="775">
      <c r="A775" s="7" t="n"/>
      <c r="B775" s="4" t="n"/>
      <c r="C775" s="4" t="n"/>
      <c r="D775" s="4" t="n"/>
      <c r="E775" s="4" t="n"/>
      <c r="F775" s="4" t="n"/>
      <c r="G775">
        <f>IF(B775="","",IFERROR(INDEX(Products!$B:$B,MATCH(B775,Products!$A:$A,0)),"SKU not found"))</f>
        <v/>
      </c>
    </row>
    <row r="776">
      <c r="A776" s="7" t="n"/>
      <c r="B776" s="4" t="n"/>
      <c r="C776" s="4" t="n"/>
      <c r="D776" s="4" t="n"/>
      <c r="E776" s="4" t="n"/>
      <c r="F776" s="4" t="n"/>
      <c r="G776">
        <f>IF(B776="","",IFERROR(INDEX(Products!$B:$B,MATCH(B776,Products!$A:$A,0)),"SKU not found"))</f>
        <v/>
      </c>
    </row>
    <row r="777">
      <c r="A777" s="7" t="n"/>
      <c r="B777" s="4" t="n"/>
      <c r="C777" s="4" t="n"/>
      <c r="D777" s="4" t="n"/>
      <c r="E777" s="4" t="n"/>
      <c r="F777" s="4" t="n"/>
      <c r="G777">
        <f>IF(B777="","",IFERROR(INDEX(Products!$B:$B,MATCH(B777,Products!$A:$A,0)),"SKU not found"))</f>
        <v/>
      </c>
    </row>
    <row r="778">
      <c r="A778" s="7" t="n"/>
      <c r="B778" s="4" t="n"/>
      <c r="C778" s="4" t="n"/>
      <c r="D778" s="4" t="n"/>
      <c r="E778" s="4" t="n"/>
      <c r="F778" s="4" t="n"/>
      <c r="G778">
        <f>IF(B778="","",IFERROR(INDEX(Products!$B:$B,MATCH(B778,Products!$A:$A,0)),"SKU not found"))</f>
        <v/>
      </c>
    </row>
    <row r="779">
      <c r="A779" s="7" t="n"/>
      <c r="B779" s="4" t="n"/>
      <c r="C779" s="4" t="n"/>
      <c r="D779" s="4" t="n"/>
      <c r="E779" s="4" t="n"/>
      <c r="F779" s="4" t="n"/>
      <c r="G779">
        <f>IF(B779="","",IFERROR(INDEX(Products!$B:$B,MATCH(B779,Products!$A:$A,0)),"SKU not found"))</f>
        <v/>
      </c>
    </row>
    <row r="780">
      <c r="A780" s="7" t="n"/>
      <c r="B780" s="4" t="n"/>
      <c r="C780" s="4" t="n"/>
      <c r="D780" s="4" t="n"/>
      <c r="E780" s="4" t="n"/>
      <c r="F780" s="4" t="n"/>
      <c r="G780">
        <f>IF(B780="","",IFERROR(INDEX(Products!$B:$B,MATCH(B780,Products!$A:$A,0)),"SKU not found"))</f>
        <v/>
      </c>
    </row>
    <row r="781">
      <c r="A781" s="7" t="n"/>
      <c r="B781" s="4" t="n"/>
      <c r="C781" s="4" t="n"/>
      <c r="D781" s="4" t="n"/>
      <c r="E781" s="4" t="n"/>
      <c r="F781" s="4" t="n"/>
      <c r="G781">
        <f>IF(B781="","",IFERROR(INDEX(Products!$B:$B,MATCH(B781,Products!$A:$A,0)),"SKU not found"))</f>
        <v/>
      </c>
    </row>
    <row r="782">
      <c r="A782" s="7" t="n"/>
      <c r="B782" s="4" t="n"/>
      <c r="C782" s="4" t="n"/>
      <c r="D782" s="4" t="n"/>
      <c r="E782" s="4" t="n"/>
      <c r="F782" s="4" t="n"/>
      <c r="G782">
        <f>IF(B782="","",IFERROR(INDEX(Products!$B:$B,MATCH(B782,Products!$A:$A,0)),"SKU not found"))</f>
        <v/>
      </c>
    </row>
    <row r="783">
      <c r="A783" s="7" t="n"/>
      <c r="B783" s="4" t="n"/>
      <c r="C783" s="4" t="n"/>
      <c r="D783" s="4" t="n"/>
      <c r="E783" s="4" t="n"/>
      <c r="F783" s="4" t="n"/>
      <c r="G783">
        <f>IF(B783="","",IFERROR(INDEX(Products!$B:$B,MATCH(B783,Products!$A:$A,0)),"SKU not found"))</f>
        <v/>
      </c>
    </row>
    <row r="784">
      <c r="A784" s="7" t="n"/>
      <c r="B784" s="4" t="n"/>
      <c r="C784" s="4" t="n"/>
      <c r="D784" s="4" t="n"/>
      <c r="E784" s="4" t="n"/>
      <c r="F784" s="4" t="n"/>
      <c r="G784">
        <f>IF(B784="","",IFERROR(INDEX(Products!$B:$B,MATCH(B784,Products!$A:$A,0)),"SKU not found"))</f>
        <v/>
      </c>
    </row>
    <row r="785">
      <c r="A785" s="7" t="n"/>
      <c r="B785" s="4" t="n"/>
      <c r="C785" s="4" t="n"/>
      <c r="D785" s="4" t="n"/>
      <c r="E785" s="4" t="n"/>
      <c r="F785" s="4" t="n"/>
      <c r="G785">
        <f>IF(B785="","",IFERROR(INDEX(Products!$B:$B,MATCH(B785,Products!$A:$A,0)),"SKU not found"))</f>
        <v/>
      </c>
    </row>
    <row r="786">
      <c r="A786" s="7" t="n"/>
      <c r="B786" s="4" t="n"/>
      <c r="C786" s="4" t="n"/>
      <c r="D786" s="4" t="n"/>
      <c r="E786" s="4" t="n"/>
      <c r="F786" s="4" t="n"/>
      <c r="G786">
        <f>IF(B786="","",IFERROR(INDEX(Products!$B:$B,MATCH(B786,Products!$A:$A,0)),"SKU not found"))</f>
        <v/>
      </c>
    </row>
    <row r="787">
      <c r="A787" s="7" t="n"/>
      <c r="B787" s="4" t="n"/>
      <c r="C787" s="4" t="n"/>
      <c r="D787" s="4" t="n"/>
      <c r="E787" s="4" t="n"/>
      <c r="F787" s="4" t="n"/>
      <c r="G787">
        <f>IF(B787="","",IFERROR(INDEX(Products!$B:$B,MATCH(B787,Products!$A:$A,0)),"SKU not found"))</f>
        <v/>
      </c>
    </row>
    <row r="788">
      <c r="A788" s="7" t="n"/>
      <c r="B788" s="4" t="n"/>
      <c r="C788" s="4" t="n"/>
      <c r="D788" s="4" t="n"/>
      <c r="E788" s="4" t="n"/>
      <c r="F788" s="4" t="n"/>
      <c r="G788">
        <f>IF(B788="","",IFERROR(INDEX(Products!$B:$B,MATCH(B788,Products!$A:$A,0)),"SKU not found"))</f>
        <v/>
      </c>
    </row>
    <row r="789">
      <c r="A789" s="7" t="n"/>
      <c r="B789" s="4" t="n"/>
      <c r="C789" s="4" t="n"/>
      <c r="D789" s="4" t="n"/>
      <c r="E789" s="4" t="n"/>
      <c r="F789" s="4" t="n"/>
      <c r="G789">
        <f>IF(B789="","",IFERROR(INDEX(Products!$B:$B,MATCH(B789,Products!$A:$A,0)),"SKU not found"))</f>
        <v/>
      </c>
    </row>
    <row r="790">
      <c r="A790" s="7" t="n"/>
      <c r="B790" s="4" t="n"/>
      <c r="C790" s="4" t="n"/>
      <c r="D790" s="4" t="n"/>
      <c r="E790" s="4" t="n"/>
      <c r="F790" s="4" t="n"/>
      <c r="G790">
        <f>IF(B790="","",IFERROR(INDEX(Products!$B:$B,MATCH(B790,Products!$A:$A,0)),"SKU not found"))</f>
        <v/>
      </c>
    </row>
    <row r="791">
      <c r="A791" s="7" t="n"/>
      <c r="B791" s="4" t="n"/>
      <c r="C791" s="4" t="n"/>
      <c r="D791" s="4" t="n"/>
      <c r="E791" s="4" t="n"/>
      <c r="F791" s="4" t="n"/>
      <c r="G791">
        <f>IF(B791="","",IFERROR(INDEX(Products!$B:$B,MATCH(B791,Products!$A:$A,0)),"SKU not found"))</f>
        <v/>
      </c>
    </row>
    <row r="792">
      <c r="A792" s="7" t="n"/>
      <c r="B792" s="4" t="n"/>
      <c r="C792" s="4" t="n"/>
      <c r="D792" s="4" t="n"/>
      <c r="E792" s="4" t="n"/>
      <c r="F792" s="4" t="n"/>
      <c r="G792">
        <f>IF(B792="","",IFERROR(INDEX(Products!$B:$B,MATCH(B792,Products!$A:$A,0)),"SKU not found"))</f>
        <v/>
      </c>
    </row>
    <row r="793">
      <c r="A793" s="7" t="n"/>
      <c r="B793" s="4" t="n"/>
      <c r="C793" s="4" t="n"/>
      <c r="D793" s="4" t="n"/>
      <c r="E793" s="4" t="n"/>
      <c r="F793" s="4" t="n"/>
      <c r="G793">
        <f>IF(B793="","",IFERROR(INDEX(Products!$B:$B,MATCH(B793,Products!$A:$A,0)),"SKU not found"))</f>
        <v/>
      </c>
    </row>
    <row r="794">
      <c r="A794" s="7" t="n"/>
      <c r="B794" s="4" t="n"/>
      <c r="C794" s="4" t="n"/>
      <c r="D794" s="4" t="n"/>
      <c r="E794" s="4" t="n"/>
      <c r="F794" s="4" t="n"/>
      <c r="G794">
        <f>IF(B794="","",IFERROR(INDEX(Products!$B:$B,MATCH(B794,Products!$A:$A,0)),"SKU not found"))</f>
        <v/>
      </c>
    </row>
    <row r="795">
      <c r="A795" s="7" t="n"/>
      <c r="B795" s="4" t="n"/>
      <c r="C795" s="4" t="n"/>
      <c r="D795" s="4" t="n"/>
      <c r="E795" s="4" t="n"/>
      <c r="F795" s="4" t="n"/>
      <c r="G795">
        <f>IF(B795="","",IFERROR(INDEX(Products!$B:$B,MATCH(B795,Products!$A:$A,0)),"SKU not found"))</f>
        <v/>
      </c>
    </row>
    <row r="796">
      <c r="A796" s="7" t="n"/>
      <c r="B796" s="4" t="n"/>
      <c r="C796" s="4" t="n"/>
      <c r="D796" s="4" t="n"/>
      <c r="E796" s="4" t="n"/>
      <c r="F796" s="4" t="n"/>
      <c r="G796">
        <f>IF(B796="","",IFERROR(INDEX(Products!$B:$B,MATCH(B796,Products!$A:$A,0)),"SKU not found"))</f>
        <v/>
      </c>
    </row>
    <row r="797">
      <c r="A797" s="7" t="n"/>
      <c r="B797" s="4" t="n"/>
      <c r="C797" s="4" t="n"/>
      <c r="D797" s="4" t="n"/>
      <c r="E797" s="4" t="n"/>
      <c r="F797" s="4" t="n"/>
      <c r="G797">
        <f>IF(B797="","",IFERROR(INDEX(Products!$B:$B,MATCH(B797,Products!$A:$A,0)),"SKU not found"))</f>
        <v/>
      </c>
    </row>
    <row r="798">
      <c r="A798" s="7" t="n"/>
      <c r="B798" s="4" t="n"/>
      <c r="C798" s="4" t="n"/>
      <c r="D798" s="4" t="n"/>
      <c r="E798" s="4" t="n"/>
      <c r="F798" s="4" t="n"/>
      <c r="G798">
        <f>IF(B798="","",IFERROR(INDEX(Products!$B:$B,MATCH(B798,Products!$A:$A,0)),"SKU not found"))</f>
        <v/>
      </c>
    </row>
    <row r="799">
      <c r="A799" s="7" t="n"/>
      <c r="B799" s="4" t="n"/>
      <c r="C799" s="4" t="n"/>
      <c r="D799" s="4" t="n"/>
      <c r="E799" s="4" t="n"/>
      <c r="F799" s="4" t="n"/>
      <c r="G799">
        <f>IF(B799="","",IFERROR(INDEX(Products!$B:$B,MATCH(B799,Products!$A:$A,0)),"SKU not found"))</f>
        <v/>
      </c>
    </row>
    <row r="800">
      <c r="A800" s="7" t="n"/>
      <c r="B800" s="4" t="n"/>
      <c r="C800" s="4" t="n"/>
      <c r="D800" s="4" t="n"/>
      <c r="E800" s="4" t="n"/>
      <c r="F800" s="4" t="n"/>
      <c r="G800">
        <f>IF(B800="","",IFERROR(INDEX(Products!$B:$B,MATCH(B800,Products!$A:$A,0)),"SKU not found"))</f>
        <v/>
      </c>
    </row>
    <row r="801">
      <c r="A801" s="7" t="n"/>
      <c r="B801" s="4" t="n"/>
      <c r="C801" s="4" t="n"/>
      <c r="D801" s="4" t="n"/>
      <c r="E801" s="4" t="n"/>
      <c r="F801" s="4" t="n"/>
      <c r="G801">
        <f>IF(B801="","",IFERROR(INDEX(Products!$B:$B,MATCH(B801,Products!$A:$A,0)),"SKU not found"))</f>
        <v/>
      </c>
    </row>
    <row r="802">
      <c r="A802" s="7" t="n"/>
      <c r="B802" s="4" t="n"/>
      <c r="C802" s="4" t="n"/>
      <c r="D802" s="4" t="n"/>
      <c r="E802" s="4" t="n"/>
      <c r="F802" s="4" t="n"/>
      <c r="G802">
        <f>IF(B802="","",IFERROR(INDEX(Products!$B:$B,MATCH(B802,Products!$A:$A,0)),"SKU not found"))</f>
        <v/>
      </c>
    </row>
    <row r="803">
      <c r="A803" s="7" t="n"/>
      <c r="B803" s="4" t="n"/>
      <c r="C803" s="4" t="n"/>
      <c r="D803" s="4" t="n"/>
      <c r="E803" s="4" t="n"/>
      <c r="F803" s="4" t="n"/>
      <c r="G803">
        <f>IF(B803="","",IFERROR(INDEX(Products!$B:$B,MATCH(B803,Products!$A:$A,0)),"SKU not found"))</f>
        <v/>
      </c>
    </row>
    <row r="804">
      <c r="A804" s="7" t="n"/>
      <c r="B804" s="4" t="n"/>
      <c r="C804" s="4" t="n"/>
      <c r="D804" s="4" t="n"/>
      <c r="E804" s="4" t="n"/>
      <c r="F804" s="4" t="n"/>
      <c r="G804">
        <f>IF(B804="","",IFERROR(INDEX(Products!$B:$B,MATCH(B804,Products!$A:$A,0)),"SKU not found"))</f>
        <v/>
      </c>
    </row>
    <row r="805">
      <c r="A805" s="7" t="n"/>
      <c r="B805" s="4" t="n"/>
      <c r="C805" s="4" t="n"/>
      <c r="D805" s="4" t="n"/>
      <c r="E805" s="4" t="n"/>
      <c r="F805" s="4" t="n"/>
      <c r="G805">
        <f>IF(B805="","",IFERROR(INDEX(Products!$B:$B,MATCH(B805,Products!$A:$A,0)),"SKU not found"))</f>
        <v/>
      </c>
    </row>
    <row r="806">
      <c r="A806" s="7" t="n"/>
      <c r="B806" s="4" t="n"/>
      <c r="C806" s="4" t="n"/>
      <c r="D806" s="4" t="n"/>
      <c r="E806" s="4" t="n"/>
      <c r="F806" s="4" t="n"/>
      <c r="G806">
        <f>IF(B806="","",IFERROR(INDEX(Products!$B:$B,MATCH(B806,Products!$A:$A,0)),"SKU not found"))</f>
        <v/>
      </c>
    </row>
    <row r="807">
      <c r="A807" s="7" t="n"/>
      <c r="B807" s="4" t="n"/>
      <c r="C807" s="4" t="n"/>
      <c r="D807" s="4" t="n"/>
      <c r="E807" s="4" t="n"/>
      <c r="F807" s="4" t="n"/>
      <c r="G807">
        <f>IF(B807="","",IFERROR(INDEX(Products!$B:$B,MATCH(B807,Products!$A:$A,0)),"SKU not found"))</f>
        <v/>
      </c>
    </row>
    <row r="808">
      <c r="A808" s="7" t="n"/>
      <c r="B808" s="4" t="n"/>
      <c r="C808" s="4" t="n"/>
      <c r="D808" s="4" t="n"/>
      <c r="E808" s="4" t="n"/>
      <c r="F808" s="4" t="n"/>
      <c r="G808">
        <f>IF(B808="","",IFERROR(INDEX(Products!$B:$B,MATCH(B808,Products!$A:$A,0)),"SKU not found"))</f>
        <v/>
      </c>
    </row>
    <row r="809">
      <c r="A809" s="7" t="n"/>
      <c r="B809" s="4" t="n"/>
      <c r="C809" s="4" t="n"/>
      <c r="D809" s="4" t="n"/>
      <c r="E809" s="4" t="n"/>
      <c r="F809" s="4" t="n"/>
      <c r="G809">
        <f>IF(B809="","",IFERROR(INDEX(Products!$B:$B,MATCH(B809,Products!$A:$A,0)),"SKU not found"))</f>
        <v/>
      </c>
    </row>
    <row r="810">
      <c r="A810" s="7" t="n"/>
      <c r="B810" s="4" t="n"/>
      <c r="C810" s="4" t="n"/>
      <c r="D810" s="4" t="n"/>
      <c r="E810" s="4" t="n"/>
      <c r="F810" s="4" t="n"/>
      <c r="G810">
        <f>IF(B810="","",IFERROR(INDEX(Products!$B:$B,MATCH(B810,Products!$A:$A,0)),"SKU not found"))</f>
        <v/>
      </c>
    </row>
    <row r="811">
      <c r="A811" s="7" t="n"/>
      <c r="B811" s="4" t="n"/>
      <c r="C811" s="4" t="n"/>
      <c r="D811" s="4" t="n"/>
      <c r="E811" s="4" t="n"/>
      <c r="F811" s="4" t="n"/>
      <c r="G811">
        <f>IF(B811="","",IFERROR(INDEX(Products!$B:$B,MATCH(B811,Products!$A:$A,0)),"SKU not found"))</f>
        <v/>
      </c>
    </row>
    <row r="812">
      <c r="A812" s="7" t="n"/>
      <c r="B812" s="4" t="n"/>
      <c r="C812" s="4" t="n"/>
      <c r="D812" s="4" t="n"/>
      <c r="E812" s="4" t="n"/>
      <c r="F812" s="4" t="n"/>
      <c r="G812">
        <f>IF(B812="","",IFERROR(INDEX(Products!$B:$B,MATCH(B812,Products!$A:$A,0)),"SKU not found"))</f>
        <v/>
      </c>
    </row>
    <row r="813">
      <c r="A813" s="7" t="n"/>
      <c r="B813" s="4" t="n"/>
      <c r="C813" s="4" t="n"/>
      <c r="D813" s="4" t="n"/>
      <c r="E813" s="4" t="n"/>
      <c r="F813" s="4" t="n"/>
      <c r="G813">
        <f>IF(B813="","",IFERROR(INDEX(Products!$B:$B,MATCH(B813,Products!$A:$A,0)),"SKU not found"))</f>
        <v/>
      </c>
    </row>
    <row r="814">
      <c r="A814" s="7" t="n"/>
      <c r="B814" s="4" t="n"/>
      <c r="C814" s="4" t="n"/>
      <c r="D814" s="4" t="n"/>
      <c r="E814" s="4" t="n"/>
      <c r="F814" s="4" t="n"/>
      <c r="G814">
        <f>IF(B814="","",IFERROR(INDEX(Products!$B:$B,MATCH(B814,Products!$A:$A,0)),"SKU not found"))</f>
        <v/>
      </c>
    </row>
    <row r="815">
      <c r="A815" s="7" t="n"/>
      <c r="B815" s="4" t="n"/>
      <c r="C815" s="4" t="n"/>
      <c r="D815" s="4" t="n"/>
      <c r="E815" s="4" t="n"/>
      <c r="F815" s="4" t="n"/>
      <c r="G815">
        <f>IF(B815="","",IFERROR(INDEX(Products!$B:$B,MATCH(B815,Products!$A:$A,0)),"SKU not found"))</f>
        <v/>
      </c>
    </row>
    <row r="816">
      <c r="A816" s="7" t="n"/>
      <c r="B816" s="4" t="n"/>
      <c r="C816" s="4" t="n"/>
      <c r="D816" s="4" t="n"/>
      <c r="E816" s="4" t="n"/>
      <c r="F816" s="4" t="n"/>
      <c r="G816">
        <f>IF(B816="","",IFERROR(INDEX(Products!$B:$B,MATCH(B816,Products!$A:$A,0)),"SKU not found"))</f>
        <v/>
      </c>
    </row>
    <row r="817">
      <c r="A817" s="7" t="n"/>
      <c r="B817" s="4" t="n"/>
      <c r="C817" s="4" t="n"/>
      <c r="D817" s="4" t="n"/>
      <c r="E817" s="4" t="n"/>
      <c r="F817" s="4" t="n"/>
      <c r="G817">
        <f>IF(B817="","",IFERROR(INDEX(Products!$B:$B,MATCH(B817,Products!$A:$A,0)),"SKU not found"))</f>
        <v/>
      </c>
    </row>
    <row r="818">
      <c r="A818" s="7" t="n"/>
      <c r="B818" s="4" t="n"/>
      <c r="C818" s="4" t="n"/>
      <c r="D818" s="4" t="n"/>
      <c r="E818" s="4" t="n"/>
      <c r="F818" s="4" t="n"/>
      <c r="G818">
        <f>IF(B818="","",IFERROR(INDEX(Products!$B:$B,MATCH(B818,Products!$A:$A,0)),"SKU not found"))</f>
        <v/>
      </c>
    </row>
    <row r="819">
      <c r="A819" s="7" t="n"/>
      <c r="B819" s="4" t="n"/>
      <c r="C819" s="4" t="n"/>
      <c r="D819" s="4" t="n"/>
      <c r="E819" s="4" t="n"/>
      <c r="F819" s="4" t="n"/>
      <c r="G819">
        <f>IF(B819="","",IFERROR(INDEX(Products!$B:$B,MATCH(B819,Products!$A:$A,0)),"SKU not found"))</f>
        <v/>
      </c>
    </row>
    <row r="820">
      <c r="A820" s="7" t="n"/>
      <c r="B820" s="4" t="n"/>
      <c r="C820" s="4" t="n"/>
      <c r="D820" s="4" t="n"/>
      <c r="E820" s="4" t="n"/>
      <c r="F820" s="4" t="n"/>
      <c r="G820">
        <f>IF(B820="","",IFERROR(INDEX(Products!$B:$B,MATCH(B820,Products!$A:$A,0)),"SKU not found"))</f>
        <v/>
      </c>
    </row>
    <row r="821">
      <c r="A821" s="7" t="n"/>
      <c r="B821" s="4" t="n"/>
      <c r="C821" s="4" t="n"/>
      <c r="D821" s="4" t="n"/>
      <c r="E821" s="4" t="n"/>
      <c r="F821" s="4" t="n"/>
      <c r="G821">
        <f>IF(B821="","",IFERROR(INDEX(Products!$B:$B,MATCH(B821,Products!$A:$A,0)),"SKU not found"))</f>
        <v/>
      </c>
    </row>
    <row r="822">
      <c r="A822" s="7" t="n"/>
      <c r="B822" s="4" t="n"/>
      <c r="C822" s="4" t="n"/>
      <c r="D822" s="4" t="n"/>
      <c r="E822" s="4" t="n"/>
      <c r="F822" s="4" t="n"/>
      <c r="G822">
        <f>IF(B822="","",IFERROR(INDEX(Products!$B:$B,MATCH(B822,Products!$A:$A,0)),"SKU not found"))</f>
        <v/>
      </c>
    </row>
    <row r="823">
      <c r="A823" s="7" t="n"/>
      <c r="B823" s="4" t="n"/>
      <c r="C823" s="4" t="n"/>
      <c r="D823" s="4" t="n"/>
      <c r="E823" s="4" t="n"/>
      <c r="F823" s="4" t="n"/>
      <c r="G823">
        <f>IF(B823="","",IFERROR(INDEX(Products!$B:$B,MATCH(B823,Products!$A:$A,0)),"SKU not found"))</f>
        <v/>
      </c>
    </row>
    <row r="824">
      <c r="A824" s="7" t="n"/>
      <c r="B824" s="4" t="n"/>
      <c r="C824" s="4" t="n"/>
      <c r="D824" s="4" t="n"/>
      <c r="E824" s="4" t="n"/>
      <c r="F824" s="4" t="n"/>
      <c r="G824">
        <f>IF(B824="","",IFERROR(INDEX(Products!$B:$B,MATCH(B824,Products!$A:$A,0)),"SKU not found"))</f>
        <v/>
      </c>
    </row>
    <row r="825">
      <c r="A825" s="7" t="n"/>
      <c r="B825" s="4" t="n"/>
      <c r="C825" s="4" t="n"/>
      <c r="D825" s="4" t="n"/>
      <c r="E825" s="4" t="n"/>
      <c r="F825" s="4" t="n"/>
      <c r="G825">
        <f>IF(B825="","",IFERROR(INDEX(Products!$B:$B,MATCH(B825,Products!$A:$A,0)),"SKU not found"))</f>
        <v/>
      </c>
    </row>
    <row r="826">
      <c r="A826" s="7" t="n"/>
      <c r="B826" s="4" t="n"/>
      <c r="C826" s="4" t="n"/>
      <c r="D826" s="4" t="n"/>
      <c r="E826" s="4" t="n"/>
      <c r="F826" s="4" t="n"/>
      <c r="G826">
        <f>IF(B826="","",IFERROR(INDEX(Products!$B:$B,MATCH(B826,Products!$A:$A,0)),"SKU not found"))</f>
        <v/>
      </c>
    </row>
    <row r="827">
      <c r="A827" s="7" t="n"/>
      <c r="B827" s="4" t="n"/>
      <c r="C827" s="4" t="n"/>
      <c r="D827" s="4" t="n"/>
      <c r="E827" s="4" t="n"/>
      <c r="F827" s="4" t="n"/>
      <c r="G827">
        <f>IF(B827="","",IFERROR(INDEX(Products!$B:$B,MATCH(B827,Products!$A:$A,0)),"SKU not found"))</f>
        <v/>
      </c>
    </row>
    <row r="828">
      <c r="A828" s="7" t="n"/>
      <c r="B828" s="4" t="n"/>
      <c r="C828" s="4" t="n"/>
      <c r="D828" s="4" t="n"/>
      <c r="E828" s="4" t="n"/>
      <c r="F828" s="4" t="n"/>
      <c r="G828">
        <f>IF(B828="","",IFERROR(INDEX(Products!$B:$B,MATCH(B828,Products!$A:$A,0)),"SKU not found"))</f>
        <v/>
      </c>
    </row>
    <row r="829">
      <c r="A829" s="7" t="n"/>
      <c r="B829" s="4" t="n"/>
      <c r="C829" s="4" t="n"/>
      <c r="D829" s="4" t="n"/>
      <c r="E829" s="4" t="n"/>
      <c r="F829" s="4" t="n"/>
      <c r="G829">
        <f>IF(B829="","",IFERROR(INDEX(Products!$B:$B,MATCH(B829,Products!$A:$A,0)),"SKU not found"))</f>
        <v/>
      </c>
    </row>
    <row r="830">
      <c r="A830" s="7" t="n"/>
      <c r="B830" s="4" t="n"/>
      <c r="C830" s="4" t="n"/>
      <c r="D830" s="4" t="n"/>
      <c r="E830" s="4" t="n"/>
      <c r="F830" s="4" t="n"/>
      <c r="G830">
        <f>IF(B830="","",IFERROR(INDEX(Products!$B:$B,MATCH(B830,Products!$A:$A,0)),"SKU not found"))</f>
        <v/>
      </c>
    </row>
    <row r="831">
      <c r="A831" s="7" t="n"/>
      <c r="B831" s="4" t="n"/>
      <c r="C831" s="4" t="n"/>
      <c r="D831" s="4" t="n"/>
      <c r="E831" s="4" t="n"/>
      <c r="F831" s="4" t="n"/>
      <c r="G831">
        <f>IF(B831="","",IFERROR(INDEX(Products!$B:$B,MATCH(B831,Products!$A:$A,0)),"SKU not found"))</f>
        <v/>
      </c>
    </row>
    <row r="832">
      <c r="A832" s="7" t="n"/>
      <c r="B832" s="4" t="n"/>
      <c r="C832" s="4" t="n"/>
      <c r="D832" s="4" t="n"/>
      <c r="E832" s="4" t="n"/>
      <c r="F832" s="4" t="n"/>
      <c r="G832">
        <f>IF(B832="","",IFERROR(INDEX(Products!$B:$B,MATCH(B832,Products!$A:$A,0)),"SKU not found"))</f>
        <v/>
      </c>
    </row>
    <row r="833">
      <c r="A833" s="7" t="n"/>
      <c r="B833" s="4" t="n"/>
      <c r="C833" s="4" t="n"/>
      <c r="D833" s="4" t="n"/>
      <c r="E833" s="4" t="n"/>
      <c r="F833" s="4" t="n"/>
      <c r="G833">
        <f>IF(B833="","",IFERROR(INDEX(Products!$B:$B,MATCH(B833,Products!$A:$A,0)),"SKU not found"))</f>
        <v/>
      </c>
    </row>
    <row r="834">
      <c r="A834" s="7" t="n"/>
      <c r="B834" s="4" t="n"/>
      <c r="C834" s="4" t="n"/>
      <c r="D834" s="4" t="n"/>
      <c r="E834" s="4" t="n"/>
      <c r="F834" s="4" t="n"/>
      <c r="G834">
        <f>IF(B834="","",IFERROR(INDEX(Products!$B:$B,MATCH(B834,Products!$A:$A,0)),"SKU not found"))</f>
        <v/>
      </c>
    </row>
    <row r="835">
      <c r="A835" s="7" t="n"/>
      <c r="B835" s="4" t="n"/>
      <c r="C835" s="4" t="n"/>
      <c r="D835" s="4" t="n"/>
      <c r="E835" s="4" t="n"/>
      <c r="F835" s="4" t="n"/>
      <c r="G835">
        <f>IF(B835="","",IFERROR(INDEX(Products!$B:$B,MATCH(B835,Products!$A:$A,0)),"SKU not found"))</f>
        <v/>
      </c>
    </row>
    <row r="836">
      <c r="A836" s="7" t="n"/>
      <c r="B836" s="4" t="n"/>
      <c r="C836" s="4" t="n"/>
      <c r="D836" s="4" t="n"/>
      <c r="E836" s="4" t="n"/>
      <c r="F836" s="4" t="n"/>
      <c r="G836">
        <f>IF(B836="","",IFERROR(INDEX(Products!$B:$B,MATCH(B836,Products!$A:$A,0)),"SKU not found"))</f>
        <v/>
      </c>
    </row>
    <row r="837">
      <c r="A837" s="7" t="n"/>
      <c r="B837" s="4" t="n"/>
      <c r="C837" s="4" t="n"/>
      <c r="D837" s="4" t="n"/>
      <c r="E837" s="4" t="n"/>
      <c r="F837" s="4" t="n"/>
      <c r="G837">
        <f>IF(B837="","",IFERROR(INDEX(Products!$B:$B,MATCH(B837,Products!$A:$A,0)),"SKU not found"))</f>
        <v/>
      </c>
    </row>
    <row r="838">
      <c r="A838" s="7" t="n"/>
      <c r="B838" s="4" t="n"/>
      <c r="C838" s="4" t="n"/>
      <c r="D838" s="4" t="n"/>
      <c r="E838" s="4" t="n"/>
      <c r="F838" s="4" t="n"/>
      <c r="G838">
        <f>IF(B838="","",IFERROR(INDEX(Products!$B:$B,MATCH(B838,Products!$A:$A,0)),"SKU not found"))</f>
        <v/>
      </c>
    </row>
    <row r="839">
      <c r="A839" s="7" t="n"/>
      <c r="B839" s="4" t="n"/>
      <c r="C839" s="4" t="n"/>
      <c r="D839" s="4" t="n"/>
      <c r="E839" s="4" t="n"/>
      <c r="F839" s="4" t="n"/>
      <c r="G839">
        <f>IF(B839="","",IFERROR(INDEX(Products!$B:$B,MATCH(B839,Products!$A:$A,0)),"SKU not found"))</f>
        <v/>
      </c>
    </row>
    <row r="840">
      <c r="A840" s="7" t="n"/>
      <c r="B840" s="4" t="n"/>
      <c r="C840" s="4" t="n"/>
      <c r="D840" s="4" t="n"/>
      <c r="E840" s="4" t="n"/>
      <c r="F840" s="4" t="n"/>
      <c r="G840">
        <f>IF(B840="","",IFERROR(INDEX(Products!$B:$B,MATCH(B840,Products!$A:$A,0)),"SKU not found"))</f>
        <v/>
      </c>
    </row>
    <row r="841">
      <c r="A841" s="7" t="n"/>
      <c r="B841" s="4" t="n"/>
      <c r="C841" s="4" t="n"/>
      <c r="D841" s="4" t="n"/>
      <c r="E841" s="4" t="n"/>
      <c r="F841" s="4" t="n"/>
      <c r="G841">
        <f>IF(B841="","",IFERROR(INDEX(Products!$B:$B,MATCH(B841,Products!$A:$A,0)),"SKU not found"))</f>
        <v/>
      </c>
    </row>
    <row r="842">
      <c r="A842" s="7" t="n"/>
      <c r="B842" s="4" t="n"/>
      <c r="C842" s="4" t="n"/>
      <c r="D842" s="4" t="n"/>
      <c r="E842" s="4" t="n"/>
      <c r="F842" s="4" t="n"/>
      <c r="G842">
        <f>IF(B842="","",IFERROR(INDEX(Products!$B:$B,MATCH(B842,Products!$A:$A,0)),"SKU not found"))</f>
        <v/>
      </c>
    </row>
    <row r="843">
      <c r="A843" s="7" t="n"/>
      <c r="B843" s="4" t="n"/>
      <c r="C843" s="4" t="n"/>
      <c r="D843" s="4" t="n"/>
      <c r="E843" s="4" t="n"/>
      <c r="F843" s="4" t="n"/>
      <c r="G843">
        <f>IF(B843="","",IFERROR(INDEX(Products!$B:$B,MATCH(B843,Products!$A:$A,0)),"SKU not found"))</f>
        <v/>
      </c>
    </row>
    <row r="844">
      <c r="A844" s="7" t="n"/>
      <c r="B844" s="4" t="n"/>
      <c r="C844" s="4" t="n"/>
      <c r="D844" s="4" t="n"/>
      <c r="E844" s="4" t="n"/>
      <c r="F844" s="4" t="n"/>
      <c r="G844">
        <f>IF(B844="","",IFERROR(INDEX(Products!$B:$B,MATCH(B844,Products!$A:$A,0)),"SKU not found"))</f>
        <v/>
      </c>
    </row>
    <row r="845">
      <c r="A845" s="7" t="n"/>
      <c r="B845" s="4" t="n"/>
      <c r="C845" s="4" t="n"/>
      <c r="D845" s="4" t="n"/>
      <c r="E845" s="4" t="n"/>
      <c r="F845" s="4" t="n"/>
      <c r="G845">
        <f>IF(B845="","",IFERROR(INDEX(Products!$B:$B,MATCH(B845,Products!$A:$A,0)),"SKU not found"))</f>
        <v/>
      </c>
    </row>
    <row r="846">
      <c r="A846" s="7" t="n"/>
      <c r="B846" s="4" t="n"/>
      <c r="C846" s="4" t="n"/>
      <c r="D846" s="4" t="n"/>
      <c r="E846" s="4" t="n"/>
      <c r="F846" s="4" t="n"/>
      <c r="G846">
        <f>IF(B846="","",IFERROR(INDEX(Products!$B:$B,MATCH(B846,Products!$A:$A,0)),"SKU not found"))</f>
        <v/>
      </c>
    </row>
    <row r="847">
      <c r="A847" s="7" t="n"/>
      <c r="B847" s="4" t="n"/>
      <c r="C847" s="4" t="n"/>
      <c r="D847" s="4" t="n"/>
      <c r="E847" s="4" t="n"/>
      <c r="F847" s="4" t="n"/>
      <c r="G847">
        <f>IF(B847="","",IFERROR(INDEX(Products!$B:$B,MATCH(B847,Products!$A:$A,0)),"SKU not found"))</f>
        <v/>
      </c>
    </row>
    <row r="848">
      <c r="A848" s="7" t="n"/>
      <c r="B848" s="4" t="n"/>
      <c r="C848" s="4" t="n"/>
      <c r="D848" s="4" t="n"/>
      <c r="E848" s="4" t="n"/>
      <c r="F848" s="4" t="n"/>
      <c r="G848">
        <f>IF(B848="","",IFERROR(INDEX(Products!$B:$B,MATCH(B848,Products!$A:$A,0)),"SKU not found"))</f>
        <v/>
      </c>
    </row>
    <row r="849">
      <c r="A849" s="7" t="n"/>
      <c r="B849" s="4" t="n"/>
      <c r="C849" s="4" t="n"/>
      <c r="D849" s="4" t="n"/>
      <c r="E849" s="4" t="n"/>
      <c r="F849" s="4" t="n"/>
      <c r="G849">
        <f>IF(B849="","",IFERROR(INDEX(Products!$B:$B,MATCH(B849,Products!$A:$A,0)),"SKU not found"))</f>
        <v/>
      </c>
    </row>
    <row r="850">
      <c r="A850" s="7" t="n"/>
      <c r="B850" s="4" t="n"/>
      <c r="C850" s="4" t="n"/>
      <c r="D850" s="4" t="n"/>
      <c r="E850" s="4" t="n"/>
      <c r="F850" s="4" t="n"/>
      <c r="G850">
        <f>IF(B850="","",IFERROR(INDEX(Products!$B:$B,MATCH(B850,Products!$A:$A,0)),"SKU not found"))</f>
        <v/>
      </c>
    </row>
    <row r="851">
      <c r="A851" s="7" t="n"/>
      <c r="B851" s="4" t="n"/>
      <c r="C851" s="4" t="n"/>
      <c r="D851" s="4" t="n"/>
      <c r="E851" s="4" t="n"/>
      <c r="F851" s="4" t="n"/>
      <c r="G851">
        <f>IF(B851="","",IFERROR(INDEX(Products!$B:$B,MATCH(B851,Products!$A:$A,0)),"SKU not found"))</f>
        <v/>
      </c>
    </row>
    <row r="852">
      <c r="A852" s="7" t="n"/>
      <c r="B852" s="4" t="n"/>
      <c r="C852" s="4" t="n"/>
      <c r="D852" s="4" t="n"/>
      <c r="E852" s="4" t="n"/>
      <c r="F852" s="4" t="n"/>
      <c r="G852">
        <f>IF(B852="","",IFERROR(INDEX(Products!$B:$B,MATCH(B852,Products!$A:$A,0)),"SKU not found"))</f>
        <v/>
      </c>
    </row>
    <row r="853">
      <c r="A853" s="7" t="n"/>
      <c r="B853" s="4" t="n"/>
      <c r="C853" s="4" t="n"/>
      <c r="D853" s="4" t="n"/>
      <c r="E853" s="4" t="n"/>
      <c r="F853" s="4" t="n"/>
      <c r="G853">
        <f>IF(B853="","",IFERROR(INDEX(Products!$B:$B,MATCH(B853,Products!$A:$A,0)),"SKU not found"))</f>
        <v/>
      </c>
    </row>
    <row r="854">
      <c r="A854" s="7" t="n"/>
      <c r="B854" s="4" t="n"/>
      <c r="C854" s="4" t="n"/>
      <c r="D854" s="4" t="n"/>
      <c r="E854" s="4" t="n"/>
      <c r="F854" s="4" t="n"/>
      <c r="G854">
        <f>IF(B854="","",IFERROR(INDEX(Products!$B:$B,MATCH(B854,Products!$A:$A,0)),"SKU not found"))</f>
        <v/>
      </c>
    </row>
    <row r="855">
      <c r="A855" s="7" t="n"/>
      <c r="B855" s="4" t="n"/>
      <c r="C855" s="4" t="n"/>
      <c r="D855" s="4" t="n"/>
      <c r="E855" s="4" t="n"/>
      <c r="F855" s="4" t="n"/>
      <c r="G855">
        <f>IF(B855="","",IFERROR(INDEX(Products!$B:$B,MATCH(B855,Products!$A:$A,0)),"SKU not found"))</f>
        <v/>
      </c>
    </row>
    <row r="856">
      <c r="A856" s="7" t="n"/>
      <c r="B856" s="4" t="n"/>
      <c r="C856" s="4" t="n"/>
      <c r="D856" s="4" t="n"/>
      <c r="E856" s="4" t="n"/>
      <c r="F856" s="4" t="n"/>
      <c r="G856">
        <f>IF(B856="","",IFERROR(INDEX(Products!$B:$B,MATCH(B856,Products!$A:$A,0)),"SKU not found"))</f>
        <v/>
      </c>
    </row>
    <row r="857">
      <c r="A857" s="7" t="n"/>
      <c r="B857" s="4" t="n"/>
      <c r="C857" s="4" t="n"/>
      <c r="D857" s="4" t="n"/>
      <c r="E857" s="4" t="n"/>
      <c r="F857" s="4" t="n"/>
      <c r="G857">
        <f>IF(B857="","",IFERROR(INDEX(Products!$B:$B,MATCH(B857,Products!$A:$A,0)),"SKU not found"))</f>
        <v/>
      </c>
    </row>
    <row r="858">
      <c r="A858" s="7" t="n"/>
      <c r="B858" s="4" t="n"/>
      <c r="C858" s="4" t="n"/>
      <c r="D858" s="4" t="n"/>
      <c r="E858" s="4" t="n"/>
      <c r="F858" s="4" t="n"/>
      <c r="G858">
        <f>IF(B858="","",IFERROR(INDEX(Products!$B:$B,MATCH(B858,Products!$A:$A,0)),"SKU not found"))</f>
        <v/>
      </c>
    </row>
    <row r="859">
      <c r="A859" s="7" t="n"/>
      <c r="B859" s="4" t="n"/>
      <c r="C859" s="4" t="n"/>
      <c r="D859" s="4" t="n"/>
      <c r="E859" s="4" t="n"/>
      <c r="F859" s="4" t="n"/>
      <c r="G859">
        <f>IF(B859="","",IFERROR(INDEX(Products!$B:$B,MATCH(B859,Products!$A:$A,0)),"SKU not found"))</f>
        <v/>
      </c>
    </row>
    <row r="860">
      <c r="A860" s="7" t="n"/>
      <c r="B860" s="4" t="n"/>
      <c r="C860" s="4" t="n"/>
      <c r="D860" s="4" t="n"/>
      <c r="E860" s="4" t="n"/>
      <c r="F860" s="4" t="n"/>
      <c r="G860">
        <f>IF(B860="","",IFERROR(INDEX(Products!$B:$B,MATCH(B860,Products!$A:$A,0)),"SKU not found"))</f>
        <v/>
      </c>
    </row>
    <row r="861">
      <c r="A861" s="7" t="n"/>
      <c r="B861" s="4" t="n"/>
      <c r="C861" s="4" t="n"/>
      <c r="D861" s="4" t="n"/>
      <c r="E861" s="4" t="n"/>
      <c r="F861" s="4" t="n"/>
      <c r="G861">
        <f>IF(B861="","",IFERROR(INDEX(Products!$B:$B,MATCH(B861,Products!$A:$A,0)),"SKU not found"))</f>
        <v/>
      </c>
    </row>
    <row r="862">
      <c r="A862" s="7" t="n"/>
      <c r="B862" s="4" t="n"/>
      <c r="C862" s="4" t="n"/>
      <c r="D862" s="4" t="n"/>
      <c r="E862" s="4" t="n"/>
      <c r="F862" s="4" t="n"/>
      <c r="G862">
        <f>IF(B862="","",IFERROR(INDEX(Products!$B:$B,MATCH(B862,Products!$A:$A,0)),"SKU not found"))</f>
        <v/>
      </c>
    </row>
    <row r="863">
      <c r="A863" s="7" t="n"/>
      <c r="B863" s="4" t="n"/>
      <c r="C863" s="4" t="n"/>
      <c r="D863" s="4" t="n"/>
      <c r="E863" s="4" t="n"/>
      <c r="F863" s="4" t="n"/>
      <c r="G863">
        <f>IF(B863="","",IFERROR(INDEX(Products!$B:$B,MATCH(B863,Products!$A:$A,0)),"SKU not found"))</f>
        <v/>
      </c>
    </row>
    <row r="864">
      <c r="A864" s="7" t="n"/>
      <c r="B864" s="4" t="n"/>
      <c r="C864" s="4" t="n"/>
      <c r="D864" s="4" t="n"/>
      <c r="E864" s="4" t="n"/>
      <c r="F864" s="4" t="n"/>
      <c r="G864">
        <f>IF(B864="","",IFERROR(INDEX(Products!$B:$B,MATCH(B864,Products!$A:$A,0)),"SKU not found"))</f>
        <v/>
      </c>
    </row>
    <row r="865">
      <c r="A865" s="7" t="n"/>
      <c r="B865" s="4" t="n"/>
      <c r="C865" s="4" t="n"/>
      <c r="D865" s="4" t="n"/>
      <c r="E865" s="4" t="n"/>
      <c r="F865" s="4" t="n"/>
      <c r="G865">
        <f>IF(B865="","",IFERROR(INDEX(Products!$B:$B,MATCH(B865,Products!$A:$A,0)),"SKU not found"))</f>
        <v/>
      </c>
    </row>
    <row r="866">
      <c r="A866" s="7" t="n"/>
      <c r="B866" s="4" t="n"/>
      <c r="C866" s="4" t="n"/>
      <c r="D866" s="4" t="n"/>
      <c r="E866" s="4" t="n"/>
      <c r="F866" s="4" t="n"/>
      <c r="G866">
        <f>IF(B866="","",IFERROR(INDEX(Products!$B:$B,MATCH(B866,Products!$A:$A,0)),"SKU not found"))</f>
        <v/>
      </c>
    </row>
    <row r="867">
      <c r="A867" s="7" t="n"/>
      <c r="B867" s="4" t="n"/>
      <c r="C867" s="4" t="n"/>
      <c r="D867" s="4" t="n"/>
      <c r="E867" s="4" t="n"/>
      <c r="F867" s="4" t="n"/>
      <c r="G867">
        <f>IF(B867="","",IFERROR(INDEX(Products!$B:$B,MATCH(B867,Products!$A:$A,0)),"SKU not found"))</f>
        <v/>
      </c>
    </row>
    <row r="868">
      <c r="A868" s="7" t="n"/>
      <c r="B868" s="4" t="n"/>
      <c r="C868" s="4" t="n"/>
      <c r="D868" s="4" t="n"/>
      <c r="E868" s="4" t="n"/>
      <c r="F868" s="4" t="n"/>
      <c r="G868">
        <f>IF(B868="","",IFERROR(INDEX(Products!$B:$B,MATCH(B868,Products!$A:$A,0)),"SKU not found"))</f>
        <v/>
      </c>
    </row>
    <row r="869">
      <c r="A869" s="7" t="n"/>
      <c r="B869" s="4" t="n"/>
      <c r="C869" s="4" t="n"/>
      <c r="D869" s="4" t="n"/>
      <c r="E869" s="4" t="n"/>
      <c r="F869" s="4" t="n"/>
      <c r="G869">
        <f>IF(B869="","",IFERROR(INDEX(Products!$B:$B,MATCH(B869,Products!$A:$A,0)),"SKU not found"))</f>
        <v/>
      </c>
    </row>
    <row r="870">
      <c r="A870" s="7" t="n"/>
      <c r="B870" s="4" t="n"/>
      <c r="C870" s="4" t="n"/>
      <c r="D870" s="4" t="n"/>
      <c r="E870" s="4" t="n"/>
      <c r="F870" s="4" t="n"/>
      <c r="G870">
        <f>IF(B870="","",IFERROR(INDEX(Products!$B:$B,MATCH(B870,Products!$A:$A,0)),"SKU not found"))</f>
        <v/>
      </c>
    </row>
    <row r="871">
      <c r="A871" s="7" t="n"/>
      <c r="B871" s="4" t="n"/>
      <c r="C871" s="4" t="n"/>
      <c r="D871" s="4" t="n"/>
      <c r="E871" s="4" t="n"/>
      <c r="F871" s="4" t="n"/>
      <c r="G871">
        <f>IF(B871="","",IFERROR(INDEX(Products!$B:$B,MATCH(B871,Products!$A:$A,0)),"SKU not found"))</f>
        <v/>
      </c>
    </row>
    <row r="872">
      <c r="A872" s="7" t="n"/>
      <c r="B872" s="4" t="n"/>
      <c r="C872" s="4" t="n"/>
      <c r="D872" s="4" t="n"/>
      <c r="E872" s="4" t="n"/>
      <c r="F872" s="4" t="n"/>
      <c r="G872">
        <f>IF(B872="","",IFERROR(INDEX(Products!$B:$B,MATCH(B872,Products!$A:$A,0)),"SKU not found"))</f>
        <v/>
      </c>
    </row>
    <row r="873">
      <c r="A873" s="7" t="n"/>
      <c r="B873" s="4" t="n"/>
      <c r="C873" s="4" t="n"/>
      <c r="D873" s="4" t="n"/>
      <c r="E873" s="4" t="n"/>
      <c r="F873" s="4" t="n"/>
      <c r="G873">
        <f>IF(B873="","",IFERROR(INDEX(Products!$B:$B,MATCH(B873,Products!$A:$A,0)),"SKU not found"))</f>
        <v/>
      </c>
    </row>
    <row r="874">
      <c r="A874" s="7" t="n"/>
      <c r="B874" s="4" t="n"/>
      <c r="C874" s="4" t="n"/>
      <c r="D874" s="4" t="n"/>
      <c r="E874" s="4" t="n"/>
      <c r="F874" s="4" t="n"/>
      <c r="G874">
        <f>IF(B874="","",IFERROR(INDEX(Products!$B:$B,MATCH(B874,Products!$A:$A,0)),"SKU not found"))</f>
        <v/>
      </c>
    </row>
    <row r="875">
      <c r="A875" s="7" t="n"/>
      <c r="B875" s="4" t="n"/>
      <c r="C875" s="4" t="n"/>
      <c r="D875" s="4" t="n"/>
      <c r="E875" s="4" t="n"/>
      <c r="F875" s="4" t="n"/>
      <c r="G875">
        <f>IF(B875="","",IFERROR(INDEX(Products!$B:$B,MATCH(B875,Products!$A:$A,0)),"SKU not found"))</f>
        <v/>
      </c>
    </row>
    <row r="876">
      <c r="A876" s="7" t="n"/>
      <c r="B876" s="4" t="n"/>
      <c r="C876" s="4" t="n"/>
      <c r="D876" s="4" t="n"/>
      <c r="E876" s="4" t="n"/>
      <c r="F876" s="4" t="n"/>
      <c r="G876">
        <f>IF(B876="","",IFERROR(INDEX(Products!$B:$B,MATCH(B876,Products!$A:$A,0)),"SKU not found"))</f>
        <v/>
      </c>
    </row>
    <row r="877">
      <c r="A877" s="7" t="n"/>
      <c r="B877" s="4" t="n"/>
      <c r="C877" s="4" t="n"/>
      <c r="D877" s="4" t="n"/>
      <c r="E877" s="4" t="n"/>
      <c r="F877" s="4" t="n"/>
      <c r="G877">
        <f>IF(B877="","",IFERROR(INDEX(Products!$B:$B,MATCH(B877,Products!$A:$A,0)),"SKU not found"))</f>
        <v/>
      </c>
    </row>
    <row r="878">
      <c r="A878" s="7" t="n"/>
      <c r="B878" s="4" t="n"/>
      <c r="C878" s="4" t="n"/>
      <c r="D878" s="4" t="n"/>
      <c r="E878" s="4" t="n"/>
      <c r="F878" s="4" t="n"/>
      <c r="G878">
        <f>IF(B878="","",IFERROR(INDEX(Products!$B:$B,MATCH(B878,Products!$A:$A,0)),"SKU not found"))</f>
        <v/>
      </c>
    </row>
    <row r="879">
      <c r="A879" s="7" t="n"/>
      <c r="B879" s="4" t="n"/>
      <c r="C879" s="4" t="n"/>
      <c r="D879" s="4" t="n"/>
      <c r="E879" s="4" t="n"/>
      <c r="F879" s="4" t="n"/>
      <c r="G879">
        <f>IF(B879="","",IFERROR(INDEX(Products!$B:$B,MATCH(B879,Products!$A:$A,0)),"SKU not found"))</f>
        <v/>
      </c>
    </row>
    <row r="880">
      <c r="A880" s="7" t="n"/>
      <c r="B880" s="4" t="n"/>
      <c r="C880" s="4" t="n"/>
      <c r="D880" s="4" t="n"/>
      <c r="E880" s="4" t="n"/>
      <c r="F880" s="4" t="n"/>
      <c r="G880">
        <f>IF(B880="","",IFERROR(INDEX(Products!$B:$B,MATCH(B880,Products!$A:$A,0)),"SKU not found"))</f>
        <v/>
      </c>
    </row>
    <row r="881">
      <c r="A881" s="7" t="n"/>
      <c r="B881" s="4" t="n"/>
      <c r="C881" s="4" t="n"/>
      <c r="D881" s="4" t="n"/>
      <c r="E881" s="4" t="n"/>
      <c r="F881" s="4" t="n"/>
      <c r="G881">
        <f>IF(B881="","",IFERROR(INDEX(Products!$B:$B,MATCH(B881,Products!$A:$A,0)),"SKU not found"))</f>
        <v/>
      </c>
    </row>
    <row r="882">
      <c r="A882" s="7" t="n"/>
      <c r="B882" s="4" t="n"/>
      <c r="C882" s="4" t="n"/>
      <c r="D882" s="4" t="n"/>
      <c r="E882" s="4" t="n"/>
      <c r="F882" s="4" t="n"/>
      <c r="G882">
        <f>IF(B882="","",IFERROR(INDEX(Products!$B:$B,MATCH(B882,Products!$A:$A,0)),"SKU not found"))</f>
        <v/>
      </c>
    </row>
    <row r="883">
      <c r="A883" s="7" t="n"/>
      <c r="B883" s="4" t="n"/>
      <c r="C883" s="4" t="n"/>
      <c r="D883" s="4" t="n"/>
      <c r="E883" s="4" t="n"/>
      <c r="F883" s="4" t="n"/>
      <c r="G883">
        <f>IF(B883="","",IFERROR(INDEX(Products!$B:$B,MATCH(B883,Products!$A:$A,0)),"SKU not found"))</f>
        <v/>
      </c>
    </row>
    <row r="884">
      <c r="A884" s="7" t="n"/>
      <c r="B884" s="4" t="n"/>
      <c r="C884" s="4" t="n"/>
      <c r="D884" s="4" t="n"/>
      <c r="E884" s="4" t="n"/>
      <c r="F884" s="4" t="n"/>
      <c r="G884">
        <f>IF(B884="","",IFERROR(INDEX(Products!$B:$B,MATCH(B884,Products!$A:$A,0)),"SKU not found"))</f>
        <v/>
      </c>
    </row>
    <row r="885">
      <c r="A885" s="7" t="n"/>
      <c r="B885" s="4" t="n"/>
      <c r="C885" s="4" t="n"/>
      <c r="D885" s="4" t="n"/>
      <c r="E885" s="4" t="n"/>
      <c r="F885" s="4" t="n"/>
      <c r="G885">
        <f>IF(B885="","",IFERROR(INDEX(Products!$B:$B,MATCH(B885,Products!$A:$A,0)),"SKU not found"))</f>
        <v/>
      </c>
    </row>
    <row r="886">
      <c r="A886" s="7" t="n"/>
      <c r="B886" s="4" t="n"/>
      <c r="C886" s="4" t="n"/>
      <c r="D886" s="4" t="n"/>
      <c r="E886" s="4" t="n"/>
      <c r="F886" s="4" t="n"/>
      <c r="G886">
        <f>IF(B886="","",IFERROR(INDEX(Products!$B:$B,MATCH(B886,Products!$A:$A,0)),"SKU not found"))</f>
        <v/>
      </c>
    </row>
    <row r="887">
      <c r="A887" s="7" t="n"/>
      <c r="B887" s="4" t="n"/>
      <c r="C887" s="4" t="n"/>
      <c r="D887" s="4" t="n"/>
      <c r="E887" s="4" t="n"/>
      <c r="F887" s="4" t="n"/>
      <c r="G887">
        <f>IF(B887="","",IFERROR(INDEX(Products!$B:$B,MATCH(B887,Products!$A:$A,0)),"SKU not found"))</f>
        <v/>
      </c>
    </row>
    <row r="888">
      <c r="A888" s="7" t="n"/>
      <c r="B888" s="4" t="n"/>
      <c r="C888" s="4" t="n"/>
      <c r="D888" s="4" t="n"/>
      <c r="E888" s="4" t="n"/>
      <c r="F888" s="4" t="n"/>
      <c r="G888">
        <f>IF(B888="","",IFERROR(INDEX(Products!$B:$B,MATCH(B888,Products!$A:$A,0)),"SKU not found"))</f>
        <v/>
      </c>
    </row>
    <row r="889">
      <c r="A889" s="7" t="n"/>
      <c r="B889" s="4" t="n"/>
      <c r="C889" s="4" t="n"/>
      <c r="D889" s="4" t="n"/>
      <c r="E889" s="4" t="n"/>
      <c r="F889" s="4" t="n"/>
      <c r="G889">
        <f>IF(B889="","",IFERROR(INDEX(Products!$B:$B,MATCH(B889,Products!$A:$A,0)),"SKU not found"))</f>
        <v/>
      </c>
    </row>
    <row r="890">
      <c r="A890" s="7" t="n"/>
      <c r="B890" s="4" t="n"/>
      <c r="C890" s="4" t="n"/>
      <c r="D890" s="4" t="n"/>
      <c r="E890" s="4" t="n"/>
      <c r="F890" s="4" t="n"/>
      <c r="G890">
        <f>IF(B890="","",IFERROR(INDEX(Products!$B:$B,MATCH(B890,Products!$A:$A,0)),"SKU not found"))</f>
        <v/>
      </c>
    </row>
    <row r="891">
      <c r="A891" s="7" t="n"/>
      <c r="B891" s="4" t="n"/>
      <c r="C891" s="4" t="n"/>
      <c r="D891" s="4" t="n"/>
      <c r="E891" s="4" t="n"/>
      <c r="F891" s="4" t="n"/>
      <c r="G891">
        <f>IF(B891="","",IFERROR(INDEX(Products!$B:$B,MATCH(B891,Products!$A:$A,0)),"SKU not found"))</f>
        <v/>
      </c>
    </row>
    <row r="892">
      <c r="A892" s="7" t="n"/>
      <c r="B892" s="4" t="n"/>
      <c r="C892" s="4" t="n"/>
      <c r="D892" s="4" t="n"/>
      <c r="E892" s="4" t="n"/>
      <c r="F892" s="4" t="n"/>
      <c r="G892">
        <f>IF(B892="","",IFERROR(INDEX(Products!$B:$B,MATCH(B892,Products!$A:$A,0)),"SKU not found"))</f>
        <v/>
      </c>
    </row>
    <row r="893">
      <c r="A893" s="7" t="n"/>
      <c r="B893" s="4" t="n"/>
      <c r="C893" s="4" t="n"/>
      <c r="D893" s="4" t="n"/>
      <c r="E893" s="4" t="n"/>
      <c r="F893" s="4" t="n"/>
      <c r="G893">
        <f>IF(B893="","",IFERROR(INDEX(Products!$B:$B,MATCH(B893,Products!$A:$A,0)),"SKU not found"))</f>
        <v/>
      </c>
    </row>
    <row r="894">
      <c r="A894" s="7" t="n"/>
      <c r="B894" s="4" t="n"/>
      <c r="C894" s="4" t="n"/>
      <c r="D894" s="4" t="n"/>
      <c r="E894" s="4" t="n"/>
      <c r="F894" s="4" t="n"/>
      <c r="G894">
        <f>IF(B894="","",IFERROR(INDEX(Products!$B:$B,MATCH(B894,Products!$A:$A,0)),"SKU not found"))</f>
        <v/>
      </c>
    </row>
    <row r="895">
      <c r="A895" s="7" t="n"/>
      <c r="B895" s="4" t="n"/>
      <c r="C895" s="4" t="n"/>
      <c r="D895" s="4" t="n"/>
      <c r="E895" s="4" t="n"/>
      <c r="F895" s="4" t="n"/>
      <c r="G895">
        <f>IF(B895="","",IFERROR(INDEX(Products!$B:$B,MATCH(B895,Products!$A:$A,0)),"SKU not found"))</f>
        <v/>
      </c>
    </row>
    <row r="896">
      <c r="A896" s="7" t="n"/>
      <c r="B896" s="4" t="n"/>
      <c r="C896" s="4" t="n"/>
      <c r="D896" s="4" t="n"/>
      <c r="E896" s="4" t="n"/>
      <c r="F896" s="4" t="n"/>
      <c r="G896">
        <f>IF(B896="","",IFERROR(INDEX(Products!$B:$B,MATCH(B896,Products!$A:$A,0)),"SKU not found"))</f>
        <v/>
      </c>
    </row>
    <row r="897">
      <c r="A897" s="7" t="n"/>
      <c r="B897" s="4" t="n"/>
      <c r="C897" s="4" t="n"/>
      <c r="D897" s="4" t="n"/>
      <c r="E897" s="4" t="n"/>
      <c r="F897" s="4" t="n"/>
      <c r="G897">
        <f>IF(B897="","",IFERROR(INDEX(Products!$B:$B,MATCH(B897,Products!$A:$A,0)),"SKU not found"))</f>
        <v/>
      </c>
    </row>
    <row r="898">
      <c r="A898" s="7" t="n"/>
      <c r="B898" s="4" t="n"/>
      <c r="C898" s="4" t="n"/>
      <c r="D898" s="4" t="n"/>
      <c r="E898" s="4" t="n"/>
      <c r="F898" s="4" t="n"/>
      <c r="G898">
        <f>IF(B898="","",IFERROR(INDEX(Products!$B:$B,MATCH(B898,Products!$A:$A,0)),"SKU not found"))</f>
        <v/>
      </c>
    </row>
    <row r="899">
      <c r="A899" s="7" t="n"/>
      <c r="B899" s="4" t="n"/>
      <c r="C899" s="4" t="n"/>
      <c r="D899" s="4" t="n"/>
      <c r="E899" s="4" t="n"/>
      <c r="F899" s="4" t="n"/>
      <c r="G899">
        <f>IF(B899="","",IFERROR(INDEX(Products!$B:$B,MATCH(B899,Products!$A:$A,0)),"SKU not found"))</f>
        <v/>
      </c>
    </row>
    <row r="900">
      <c r="A900" s="7" t="n"/>
      <c r="B900" s="4" t="n"/>
      <c r="C900" s="4" t="n"/>
      <c r="D900" s="4" t="n"/>
      <c r="E900" s="4" t="n"/>
      <c r="F900" s="4" t="n"/>
      <c r="G900">
        <f>IF(B900="","",IFERROR(INDEX(Products!$B:$B,MATCH(B900,Products!$A:$A,0)),"SKU not found"))</f>
        <v/>
      </c>
    </row>
    <row r="901">
      <c r="A901" s="7" t="n"/>
      <c r="B901" s="4" t="n"/>
      <c r="C901" s="4" t="n"/>
      <c r="D901" s="4" t="n"/>
      <c r="E901" s="4" t="n"/>
      <c r="F901" s="4" t="n"/>
      <c r="G901">
        <f>IF(B901="","",IFERROR(INDEX(Products!$B:$B,MATCH(B901,Products!$A:$A,0)),"SKU not found"))</f>
        <v/>
      </c>
    </row>
    <row r="902">
      <c r="A902" s="7" t="n"/>
      <c r="B902" s="4" t="n"/>
      <c r="C902" s="4" t="n"/>
      <c r="D902" s="4" t="n"/>
      <c r="E902" s="4" t="n"/>
      <c r="F902" s="4" t="n"/>
      <c r="G902">
        <f>IF(B902="","",IFERROR(INDEX(Products!$B:$B,MATCH(B902,Products!$A:$A,0)),"SKU not found"))</f>
        <v/>
      </c>
    </row>
    <row r="903">
      <c r="A903" s="7" t="n"/>
      <c r="B903" s="4" t="n"/>
      <c r="C903" s="4" t="n"/>
      <c r="D903" s="4" t="n"/>
      <c r="E903" s="4" t="n"/>
      <c r="F903" s="4" t="n"/>
      <c r="G903">
        <f>IF(B903="","",IFERROR(INDEX(Products!$B:$B,MATCH(B903,Products!$A:$A,0)),"SKU not found"))</f>
        <v/>
      </c>
    </row>
    <row r="904">
      <c r="A904" s="7" t="n"/>
      <c r="B904" s="4" t="n"/>
      <c r="C904" s="4" t="n"/>
      <c r="D904" s="4" t="n"/>
      <c r="E904" s="4" t="n"/>
      <c r="F904" s="4" t="n"/>
      <c r="G904">
        <f>IF(B904="","",IFERROR(INDEX(Products!$B:$B,MATCH(B904,Products!$A:$A,0)),"SKU not found"))</f>
        <v/>
      </c>
    </row>
    <row r="905">
      <c r="A905" s="7" t="n"/>
      <c r="B905" s="4" t="n"/>
      <c r="C905" s="4" t="n"/>
      <c r="D905" s="4" t="n"/>
      <c r="E905" s="4" t="n"/>
      <c r="F905" s="4" t="n"/>
      <c r="G905">
        <f>IF(B905="","",IFERROR(INDEX(Products!$B:$B,MATCH(B905,Products!$A:$A,0)),"SKU not found"))</f>
        <v/>
      </c>
    </row>
    <row r="906">
      <c r="A906" s="7" t="n"/>
      <c r="B906" s="4" t="n"/>
      <c r="C906" s="4" t="n"/>
      <c r="D906" s="4" t="n"/>
      <c r="E906" s="4" t="n"/>
      <c r="F906" s="4" t="n"/>
      <c r="G906">
        <f>IF(B906="","",IFERROR(INDEX(Products!$B:$B,MATCH(B906,Products!$A:$A,0)),"SKU not found"))</f>
        <v/>
      </c>
    </row>
    <row r="907">
      <c r="A907" s="7" t="n"/>
      <c r="B907" s="4" t="n"/>
      <c r="C907" s="4" t="n"/>
      <c r="D907" s="4" t="n"/>
      <c r="E907" s="4" t="n"/>
      <c r="F907" s="4" t="n"/>
      <c r="G907">
        <f>IF(B907="","",IFERROR(INDEX(Products!$B:$B,MATCH(B907,Products!$A:$A,0)),"SKU not found"))</f>
        <v/>
      </c>
    </row>
    <row r="908">
      <c r="A908" s="7" t="n"/>
      <c r="B908" s="4" t="n"/>
      <c r="C908" s="4" t="n"/>
      <c r="D908" s="4" t="n"/>
      <c r="E908" s="4" t="n"/>
      <c r="F908" s="4" t="n"/>
      <c r="G908">
        <f>IF(B908="","",IFERROR(INDEX(Products!$B:$B,MATCH(B908,Products!$A:$A,0)),"SKU not found"))</f>
        <v/>
      </c>
    </row>
    <row r="909">
      <c r="A909" s="7" t="n"/>
      <c r="B909" s="4" t="n"/>
      <c r="C909" s="4" t="n"/>
      <c r="D909" s="4" t="n"/>
      <c r="E909" s="4" t="n"/>
      <c r="F909" s="4" t="n"/>
      <c r="G909">
        <f>IF(B909="","",IFERROR(INDEX(Products!$B:$B,MATCH(B909,Products!$A:$A,0)),"SKU not found"))</f>
        <v/>
      </c>
    </row>
    <row r="910">
      <c r="A910" s="7" t="n"/>
      <c r="B910" s="4" t="n"/>
      <c r="C910" s="4" t="n"/>
      <c r="D910" s="4" t="n"/>
      <c r="E910" s="4" t="n"/>
      <c r="F910" s="4" t="n"/>
      <c r="G910">
        <f>IF(B910="","",IFERROR(INDEX(Products!$B:$B,MATCH(B910,Products!$A:$A,0)),"SKU not found"))</f>
        <v/>
      </c>
    </row>
    <row r="911">
      <c r="A911" s="7" t="n"/>
      <c r="B911" s="4" t="n"/>
      <c r="C911" s="4" t="n"/>
      <c r="D911" s="4" t="n"/>
      <c r="E911" s="4" t="n"/>
      <c r="F911" s="4" t="n"/>
      <c r="G911">
        <f>IF(B911="","",IFERROR(INDEX(Products!$B:$B,MATCH(B911,Products!$A:$A,0)),"SKU not found"))</f>
        <v/>
      </c>
    </row>
    <row r="912">
      <c r="A912" s="7" t="n"/>
      <c r="B912" s="4" t="n"/>
      <c r="C912" s="4" t="n"/>
      <c r="D912" s="4" t="n"/>
      <c r="E912" s="4" t="n"/>
      <c r="F912" s="4" t="n"/>
      <c r="G912">
        <f>IF(B912="","",IFERROR(INDEX(Products!$B:$B,MATCH(B912,Products!$A:$A,0)),"SKU not found"))</f>
        <v/>
      </c>
    </row>
    <row r="913">
      <c r="A913" s="7" t="n"/>
      <c r="B913" s="4" t="n"/>
      <c r="C913" s="4" t="n"/>
      <c r="D913" s="4" t="n"/>
      <c r="E913" s="4" t="n"/>
      <c r="F913" s="4" t="n"/>
      <c r="G913">
        <f>IF(B913="","",IFERROR(INDEX(Products!$B:$B,MATCH(B913,Products!$A:$A,0)),"SKU not found"))</f>
        <v/>
      </c>
    </row>
    <row r="914">
      <c r="A914" s="7" t="n"/>
      <c r="B914" s="4" t="n"/>
      <c r="C914" s="4" t="n"/>
      <c r="D914" s="4" t="n"/>
      <c r="E914" s="4" t="n"/>
      <c r="F914" s="4" t="n"/>
      <c r="G914">
        <f>IF(B914="","",IFERROR(INDEX(Products!$B:$B,MATCH(B914,Products!$A:$A,0)),"SKU not found"))</f>
        <v/>
      </c>
    </row>
    <row r="915">
      <c r="A915" s="7" t="n"/>
      <c r="B915" s="4" t="n"/>
      <c r="C915" s="4" t="n"/>
      <c r="D915" s="4" t="n"/>
      <c r="E915" s="4" t="n"/>
      <c r="F915" s="4" t="n"/>
      <c r="G915">
        <f>IF(B915="","",IFERROR(INDEX(Products!$B:$B,MATCH(B915,Products!$A:$A,0)),"SKU not found"))</f>
        <v/>
      </c>
    </row>
    <row r="916">
      <c r="A916" s="7" t="n"/>
      <c r="B916" s="4" t="n"/>
      <c r="C916" s="4" t="n"/>
      <c r="D916" s="4" t="n"/>
      <c r="E916" s="4" t="n"/>
      <c r="F916" s="4" t="n"/>
      <c r="G916">
        <f>IF(B916="","",IFERROR(INDEX(Products!$B:$B,MATCH(B916,Products!$A:$A,0)),"SKU not found"))</f>
        <v/>
      </c>
    </row>
    <row r="917">
      <c r="A917" s="7" t="n"/>
      <c r="B917" s="4" t="n"/>
      <c r="C917" s="4" t="n"/>
      <c r="D917" s="4" t="n"/>
      <c r="E917" s="4" t="n"/>
      <c r="F917" s="4" t="n"/>
      <c r="G917">
        <f>IF(B917="","",IFERROR(INDEX(Products!$B:$B,MATCH(B917,Products!$A:$A,0)),"SKU not found"))</f>
        <v/>
      </c>
    </row>
    <row r="918">
      <c r="A918" s="7" t="n"/>
      <c r="B918" s="4" t="n"/>
      <c r="C918" s="4" t="n"/>
      <c r="D918" s="4" t="n"/>
      <c r="E918" s="4" t="n"/>
      <c r="F918" s="4" t="n"/>
      <c r="G918">
        <f>IF(B918="","",IFERROR(INDEX(Products!$B:$B,MATCH(B918,Products!$A:$A,0)),"SKU not found"))</f>
        <v/>
      </c>
    </row>
    <row r="919">
      <c r="A919" s="7" t="n"/>
      <c r="B919" s="4" t="n"/>
      <c r="C919" s="4" t="n"/>
      <c r="D919" s="4" t="n"/>
      <c r="E919" s="4" t="n"/>
      <c r="F919" s="4" t="n"/>
      <c r="G919">
        <f>IF(B919="","",IFERROR(INDEX(Products!$B:$B,MATCH(B919,Products!$A:$A,0)),"SKU not found"))</f>
        <v/>
      </c>
    </row>
    <row r="920">
      <c r="A920" s="7" t="n"/>
      <c r="B920" s="4" t="n"/>
      <c r="C920" s="4" t="n"/>
      <c r="D920" s="4" t="n"/>
      <c r="E920" s="4" t="n"/>
      <c r="F920" s="4" t="n"/>
      <c r="G920">
        <f>IF(B920="","",IFERROR(INDEX(Products!$B:$B,MATCH(B920,Products!$A:$A,0)),"SKU not found"))</f>
        <v/>
      </c>
    </row>
    <row r="921">
      <c r="A921" s="7" t="n"/>
      <c r="B921" s="4" t="n"/>
      <c r="C921" s="4" t="n"/>
      <c r="D921" s="4" t="n"/>
      <c r="E921" s="4" t="n"/>
      <c r="F921" s="4" t="n"/>
      <c r="G921">
        <f>IF(B921="","",IFERROR(INDEX(Products!$B:$B,MATCH(B921,Products!$A:$A,0)),"SKU not found"))</f>
        <v/>
      </c>
    </row>
    <row r="922">
      <c r="A922" s="7" t="n"/>
      <c r="B922" s="4" t="n"/>
      <c r="C922" s="4" t="n"/>
      <c r="D922" s="4" t="n"/>
      <c r="E922" s="4" t="n"/>
      <c r="F922" s="4" t="n"/>
      <c r="G922">
        <f>IF(B922="","",IFERROR(INDEX(Products!$B:$B,MATCH(B922,Products!$A:$A,0)),"SKU not found"))</f>
        <v/>
      </c>
    </row>
    <row r="923">
      <c r="A923" s="7" t="n"/>
      <c r="B923" s="4" t="n"/>
      <c r="C923" s="4" t="n"/>
      <c r="D923" s="4" t="n"/>
      <c r="E923" s="4" t="n"/>
      <c r="F923" s="4" t="n"/>
      <c r="G923">
        <f>IF(B923="","",IFERROR(INDEX(Products!$B:$B,MATCH(B923,Products!$A:$A,0)),"SKU not found"))</f>
        <v/>
      </c>
    </row>
    <row r="924">
      <c r="A924" s="7" t="n"/>
      <c r="B924" s="4" t="n"/>
      <c r="C924" s="4" t="n"/>
      <c r="D924" s="4" t="n"/>
      <c r="E924" s="4" t="n"/>
      <c r="F924" s="4" t="n"/>
      <c r="G924">
        <f>IF(B924="","",IFERROR(INDEX(Products!$B:$B,MATCH(B924,Products!$A:$A,0)),"SKU not found"))</f>
        <v/>
      </c>
    </row>
    <row r="925">
      <c r="A925" s="7" t="n"/>
      <c r="B925" s="4" t="n"/>
      <c r="C925" s="4" t="n"/>
      <c r="D925" s="4" t="n"/>
      <c r="E925" s="4" t="n"/>
      <c r="F925" s="4" t="n"/>
      <c r="G925">
        <f>IF(B925="","",IFERROR(INDEX(Products!$B:$B,MATCH(B925,Products!$A:$A,0)),"SKU not found"))</f>
        <v/>
      </c>
    </row>
    <row r="926">
      <c r="A926" s="7" t="n"/>
      <c r="B926" s="4" t="n"/>
      <c r="C926" s="4" t="n"/>
      <c r="D926" s="4" t="n"/>
      <c r="E926" s="4" t="n"/>
      <c r="F926" s="4" t="n"/>
      <c r="G926">
        <f>IF(B926="","",IFERROR(INDEX(Products!$B:$B,MATCH(B926,Products!$A:$A,0)),"SKU not found"))</f>
        <v/>
      </c>
    </row>
    <row r="927">
      <c r="A927" s="7" t="n"/>
      <c r="B927" s="4" t="n"/>
      <c r="C927" s="4" t="n"/>
      <c r="D927" s="4" t="n"/>
      <c r="E927" s="4" t="n"/>
      <c r="F927" s="4" t="n"/>
      <c r="G927">
        <f>IF(B927="","",IFERROR(INDEX(Products!$B:$B,MATCH(B927,Products!$A:$A,0)),"SKU not found"))</f>
        <v/>
      </c>
    </row>
    <row r="928">
      <c r="A928" s="7" t="n"/>
      <c r="B928" s="4" t="n"/>
      <c r="C928" s="4" t="n"/>
      <c r="D928" s="4" t="n"/>
      <c r="E928" s="4" t="n"/>
      <c r="F928" s="4" t="n"/>
      <c r="G928">
        <f>IF(B928="","",IFERROR(INDEX(Products!$B:$B,MATCH(B928,Products!$A:$A,0)),"SKU not found"))</f>
        <v/>
      </c>
    </row>
    <row r="929">
      <c r="A929" s="7" t="n"/>
      <c r="B929" s="4" t="n"/>
      <c r="C929" s="4" t="n"/>
      <c r="D929" s="4" t="n"/>
      <c r="E929" s="4" t="n"/>
      <c r="F929" s="4" t="n"/>
      <c r="G929">
        <f>IF(B929="","",IFERROR(INDEX(Products!$B:$B,MATCH(B929,Products!$A:$A,0)),"SKU not found"))</f>
        <v/>
      </c>
    </row>
    <row r="930">
      <c r="A930" s="7" t="n"/>
      <c r="B930" s="4" t="n"/>
      <c r="C930" s="4" t="n"/>
      <c r="D930" s="4" t="n"/>
      <c r="E930" s="4" t="n"/>
      <c r="F930" s="4" t="n"/>
      <c r="G930">
        <f>IF(B930="","",IFERROR(INDEX(Products!$B:$B,MATCH(B930,Products!$A:$A,0)),"SKU not found"))</f>
        <v/>
      </c>
    </row>
    <row r="931">
      <c r="A931" s="7" t="n"/>
      <c r="B931" s="4" t="n"/>
      <c r="C931" s="4" t="n"/>
      <c r="D931" s="4" t="n"/>
      <c r="E931" s="4" t="n"/>
      <c r="F931" s="4" t="n"/>
      <c r="G931">
        <f>IF(B931="","",IFERROR(INDEX(Products!$B:$B,MATCH(B931,Products!$A:$A,0)),"SKU not found"))</f>
        <v/>
      </c>
    </row>
    <row r="932">
      <c r="A932" s="7" t="n"/>
      <c r="B932" s="4" t="n"/>
      <c r="C932" s="4" t="n"/>
      <c r="D932" s="4" t="n"/>
      <c r="E932" s="4" t="n"/>
      <c r="F932" s="4" t="n"/>
      <c r="G932">
        <f>IF(B932="","",IFERROR(INDEX(Products!$B:$B,MATCH(B932,Products!$A:$A,0)),"SKU not found"))</f>
        <v/>
      </c>
    </row>
    <row r="933">
      <c r="A933" s="7" t="n"/>
      <c r="B933" s="4" t="n"/>
      <c r="C933" s="4" t="n"/>
      <c r="D933" s="4" t="n"/>
      <c r="E933" s="4" t="n"/>
      <c r="F933" s="4" t="n"/>
      <c r="G933">
        <f>IF(B933="","",IFERROR(INDEX(Products!$B:$B,MATCH(B933,Products!$A:$A,0)),"SKU not found"))</f>
        <v/>
      </c>
    </row>
    <row r="934">
      <c r="A934" s="7" t="n"/>
      <c r="B934" s="4" t="n"/>
      <c r="C934" s="4" t="n"/>
      <c r="D934" s="4" t="n"/>
      <c r="E934" s="4" t="n"/>
      <c r="F934" s="4" t="n"/>
      <c r="G934">
        <f>IF(B934="","",IFERROR(INDEX(Products!$B:$B,MATCH(B934,Products!$A:$A,0)),"SKU not found"))</f>
        <v/>
      </c>
    </row>
    <row r="935">
      <c r="A935" s="7" t="n"/>
      <c r="B935" s="4" t="n"/>
      <c r="C935" s="4" t="n"/>
      <c r="D935" s="4" t="n"/>
      <c r="E935" s="4" t="n"/>
      <c r="F935" s="4" t="n"/>
      <c r="G935">
        <f>IF(B935="","",IFERROR(INDEX(Products!$B:$B,MATCH(B935,Products!$A:$A,0)),"SKU not found"))</f>
        <v/>
      </c>
    </row>
    <row r="936">
      <c r="A936" s="7" t="n"/>
      <c r="B936" s="4" t="n"/>
      <c r="C936" s="4" t="n"/>
      <c r="D936" s="4" t="n"/>
      <c r="E936" s="4" t="n"/>
      <c r="F936" s="4" t="n"/>
      <c r="G936">
        <f>IF(B936="","",IFERROR(INDEX(Products!$B:$B,MATCH(B936,Products!$A:$A,0)),"SKU not found"))</f>
        <v/>
      </c>
    </row>
    <row r="937">
      <c r="A937" s="7" t="n"/>
      <c r="B937" s="4" t="n"/>
      <c r="C937" s="4" t="n"/>
      <c r="D937" s="4" t="n"/>
      <c r="E937" s="4" t="n"/>
      <c r="F937" s="4" t="n"/>
      <c r="G937">
        <f>IF(B937="","",IFERROR(INDEX(Products!$B:$B,MATCH(B937,Products!$A:$A,0)),"SKU not found"))</f>
        <v/>
      </c>
    </row>
    <row r="938">
      <c r="A938" s="7" t="n"/>
      <c r="B938" s="4" t="n"/>
      <c r="C938" s="4" t="n"/>
      <c r="D938" s="4" t="n"/>
      <c r="E938" s="4" t="n"/>
      <c r="F938" s="4" t="n"/>
      <c r="G938">
        <f>IF(B938="","",IFERROR(INDEX(Products!$B:$B,MATCH(B938,Products!$A:$A,0)),"SKU not found"))</f>
        <v/>
      </c>
    </row>
    <row r="939">
      <c r="A939" s="7" t="n"/>
      <c r="B939" s="4" t="n"/>
      <c r="C939" s="4" t="n"/>
      <c r="D939" s="4" t="n"/>
      <c r="E939" s="4" t="n"/>
      <c r="F939" s="4" t="n"/>
      <c r="G939">
        <f>IF(B939="","",IFERROR(INDEX(Products!$B:$B,MATCH(B939,Products!$A:$A,0)),"SKU not found"))</f>
        <v/>
      </c>
    </row>
    <row r="940">
      <c r="A940" s="7" t="n"/>
      <c r="B940" s="4" t="n"/>
      <c r="C940" s="4" t="n"/>
      <c r="D940" s="4" t="n"/>
      <c r="E940" s="4" t="n"/>
      <c r="F940" s="4" t="n"/>
      <c r="G940">
        <f>IF(B940="","",IFERROR(INDEX(Products!$B:$B,MATCH(B940,Products!$A:$A,0)),"SKU not found"))</f>
        <v/>
      </c>
    </row>
    <row r="941">
      <c r="A941" s="7" t="n"/>
      <c r="B941" s="4" t="n"/>
      <c r="C941" s="4" t="n"/>
      <c r="D941" s="4" t="n"/>
      <c r="E941" s="4" t="n"/>
      <c r="F941" s="4" t="n"/>
      <c r="G941">
        <f>IF(B941="","",IFERROR(INDEX(Products!$B:$B,MATCH(B941,Products!$A:$A,0)),"SKU not found"))</f>
        <v/>
      </c>
    </row>
    <row r="942">
      <c r="A942" s="7" t="n"/>
      <c r="B942" s="4" t="n"/>
      <c r="C942" s="4" t="n"/>
      <c r="D942" s="4" t="n"/>
      <c r="E942" s="4" t="n"/>
      <c r="F942" s="4" t="n"/>
      <c r="G942">
        <f>IF(B942="","",IFERROR(INDEX(Products!$B:$B,MATCH(B942,Products!$A:$A,0)),"SKU not found"))</f>
        <v/>
      </c>
    </row>
    <row r="943">
      <c r="A943" s="7" t="n"/>
      <c r="B943" s="4" t="n"/>
      <c r="C943" s="4" t="n"/>
      <c r="D943" s="4" t="n"/>
      <c r="E943" s="4" t="n"/>
      <c r="F943" s="4" t="n"/>
      <c r="G943">
        <f>IF(B943="","",IFERROR(INDEX(Products!$B:$B,MATCH(B943,Products!$A:$A,0)),"SKU not found"))</f>
        <v/>
      </c>
    </row>
    <row r="944">
      <c r="A944" s="7" t="n"/>
      <c r="B944" s="4" t="n"/>
      <c r="C944" s="4" t="n"/>
      <c r="D944" s="4" t="n"/>
      <c r="E944" s="4" t="n"/>
      <c r="F944" s="4" t="n"/>
      <c r="G944">
        <f>IF(B944="","",IFERROR(INDEX(Products!$B:$B,MATCH(B944,Products!$A:$A,0)),"SKU not found"))</f>
        <v/>
      </c>
    </row>
    <row r="945">
      <c r="A945" s="7" t="n"/>
      <c r="B945" s="4" t="n"/>
      <c r="C945" s="4" t="n"/>
      <c r="D945" s="4" t="n"/>
      <c r="E945" s="4" t="n"/>
      <c r="F945" s="4" t="n"/>
      <c r="G945">
        <f>IF(B945="","",IFERROR(INDEX(Products!$B:$B,MATCH(B945,Products!$A:$A,0)),"SKU not found"))</f>
        <v/>
      </c>
    </row>
    <row r="946">
      <c r="A946" s="7" t="n"/>
      <c r="B946" s="4" t="n"/>
      <c r="C946" s="4" t="n"/>
      <c r="D946" s="4" t="n"/>
      <c r="E946" s="4" t="n"/>
      <c r="F946" s="4" t="n"/>
      <c r="G946">
        <f>IF(B946="","",IFERROR(INDEX(Products!$B:$B,MATCH(B946,Products!$A:$A,0)),"SKU not found"))</f>
        <v/>
      </c>
    </row>
    <row r="947">
      <c r="A947" s="7" t="n"/>
      <c r="B947" s="4" t="n"/>
      <c r="C947" s="4" t="n"/>
      <c r="D947" s="4" t="n"/>
      <c r="E947" s="4" t="n"/>
      <c r="F947" s="4" t="n"/>
      <c r="G947">
        <f>IF(B947="","",IFERROR(INDEX(Products!$B:$B,MATCH(B947,Products!$A:$A,0)),"SKU not found"))</f>
        <v/>
      </c>
    </row>
    <row r="948">
      <c r="A948" s="7" t="n"/>
      <c r="B948" s="4" t="n"/>
      <c r="C948" s="4" t="n"/>
      <c r="D948" s="4" t="n"/>
      <c r="E948" s="4" t="n"/>
      <c r="F948" s="4" t="n"/>
      <c r="G948">
        <f>IF(B948="","",IFERROR(INDEX(Products!$B:$B,MATCH(B948,Products!$A:$A,0)),"SKU not found"))</f>
        <v/>
      </c>
    </row>
    <row r="949">
      <c r="A949" s="7" t="n"/>
      <c r="B949" s="4" t="n"/>
      <c r="C949" s="4" t="n"/>
      <c r="D949" s="4" t="n"/>
      <c r="E949" s="4" t="n"/>
      <c r="F949" s="4" t="n"/>
      <c r="G949">
        <f>IF(B949="","",IFERROR(INDEX(Products!$B:$B,MATCH(B949,Products!$A:$A,0)),"SKU not found"))</f>
        <v/>
      </c>
    </row>
    <row r="950">
      <c r="A950" s="7" t="n"/>
      <c r="B950" s="4" t="n"/>
      <c r="C950" s="4" t="n"/>
      <c r="D950" s="4" t="n"/>
      <c r="E950" s="4" t="n"/>
      <c r="F950" s="4" t="n"/>
      <c r="G950">
        <f>IF(B950="","",IFERROR(INDEX(Products!$B:$B,MATCH(B950,Products!$A:$A,0)),"SKU not found"))</f>
        <v/>
      </c>
    </row>
    <row r="951">
      <c r="A951" s="7" t="n"/>
      <c r="B951" s="4" t="n"/>
      <c r="C951" s="4" t="n"/>
      <c r="D951" s="4" t="n"/>
      <c r="E951" s="4" t="n"/>
      <c r="F951" s="4" t="n"/>
      <c r="G951">
        <f>IF(B951="","",IFERROR(INDEX(Products!$B:$B,MATCH(B951,Products!$A:$A,0)),"SKU not found"))</f>
        <v/>
      </c>
    </row>
    <row r="952">
      <c r="A952" s="7" t="n"/>
      <c r="B952" s="4" t="n"/>
      <c r="C952" s="4" t="n"/>
      <c r="D952" s="4" t="n"/>
      <c r="E952" s="4" t="n"/>
      <c r="F952" s="4" t="n"/>
      <c r="G952">
        <f>IF(B952="","",IFERROR(INDEX(Products!$B:$B,MATCH(B952,Products!$A:$A,0)),"SKU not found"))</f>
        <v/>
      </c>
    </row>
    <row r="953">
      <c r="A953" s="7" t="n"/>
      <c r="B953" s="4" t="n"/>
      <c r="C953" s="4" t="n"/>
      <c r="D953" s="4" t="n"/>
      <c r="E953" s="4" t="n"/>
      <c r="F953" s="4" t="n"/>
      <c r="G953">
        <f>IF(B953="","",IFERROR(INDEX(Products!$B:$B,MATCH(B953,Products!$A:$A,0)),"SKU not found"))</f>
        <v/>
      </c>
    </row>
    <row r="954">
      <c r="A954" s="7" t="n"/>
      <c r="B954" s="4" t="n"/>
      <c r="C954" s="4" t="n"/>
      <c r="D954" s="4" t="n"/>
      <c r="E954" s="4" t="n"/>
      <c r="F954" s="4" t="n"/>
      <c r="G954">
        <f>IF(B954="","",IFERROR(INDEX(Products!$B:$B,MATCH(B954,Products!$A:$A,0)),"SKU not found"))</f>
        <v/>
      </c>
    </row>
    <row r="955">
      <c r="A955" s="7" t="n"/>
      <c r="B955" s="4" t="n"/>
      <c r="C955" s="4" t="n"/>
      <c r="D955" s="4" t="n"/>
      <c r="E955" s="4" t="n"/>
      <c r="F955" s="4" t="n"/>
      <c r="G955">
        <f>IF(B955="","",IFERROR(INDEX(Products!$B:$B,MATCH(B955,Products!$A:$A,0)),"SKU not found"))</f>
        <v/>
      </c>
    </row>
    <row r="956">
      <c r="A956" s="7" t="n"/>
      <c r="B956" s="4" t="n"/>
      <c r="C956" s="4" t="n"/>
      <c r="D956" s="4" t="n"/>
      <c r="E956" s="4" t="n"/>
      <c r="F956" s="4" t="n"/>
      <c r="G956">
        <f>IF(B956="","",IFERROR(INDEX(Products!$B:$B,MATCH(B956,Products!$A:$A,0)),"SKU not found"))</f>
        <v/>
      </c>
    </row>
    <row r="957">
      <c r="A957" s="7" t="n"/>
      <c r="B957" s="4" t="n"/>
      <c r="C957" s="4" t="n"/>
      <c r="D957" s="4" t="n"/>
      <c r="E957" s="4" t="n"/>
      <c r="F957" s="4" t="n"/>
      <c r="G957">
        <f>IF(B957="","",IFERROR(INDEX(Products!$B:$B,MATCH(B957,Products!$A:$A,0)),"SKU not found"))</f>
        <v/>
      </c>
    </row>
    <row r="958">
      <c r="A958" s="7" t="n"/>
      <c r="B958" s="4" t="n"/>
      <c r="C958" s="4" t="n"/>
      <c r="D958" s="4" t="n"/>
      <c r="E958" s="4" t="n"/>
      <c r="F958" s="4" t="n"/>
      <c r="G958">
        <f>IF(B958="","",IFERROR(INDEX(Products!$B:$B,MATCH(B958,Products!$A:$A,0)),"SKU not found"))</f>
        <v/>
      </c>
    </row>
    <row r="959">
      <c r="A959" s="7" t="n"/>
      <c r="B959" s="4" t="n"/>
      <c r="C959" s="4" t="n"/>
      <c r="D959" s="4" t="n"/>
      <c r="E959" s="4" t="n"/>
      <c r="F959" s="4" t="n"/>
      <c r="G959">
        <f>IF(B959="","",IFERROR(INDEX(Products!$B:$B,MATCH(B959,Products!$A:$A,0)),"SKU not found"))</f>
        <v/>
      </c>
    </row>
    <row r="960">
      <c r="A960" s="7" t="n"/>
      <c r="B960" s="4" t="n"/>
      <c r="C960" s="4" t="n"/>
      <c r="D960" s="4" t="n"/>
      <c r="E960" s="4" t="n"/>
      <c r="F960" s="4" t="n"/>
      <c r="G960">
        <f>IF(B960="","",IFERROR(INDEX(Products!$B:$B,MATCH(B960,Products!$A:$A,0)),"SKU not found"))</f>
        <v/>
      </c>
    </row>
    <row r="961">
      <c r="A961" s="7" t="n"/>
      <c r="B961" s="4" t="n"/>
      <c r="C961" s="4" t="n"/>
      <c r="D961" s="4" t="n"/>
      <c r="E961" s="4" t="n"/>
      <c r="F961" s="4" t="n"/>
      <c r="G961">
        <f>IF(B961="","",IFERROR(INDEX(Products!$B:$B,MATCH(B961,Products!$A:$A,0)),"SKU not found"))</f>
        <v/>
      </c>
    </row>
    <row r="962">
      <c r="A962" s="7" t="n"/>
      <c r="B962" s="4" t="n"/>
      <c r="C962" s="4" t="n"/>
      <c r="D962" s="4" t="n"/>
      <c r="E962" s="4" t="n"/>
      <c r="F962" s="4" t="n"/>
      <c r="G962">
        <f>IF(B962="","",IFERROR(INDEX(Products!$B:$B,MATCH(B962,Products!$A:$A,0)),"SKU not found"))</f>
        <v/>
      </c>
    </row>
    <row r="963">
      <c r="A963" s="7" t="n"/>
      <c r="B963" s="4" t="n"/>
      <c r="C963" s="4" t="n"/>
      <c r="D963" s="4" t="n"/>
      <c r="E963" s="4" t="n"/>
      <c r="F963" s="4" t="n"/>
      <c r="G963">
        <f>IF(B963="","",IFERROR(INDEX(Products!$B:$B,MATCH(B963,Products!$A:$A,0)),"SKU not found"))</f>
        <v/>
      </c>
    </row>
    <row r="964">
      <c r="A964" s="7" t="n"/>
      <c r="B964" s="4" t="n"/>
      <c r="C964" s="4" t="n"/>
      <c r="D964" s="4" t="n"/>
      <c r="E964" s="4" t="n"/>
      <c r="F964" s="4" t="n"/>
      <c r="G964">
        <f>IF(B964="","",IFERROR(INDEX(Products!$B:$B,MATCH(B964,Products!$A:$A,0)),"SKU not found"))</f>
        <v/>
      </c>
    </row>
    <row r="965">
      <c r="A965" s="7" t="n"/>
      <c r="B965" s="4" t="n"/>
      <c r="C965" s="4" t="n"/>
      <c r="D965" s="4" t="n"/>
      <c r="E965" s="4" t="n"/>
      <c r="F965" s="4" t="n"/>
      <c r="G965">
        <f>IF(B965="","",IFERROR(INDEX(Products!$B:$B,MATCH(B965,Products!$A:$A,0)),"SKU not found"))</f>
        <v/>
      </c>
    </row>
    <row r="966">
      <c r="A966" s="7" t="n"/>
      <c r="B966" s="4" t="n"/>
      <c r="C966" s="4" t="n"/>
      <c r="D966" s="4" t="n"/>
      <c r="E966" s="4" t="n"/>
      <c r="F966" s="4" t="n"/>
      <c r="G966">
        <f>IF(B966="","",IFERROR(INDEX(Products!$B:$B,MATCH(B966,Products!$A:$A,0)),"SKU not found"))</f>
        <v/>
      </c>
    </row>
    <row r="967">
      <c r="A967" s="7" t="n"/>
      <c r="B967" s="4" t="n"/>
      <c r="C967" s="4" t="n"/>
      <c r="D967" s="4" t="n"/>
      <c r="E967" s="4" t="n"/>
      <c r="F967" s="4" t="n"/>
      <c r="G967">
        <f>IF(B967="","",IFERROR(INDEX(Products!$B:$B,MATCH(B967,Products!$A:$A,0)),"SKU not found"))</f>
        <v/>
      </c>
    </row>
    <row r="968">
      <c r="A968" s="7" t="n"/>
      <c r="B968" s="4" t="n"/>
      <c r="C968" s="4" t="n"/>
      <c r="D968" s="4" t="n"/>
      <c r="E968" s="4" t="n"/>
      <c r="F968" s="4" t="n"/>
      <c r="G968">
        <f>IF(B968="","",IFERROR(INDEX(Products!$B:$B,MATCH(B968,Products!$A:$A,0)),"SKU not found"))</f>
        <v/>
      </c>
    </row>
    <row r="969">
      <c r="A969" s="7" t="n"/>
      <c r="B969" s="4" t="n"/>
      <c r="C969" s="4" t="n"/>
      <c r="D969" s="4" t="n"/>
      <c r="E969" s="4" t="n"/>
      <c r="F969" s="4" t="n"/>
      <c r="G969">
        <f>IF(B969="","",IFERROR(INDEX(Products!$B:$B,MATCH(B969,Products!$A:$A,0)),"SKU not found"))</f>
        <v/>
      </c>
    </row>
    <row r="970">
      <c r="A970" s="7" t="n"/>
      <c r="B970" s="4" t="n"/>
      <c r="C970" s="4" t="n"/>
      <c r="D970" s="4" t="n"/>
      <c r="E970" s="4" t="n"/>
      <c r="F970" s="4" t="n"/>
      <c r="G970">
        <f>IF(B970="","",IFERROR(INDEX(Products!$B:$B,MATCH(B970,Products!$A:$A,0)),"SKU not found"))</f>
        <v/>
      </c>
    </row>
    <row r="971">
      <c r="A971" s="7" t="n"/>
      <c r="B971" s="4" t="n"/>
      <c r="C971" s="4" t="n"/>
      <c r="D971" s="4" t="n"/>
      <c r="E971" s="4" t="n"/>
      <c r="F971" s="4" t="n"/>
      <c r="G971">
        <f>IF(B971="","",IFERROR(INDEX(Products!$B:$B,MATCH(B971,Products!$A:$A,0)),"SKU not found"))</f>
        <v/>
      </c>
    </row>
    <row r="972">
      <c r="A972" s="7" t="n"/>
      <c r="B972" s="4" t="n"/>
      <c r="C972" s="4" t="n"/>
      <c r="D972" s="4" t="n"/>
      <c r="E972" s="4" t="n"/>
      <c r="F972" s="4" t="n"/>
      <c r="G972">
        <f>IF(B972="","",IFERROR(INDEX(Products!$B:$B,MATCH(B972,Products!$A:$A,0)),"SKU not found"))</f>
        <v/>
      </c>
    </row>
    <row r="973">
      <c r="A973" s="7" t="n"/>
      <c r="B973" s="4" t="n"/>
      <c r="C973" s="4" t="n"/>
      <c r="D973" s="4" t="n"/>
      <c r="E973" s="4" t="n"/>
      <c r="F973" s="4" t="n"/>
      <c r="G973">
        <f>IF(B973="","",IFERROR(INDEX(Products!$B:$B,MATCH(B973,Products!$A:$A,0)),"SKU not found"))</f>
        <v/>
      </c>
    </row>
    <row r="974">
      <c r="A974" s="7" t="n"/>
      <c r="B974" s="4" t="n"/>
      <c r="C974" s="4" t="n"/>
      <c r="D974" s="4" t="n"/>
      <c r="E974" s="4" t="n"/>
      <c r="F974" s="4" t="n"/>
      <c r="G974">
        <f>IF(B974="","",IFERROR(INDEX(Products!$B:$B,MATCH(B974,Products!$A:$A,0)),"SKU not found"))</f>
        <v/>
      </c>
    </row>
    <row r="975">
      <c r="A975" s="7" t="n"/>
      <c r="B975" s="4" t="n"/>
      <c r="C975" s="4" t="n"/>
      <c r="D975" s="4" t="n"/>
      <c r="E975" s="4" t="n"/>
      <c r="F975" s="4" t="n"/>
      <c r="G975">
        <f>IF(B975="","",IFERROR(INDEX(Products!$B:$B,MATCH(B975,Products!$A:$A,0)),"SKU not found"))</f>
        <v/>
      </c>
    </row>
    <row r="976">
      <c r="A976" s="7" t="n"/>
      <c r="B976" s="4" t="n"/>
      <c r="C976" s="4" t="n"/>
      <c r="D976" s="4" t="n"/>
      <c r="E976" s="4" t="n"/>
      <c r="F976" s="4" t="n"/>
      <c r="G976">
        <f>IF(B976="","",IFERROR(INDEX(Products!$B:$B,MATCH(B976,Products!$A:$A,0)),"SKU not found"))</f>
        <v/>
      </c>
    </row>
    <row r="977">
      <c r="A977" s="7" t="n"/>
      <c r="B977" s="4" t="n"/>
      <c r="C977" s="4" t="n"/>
      <c r="D977" s="4" t="n"/>
      <c r="E977" s="4" t="n"/>
      <c r="F977" s="4" t="n"/>
      <c r="G977">
        <f>IF(B977="","",IFERROR(INDEX(Products!$B:$B,MATCH(B977,Products!$A:$A,0)),"SKU not found"))</f>
        <v/>
      </c>
    </row>
    <row r="978">
      <c r="A978" s="7" t="n"/>
      <c r="B978" s="4" t="n"/>
      <c r="C978" s="4" t="n"/>
      <c r="D978" s="4" t="n"/>
      <c r="E978" s="4" t="n"/>
      <c r="F978" s="4" t="n"/>
      <c r="G978">
        <f>IF(B978="","",IFERROR(INDEX(Products!$B:$B,MATCH(B978,Products!$A:$A,0)),"SKU not found"))</f>
        <v/>
      </c>
    </row>
    <row r="979">
      <c r="A979" s="7" t="n"/>
      <c r="B979" s="4" t="n"/>
      <c r="C979" s="4" t="n"/>
      <c r="D979" s="4" t="n"/>
      <c r="E979" s="4" t="n"/>
      <c r="F979" s="4" t="n"/>
      <c r="G979">
        <f>IF(B979="","",IFERROR(INDEX(Products!$B:$B,MATCH(B979,Products!$A:$A,0)),"SKU not found"))</f>
        <v/>
      </c>
    </row>
    <row r="980">
      <c r="A980" s="7" t="n"/>
      <c r="B980" s="4" t="n"/>
      <c r="C980" s="4" t="n"/>
      <c r="D980" s="4" t="n"/>
      <c r="E980" s="4" t="n"/>
      <c r="F980" s="4" t="n"/>
      <c r="G980">
        <f>IF(B980="","",IFERROR(INDEX(Products!$B:$B,MATCH(B980,Products!$A:$A,0)),"SKU not found"))</f>
        <v/>
      </c>
    </row>
    <row r="981">
      <c r="A981" s="7" t="n"/>
      <c r="B981" s="4" t="n"/>
      <c r="C981" s="4" t="n"/>
      <c r="D981" s="4" t="n"/>
      <c r="E981" s="4" t="n"/>
      <c r="F981" s="4" t="n"/>
      <c r="G981">
        <f>IF(B981="","",IFERROR(INDEX(Products!$B:$B,MATCH(B981,Products!$A:$A,0)),"SKU not found"))</f>
        <v/>
      </c>
    </row>
    <row r="982">
      <c r="A982" s="7" t="n"/>
      <c r="B982" s="4" t="n"/>
      <c r="C982" s="4" t="n"/>
      <c r="D982" s="4" t="n"/>
      <c r="E982" s="4" t="n"/>
      <c r="F982" s="4" t="n"/>
      <c r="G982">
        <f>IF(B982="","",IFERROR(INDEX(Products!$B:$B,MATCH(B982,Products!$A:$A,0)),"SKU not found"))</f>
        <v/>
      </c>
    </row>
    <row r="983">
      <c r="A983" s="7" t="n"/>
      <c r="B983" s="4" t="n"/>
      <c r="C983" s="4" t="n"/>
      <c r="D983" s="4" t="n"/>
      <c r="E983" s="4" t="n"/>
      <c r="F983" s="4" t="n"/>
      <c r="G983">
        <f>IF(B983="","",IFERROR(INDEX(Products!$B:$B,MATCH(B983,Products!$A:$A,0)),"SKU not found"))</f>
        <v/>
      </c>
    </row>
    <row r="984">
      <c r="A984" s="7" t="n"/>
      <c r="B984" s="4" t="n"/>
      <c r="C984" s="4" t="n"/>
      <c r="D984" s="4" t="n"/>
      <c r="E984" s="4" t="n"/>
      <c r="F984" s="4" t="n"/>
      <c r="G984">
        <f>IF(B984="","",IFERROR(INDEX(Products!$B:$B,MATCH(B984,Products!$A:$A,0)),"SKU not found"))</f>
        <v/>
      </c>
    </row>
    <row r="985">
      <c r="A985" s="7" t="n"/>
      <c r="B985" s="4" t="n"/>
      <c r="C985" s="4" t="n"/>
      <c r="D985" s="4" t="n"/>
      <c r="E985" s="4" t="n"/>
      <c r="F985" s="4" t="n"/>
      <c r="G985">
        <f>IF(B985="","",IFERROR(INDEX(Products!$B:$B,MATCH(B985,Products!$A:$A,0)),"SKU not found"))</f>
        <v/>
      </c>
    </row>
    <row r="986">
      <c r="A986" s="7" t="n"/>
      <c r="B986" s="4" t="n"/>
      <c r="C986" s="4" t="n"/>
      <c r="D986" s="4" t="n"/>
      <c r="E986" s="4" t="n"/>
      <c r="F986" s="4" t="n"/>
      <c r="G986">
        <f>IF(B986="","",IFERROR(INDEX(Products!$B:$B,MATCH(B986,Products!$A:$A,0)),"SKU not found"))</f>
        <v/>
      </c>
    </row>
    <row r="987">
      <c r="A987" s="7" t="n"/>
      <c r="B987" s="4" t="n"/>
      <c r="C987" s="4" t="n"/>
      <c r="D987" s="4" t="n"/>
      <c r="E987" s="4" t="n"/>
      <c r="F987" s="4" t="n"/>
      <c r="G987">
        <f>IF(B987="","",IFERROR(INDEX(Products!$B:$B,MATCH(B987,Products!$A:$A,0)),"SKU not found"))</f>
        <v/>
      </c>
    </row>
    <row r="988">
      <c r="A988" s="7" t="n"/>
      <c r="B988" s="4" t="n"/>
      <c r="C988" s="4" t="n"/>
      <c r="D988" s="4" t="n"/>
      <c r="E988" s="4" t="n"/>
      <c r="F988" s="4" t="n"/>
      <c r="G988">
        <f>IF(B988="","",IFERROR(INDEX(Products!$B:$B,MATCH(B988,Products!$A:$A,0)),"SKU not found"))</f>
        <v/>
      </c>
    </row>
    <row r="989">
      <c r="A989" s="7" t="n"/>
      <c r="B989" s="4" t="n"/>
      <c r="C989" s="4" t="n"/>
      <c r="D989" s="4" t="n"/>
      <c r="E989" s="4" t="n"/>
      <c r="F989" s="4" t="n"/>
      <c r="G989">
        <f>IF(B989="","",IFERROR(INDEX(Products!$B:$B,MATCH(B989,Products!$A:$A,0)),"SKU not found"))</f>
        <v/>
      </c>
    </row>
    <row r="990">
      <c r="A990" s="7" t="n"/>
      <c r="B990" s="4" t="n"/>
      <c r="C990" s="4" t="n"/>
      <c r="D990" s="4" t="n"/>
      <c r="E990" s="4" t="n"/>
      <c r="F990" s="4" t="n"/>
      <c r="G990">
        <f>IF(B990="","",IFERROR(INDEX(Products!$B:$B,MATCH(B990,Products!$A:$A,0)),"SKU not found"))</f>
        <v/>
      </c>
    </row>
    <row r="991">
      <c r="A991" s="7" t="n"/>
      <c r="B991" s="4" t="n"/>
      <c r="C991" s="4" t="n"/>
      <c r="D991" s="4" t="n"/>
      <c r="E991" s="4" t="n"/>
      <c r="F991" s="4" t="n"/>
      <c r="G991">
        <f>IF(B991="","",IFERROR(INDEX(Products!$B:$B,MATCH(B991,Products!$A:$A,0)),"SKU not found"))</f>
        <v/>
      </c>
    </row>
    <row r="992">
      <c r="A992" s="7" t="n"/>
      <c r="B992" s="4" t="n"/>
      <c r="C992" s="4" t="n"/>
      <c r="D992" s="4" t="n"/>
      <c r="E992" s="4" t="n"/>
      <c r="F992" s="4" t="n"/>
      <c r="G992">
        <f>IF(B992="","",IFERROR(INDEX(Products!$B:$B,MATCH(B992,Products!$A:$A,0)),"SKU not found"))</f>
        <v/>
      </c>
    </row>
    <row r="993">
      <c r="A993" s="7" t="n"/>
      <c r="B993" s="4" t="n"/>
      <c r="C993" s="4" t="n"/>
      <c r="D993" s="4" t="n"/>
      <c r="E993" s="4" t="n"/>
      <c r="F993" s="4" t="n"/>
      <c r="G993">
        <f>IF(B993="","",IFERROR(INDEX(Products!$B:$B,MATCH(B993,Products!$A:$A,0)),"SKU not found"))</f>
        <v/>
      </c>
    </row>
    <row r="994">
      <c r="A994" s="7" t="n"/>
      <c r="B994" s="4" t="n"/>
      <c r="C994" s="4" t="n"/>
      <c r="D994" s="4" t="n"/>
      <c r="E994" s="4" t="n"/>
      <c r="F994" s="4" t="n"/>
      <c r="G994">
        <f>IF(B994="","",IFERROR(INDEX(Products!$B:$B,MATCH(B994,Products!$A:$A,0)),"SKU not found"))</f>
        <v/>
      </c>
    </row>
    <row r="995">
      <c r="A995" s="7" t="n"/>
      <c r="B995" s="4" t="n"/>
      <c r="C995" s="4" t="n"/>
      <c r="D995" s="4" t="n"/>
      <c r="E995" s="4" t="n"/>
      <c r="F995" s="4" t="n"/>
      <c r="G995">
        <f>IF(B995="","",IFERROR(INDEX(Products!$B:$B,MATCH(B995,Products!$A:$A,0)),"SKU not found"))</f>
        <v/>
      </c>
    </row>
    <row r="996">
      <c r="A996" s="7" t="n"/>
      <c r="B996" s="4" t="n"/>
      <c r="C996" s="4" t="n"/>
      <c r="D996" s="4" t="n"/>
      <c r="E996" s="4" t="n"/>
      <c r="F996" s="4" t="n"/>
      <c r="G996">
        <f>IF(B996="","",IFERROR(INDEX(Products!$B:$B,MATCH(B996,Products!$A:$A,0)),"SKU not found"))</f>
        <v/>
      </c>
    </row>
    <row r="997">
      <c r="A997" s="7" t="n"/>
      <c r="B997" s="4" t="n"/>
      <c r="C997" s="4" t="n"/>
      <c r="D997" s="4" t="n"/>
      <c r="E997" s="4" t="n"/>
      <c r="F997" s="4" t="n"/>
      <c r="G997">
        <f>IF(B997="","",IFERROR(INDEX(Products!$B:$B,MATCH(B997,Products!$A:$A,0)),"SKU not found"))</f>
        <v/>
      </c>
    </row>
    <row r="998">
      <c r="A998" s="7" t="n"/>
      <c r="B998" s="4" t="n"/>
      <c r="C998" s="4" t="n"/>
      <c r="D998" s="4" t="n"/>
      <c r="E998" s="4" t="n"/>
      <c r="F998" s="4" t="n"/>
      <c r="G998">
        <f>IF(B998="","",IFERROR(INDEX(Products!$B:$B,MATCH(B998,Products!$A:$A,0)),"SKU not found"))</f>
        <v/>
      </c>
    </row>
    <row r="999">
      <c r="A999" s="7" t="n"/>
      <c r="B999" s="4" t="n"/>
      <c r="C999" s="4" t="n"/>
      <c r="D999" s="4" t="n"/>
      <c r="E999" s="4" t="n"/>
      <c r="F999" s="4" t="n"/>
      <c r="G999">
        <f>IF(B999="","",IFERROR(INDEX(Products!$B:$B,MATCH(B999,Products!$A:$A,0)),"SKU not found"))</f>
        <v/>
      </c>
    </row>
    <row r="1000">
      <c r="A1000" s="7" t="n"/>
      <c r="B1000" s="4" t="n"/>
      <c r="C1000" s="4" t="n"/>
      <c r="D1000" s="4" t="n"/>
      <c r="E1000" s="4" t="n"/>
      <c r="F1000" s="4" t="n"/>
      <c r="G1000">
        <f>IF(B1000="","",IFERROR(INDEX(Products!$B:$B,MATCH(B1000,Products!$A:$A,0)),"SKU not found"))</f>
        <v/>
      </c>
    </row>
    <row r="1001">
      <c r="A1001" s="7" t="n"/>
      <c r="B1001" s="4" t="n"/>
      <c r="C1001" s="4" t="n"/>
      <c r="D1001" s="4" t="n"/>
      <c r="E1001" s="4" t="n"/>
      <c r="F1001" s="4" t="n"/>
      <c r="G1001">
        <f>IF(B1001="","",IFERROR(INDEX(Products!$B:$B,MATCH(B1001,Products!$A:$A,0)),"SKU not found"))</f>
        <v/>
      </c>
    </row>
    <row r="1002">
      <c r="A1002" s="7" t="n"/>
      <c r="B1002" s="4" t="n"/>
      <c r="C1002" s="4" t="n"/>
      <c r="D1002" s="4" t="n"/>
      <c r="E1002" s="4" t="n"/>
      <c r="F1002" s="4" t="n"/>
      <c r="G1002">
        <f>IF(B1002="","",IFERROR(INDEX(Products!$B:$B,MATCH(B1002,Products!$A:$A,0)),"SKU not found"))</f>
        <v/>
      </c>
    </row>
    <row r="1003">
      <c r="A1003" s="7" t="n"/>
      <c r="B1003" s="4" t="n"/>
      <c r="C1003" s="4" t="n"/>
      <c r="D1003" s="4" t="n"/>
      <c r="E1003" s="4" t="n"/>
      <c r="F1003" s="4" t="n"/>
      <c r="G1003">
        <f>IF(B1003="","",IFERROR(INDEX(Products!$B:$B,MATCH(B1003,Products!$A:$A,0)),"SKU not found"))</f>
        <v/>
      </c>
    </row>
    <row r="1004">
      <c r="A1004" s="7" t="n"/>
      <c r="B1004" s="4" t="n"/>
      <c r="C1004" s="4" t="n"/>
      <c r="D1004" s="4" t="n"/>
      <c r="E1004" s="4" t="n"/>
      <c r="F1004" s="4" t="n"/>
      <c r="G1004">
        <f>IF(B1004="","",IFERROR(INDEX(Products!$B:$B,MATCH(B1004,Products!$A:$A,0)),"SKU not found"))</f>
        <v/>
      </c>
    </row>
    <row r="1005">
      <c r="A1005" s="7" t="n"/>
      <c r="B1005" s="4" t="n"/>
      <c r="C1005" s="4" t="n"/>
      <c r="D1005" s="4" t="n"/>
      <c r="E1005" s="4" t="n"/>
      <c r="F1005" s="4" t="n"/>
      <c r="G1005">
        <f>IF(B1005="","",IFERROR(INDEX(Products!$B:$B,MATCH(B1005,Products!$A:$A,0)),"SKU not found"))</f>
        <v/>
      </c>
    </row>
    <row r="1006">
      <c r="A1006" s="7" t="n"/>
      <c r="B1006" s="4" t="n"/>
      <c r="C1006" s="4" t="n"/>
      <c r="D1006" s="4" t="n"/>
      <c r="E1006" s="4" t="n"/>
      <c r="F1006" s="4" t="n"/>
      <c r="G1006">
        <f>IF(B1006="","",IFERROR(INDEX(Products!$B:$B,MATCH(B1006,Products!$A:$A,0)),"SKU not found"))</f>
        <v/>
      </c>
    </row>
    <row r="1007">
      <c r="A1007" s="7" t="n"/>
      <c r="B1007" s="4" t="n"/>
      <c r="C1007" s="4" t="n"/>
      <c r="D1007" s="4" t="n"/>
      <c r="E1007" s="4" t="n"/>
      <c r="F1007" s="4" t="n"/>
      <c r="G1007">
        <f>IF(B1007="","",IFERROR(INDEX(Products!$B:$B,MATCH(B1007,Products!$A:$A,0)),"SKU not found"))</f>
        <v/>
      </c>
    </row>
    <row r="1008">
      <c r="A1008" s="7" t="n"/>
      <c r="B1008" s="4" t="n"/>
      <c r="C1008" s="4" t="n"/>
      <c r="D1008" s="4" t="n"/>
      <c r="E1008" s="4" t="n"/>
      <c r="F1008" s="4" t="n"/>
      <c r="G1008">
        <f>IF(B1008="","",IFERROR(INDEX(Products!$B:$B,MATCH(B1008,Products!$A:$A,0)),"SKU not found"))</f>
        <v/>
      </c>
    </row>
    <row r="1009">
      <c r="A1009" s="7" t="n"/>
      <c r="B1009" s="4" t="n"/>
      <c r="C1009" s="4" t="n"/>
      <c r="D1009" s="4" t="n"/>
      <c r="E1009" s="4" t="n"/>
      <c r="F1009" s="4" t="n"/>
      <c r="G1009">
        <f>IF(B1009="","",IFERROR(INDEX(Products!$B:$B,MATCH(B1009,Products!$A:$A,0)),"SKU not found"))</f>
        <v/>
      </c>
    </row>
    <row r="1010">
      <c r="A1010" s="7" t="n"/>
      <c r="B1010" s="4" t="n"/>
      <c r="C1010" s="4" t="n"/>
      <c r="D1010" s="4" t="n"/>
      <c r="E1010" s="4" t="n"/>
      <c r="F1010" s="4" t="n"/>
      <c r="G1010">
        <f>IF(B1010="","",IFERROR(INDEX(Products!$B:$B,MATCH(B1010,Products!$A:$A,0)),"SKU not found"))</f>
        <v/>
      </c>
    </row>
    <row r="1011">
      <c r="A1011" s="7" t="n"/>
      <c r="B1011" s="4" t="n"/>
      <c r="C1011" s="4" t="n"/>
      <c r="D1011" s="4" t="n"/>
      <c r="E1011" s="4" t="n"/>
      <c r="F1011" s="4" t="n"/>
      <c r="G1011">
        <f>IF(B1011="","",IFERROR(INDEX(Products!$B:$B,MATCH(B1011,Products!$A:$A,0)),"SKU not found"))</f>
        <v/>
      </c>
    </row>
    <row r="1012">
      <c r="A1012" s="7" t="n"/>
      <c r="B1012" s="4" t="n"/>
      <c r="C1012" s="4" t="n"/>
      <c r="D1012" s="4" t="n"/>
      <c r="E1012" s="4" t="n"/>
      <c r="F1012" s="4" t="n"/>
      <c r="G1012">
        <f>IF(B1012="","",IFERROR(INDEX(Products!$B:$B,MATCH(B1012,Products!$A:$A,0)),"SKU not found"))</f>
        <v/>
      </c>
    </row>
    <row r="1013">
      <c r="A1013" s="7" t="n"/>
      <c r="B1013" s="4" t="n"/>
      <c r="C1013" s="4" t="n"/>
      <c r="D1013" s="4" t="n"/>
      <c r="E1013" s="4" t="n"/>
      <c r="F1013" s="4" t="n"/>
      <c r="G1013">
        <f>IF(B1013="","",IFERROR(INDEX(Products!$B:$B,MATCH(B1013,Products!$A:$A,0)),"SKU not found"))</f>
        <v/>
      </c>
    </row>
    <row r="1014">
      <c r="A1014" s="7" t="n"/>
      <c r="B1014" s="4" t="n"/>
      <c r="C1014" s="4" t="n"/>
      <c r="D1014" s="4" t="n"/>
      <c r="E1014" s="4" t="n"/>
      <c r="F1014" s="4" t="n"/>
      <c r="G1014">
        <f>IF(B1014="","",IFERROR(INDEX(Products!$B:$B,MATCH(B1014,Products!$A:$A,0)),"SKU not found"))</f>
        <v/>
      </c>
    </row>
    <row r="1015">
      <c r="A1015" s="7" t="n"/>
      <c r="B1015" s="4" t="n"/>
      <c r="C1015" s="4" t="n"/>
      <c r="D1015" s="4" t="n"/>
      <c r="E1015" s="4" t="n"/>
      <c r="F1015" s="4" t="n"/>
      <c r="G1015">
        <f>IF(B1015="","",IFERROR(INDEX(Products!$B:$B,MATCH(B1015,Products!$A:$A,0)),"SKU not found"))</f>
        <v/>
      </c>
    </row>
    <row r="1016">
      <c r="A1016" s="7" t="n"/>
      <c r="B1016" s="4" t="n"/>
      <c r="C1016" s="4" t="n"/>
      <c r="D1016" s="4" t="n"/>
      <c r="E1016" s="4" t="n"/>
      <c r="F1016" s="4" t="n"/>
      <c r="G1016">
        <f>IF(B1016="","",IFERROR(INDEX(Products!$B:$B,MATCH(B1016,Products!$A:$A,0)),"SKU not found"))</f>
        <v/>
      </c>
    </row>
    <row r="1017">
      <c r="A1017" s="7" t="n"/>
      <c r="B1017" s="4" t="n"/>
      <c r="C1017" s="4" t="n"/>
      <c r="D1017" s="4" t="n"/>
      <c r="E1017" s="4" t="n"/>
      <c r="F1017" s="4" t="n"/>
      <c r="G1017">
        <f>IF(B1017="","",IFERROR(INDEX(Products!$B:$B,MATCH(B1017,Products!$A:$A,0)),"SKU not found"))</f>
        <v/>
      </c>
    </row>
    <row r="1018">
      <c r="A1018" s="7" t="n"/>
      <c r="B1018" s="4" t="n"/>
      <c r="C1018" s="4" t="n"/>
      <c r="D1018" s="4" t="n"/>
      <c r="E1018" s="4" t="n"/>
      <c r="F1018" s="4" t="n"/>
      <c r="G1018">
        <f>IF(B1018="","",IFERROR(INDEX(Products!$B:$B,MATCH(B1018,Products!$A:$A,0)),"SKU not found"))</f>
        <v/>
      </c>
    </row>
    <row r="1019">
      <c r="A1019" s="7" t="n"/>
      <c r="B1019" s="4" t="n"/>
      <c r="C1019" s="4" t="n"/>
      <c r="D1019" s="4" t="n"/>
      <c r="E1019" s="4" t="n"/>
      <c r="F1019" s="4" t="n"/>
      <c r="G1019">
        <f>IF(B1019="","",IFERROR(INDEX(Products!$B:$B,MATCH(B1019,Products!$A:$A,0)),"SKU not found"))</f>
        <v/>
      </c>
    </row>
    <row r="1020">
      <c r="A1020" s="7" t="n"/>
      <c r="B1020" s="4" t="n"/>
      <c r="C1020" s="4" t="n"/>
      <c r="D1020" s="4" t="n"/>
      <c r="E1020" s="4" t="n"/>
      <c r="F1020" s="4" t="n"/>
      <c r="G1020">
        <f>IF(B1020="","",IFERROR(INDEX(Products!$B:$B,MATCH(B1020,Products!$A:$A,0)),"SKU not found"))</f>
        <v/>
      </c>
    </row>
    <row r="1021">
      <c r="A1021" s="7" t="n"/>
      <c r="B1021" s="4" t="n"/>
      <c r="C1021" s="4" t="n"/>
      <c r="D1021" s="4" t="n"/>
      <c r="E1021" s="4" t="n"/>
      <c r="F1021" s="4" t="n"/>
      <c r="G1021">
        <f>IF(B1021="","",IFERROR(INDEX(Products!$B:$B,MATCH(B1021,Products!$A:$A,0)),"SKU not found"))</f>
        <v/>
      </c>
    </row>
    <row r="1022">
      <c r="A1022" s="7" t="n"/>
      <c r="B1022" s="4" t="n"/>
      <c r="C1022" s="4" t="n"/>
      <c r="D1022" s="4" t="n"/>
      <c r="E1022" s="4" t="n"/>
      <c r="F1022" s="4" t="n"/>
      <c r="G1022">
        <f>IF(B1022="","",IFERROR(INDEX(Products!$B:$B,MATCH(B1022,Products!$A:$A,0)),"SKU not found"))</f>
        <v/>
      </c>
    </row>
    <row r="1023">
      <c r="A1023" s="7" t="n"/>
      <c r="B1023" s="4" t="n"/>
      <c r="C1023" s="4" t="n"/>
      <c r="D1023" s="4" t="n"/>
      <c r="E1023" s="4" t="n"/>
      <c r="F1023" s="4" t="n"/>
      <c r="G1023">
        <f>IF(B1023="","",IFERROR(INDEX(Products!$B:$B,MATCH(B1023,Products!$A:$A,0)),"SKU not found"))</f>
        <v/>
      </c>
    </row>
    <row r="1024">
      <c r="A1024" s="7" t="n"/>
      <c r="B1024" s="4" t="n"/>
      <c r="C1024" s="4" t="n"/>
      <c r="D1024" s="4" t="n"/>
      <c r="E1024" s="4" t="n"/>
      <c r="F1024" s="4" t="n"/>
      <c r="G1024">
        <f>IF(B1024="","",IFERROR(INDEX(Products!$B:$B,MATCH(B1024,Products!$A:$A,0)),"SKU not found"))</f>
        <v/>
      </c>
    </row>
    <row r="1025">
      <c r="A1025" s="7" t="n"/>
      <c r="B1025" s="4" t="n"/>
      <c r="C1025" s="4" t="n"/>
      <c r="D1025" s="4" t="n"/>
      <c r="E1025" s="4" t="n"/>
      <c r="F1025" s="4" t="n"/>
      <c r="G1025">
        <f>IF(B1025="","",IFERROR(INDEX(Products!$B:$B,MATCH(B1025,Products!$A:$A,0)),"SKU not found"))</f>
        <v/>
      </c>
    </row>
    <row r="1026">
      <c r="A1026" s="7" t="n"/>
      <c r="B1026" s="4" t="n"/>
      <c r="C1026" s="4" t="n"/>
      <c r="D1026" s="4" t="n"/>
      <c r="E1026" s="4" t="n"/>
      <c r="F1026" s="4" t="n"/>
      <c r="G1026">
        <f>IF(B1026="","",IFERROR(INDEX(Products!$B:$B,MATCH(B1026,Products!$A:$A,0)),"SKU not found"))</f>
        <v/>
      </c>
    </row>
    <row r="1027">
      <c r="A1027" s="7" t="n"/>
      <c r="B1027" s="4" t="n"/>
      <c r="C1027" s="4" t="n"/>
      <c r="D1027" s="4" t="n"/>
      <c r="E1027" s="4" t="n"/>
      <c r="F1027" s="4" t="n"/>
      <c r="G1027">
        <f>IF(B1027="","",IFERROR(INDEX(Products!$B:$B,MATCH(B1027,Products!$A:$A,0)),"SKU not found"))</f>
        <v/>
      </c>
    </row>
    <row r="1028">
      <c r="A1028" s="7" t="n"/>
      <c r="B1028" s="4" t="n"/>
      <c r="C1028" s="4" t="n"/>
      <c r="D1028" s="4" t="n"/>
      <c r="E1028" s="4" t="n"/>
      <c r="F1028" s="4" t="n"/>
      <c r="G1028">
        <f>IF(B1028="","",IFERROR(INDEX(Products!$B:$B,MATCH(B1028,Products!$A:$A,0)),"SKU not found"))</f>
        <v/>
      </c>
    </row>
    <row r="1029">
      <c r="A1029" s="7" t="n"/>
      <c r="B1029" s="4" t="n"/>
      <c r="C1029" s="4" t="n"/>
      <c r="D1029" s="4" t="n"/>
      <c r="E1029" s="4" t="n"/>
      <c r="F1029" s="4" t="n"/>
      <c r="G1029">
        <f>IF(B1029="","",IFERROR(INDEX(Products!$B:$B,MATCH(B1029,Products!$A:$A,0)),"SKU not found"))</f>
        <v/>
      </c>
    </row>
    <row r="1030">
      <c r="A1030" s="7" t="n"/>
      <c r="B1030" s="4" t="n"/>
      <c r="C1030" s="4" t="n"/>
      <c r="D1030" s="4" t="n"/>
      <c r="E1030" s="4" t="n"/>
      <c r="F1030" s="4" t="n"/>
      <c r="G1030">
        <f>IF(B1030="","",IFERROR(INDEX(Products!$B:$B,MATCH(B1030,Products!$A:$A,0)),"SKU not found"))</f>
        <v/>
      </c>
    </row>
    <row r="1031">
      <c r="A1031" s="7" t="n"/>
      <c r="B1031" s="4" t="n"/>
      <c r="C1031" s="4" t="n"/>
      <c r="D1031" s="4" t="n"/>
      <c r="E1031" s="4" t="n"/>
      <c r="F1031" s="4" t="n"/>
      <c r="G1031">
        <f>IF(B1031="","",IFERROR(INDEX(Products!$B:$B,MATCH(B1031,Products!$A:$A,0)),"SKU not found"))</f>
        <v/>
      </c>
    </row>
    <row r="1032">
      <c r="A1032" s="7" t="n"/>
      <c r="B1032" s="4" t="n"/>
      <c r="C1032" s="4" t="n"/>
      <c r="D1032" s="4" t="n"/>
      <c r="E1032" s="4" t="n"/>
      <c r="F1032" s="4" t="n"/>
      <c r="G1032">
        <f>IF(B1032="","",IFERROR(INDEX(Products!$B:$B,MATCH(B1032,Products!$A:$A,0)),"SKU not found"))</f>
        <v/>
      </c>
    </row>
    <row r="1033">
      <c r="A1033" s="7" t="n"/>
      <c r="B1033" s="4" t="n"/>
      <c r="C1033" s="4" t="n"/>
      <c r="D1033" s="4" t="n"/>
      <c r="E1033" s="4" t="n"/>
      <c r="F1033" s="4" t="n"/>
      <c r="G1033">
        <f>IF(B1033="","",IFERROR(INDEX(Products!$B:$B,MATCH(B1033,Products!$A:$A,0)),"SKU not found"))</f>
        <v/>
      </c>
    </row>
    <row r="1034">
      <c r="A1034" s="7" t="n"/>
      <c r="B1034" s="4" t="n"/>
      <c r="C1034" s="4" t="n"/>
      <c r="D1034" s="4" t="n"/>
      <c r="E1034" s="4" t="n"/>
      <c r="F1034" s="4" t="n"/>
      <c r="G1034">
        <f>IF(B1034="","",IFERROR(INDEX(Products!$B:$B,MATCH(B1034,Products!$A:$A,0)),"SKU not found"))</f>
        <v/>
      </c>
    </row>
    <row r="1035">
      <c r="A1035" s="7" t="n"/>
      <c r="B1035" s="4" t="n"/>
      <c r="C1035" s="4" t="n"/>
      <c r="D1035" s="4" t="n"/>
      <c r="E1035" s="4" t="n"/>
      <c r="F1035" s="4" t="n"/>
      <c r="G1035">
        <f>IF(B1035="","",IFERROR(INDEX(Products!$B:$B,MATCH(B1035,Products!$A:$A,0)),"SKU not found"))</f>
        <v/>
      </c>
    </row>
    <row r="1036">
      <c r="A1036" s="7" t="n"/>
      <c r="B1036" s="4" t="n"/>
      <c r="C1036" s="4" t="n"/>
      <c r="D1036" s="4" t="n"/>
      <c r="E1036" s="4" t="n"/>
      <c r="F1036" s="4" t="n"/>
      <c r="G1036">
        <f>IF(B1036="","",IFERROR(INDEX(Products!$B:$B,MATCH(B1036,Products!$A:$A,0)),"SKU not found"))</f>
        <v/>
      </c>
    </row>
    <row r="1037">
      <c r="A1037" s="7" t="n"/>
      <c r="B1037" s="4" t="n"/>
      <c r="C1037" s="4" t="n"/>
      <c r="D1037" s="4" t="n"/>
      <c r="E1037" s="4" t="n"/>
      <c r="F1037" s="4" t="n"/>
      <c r="G1037">
        <f>IF(B1037="","",IFERROR(INDEX(Products!$B:$B,MATCH(B1037,Products!$A:$A,0)),"SKU not found"))</f>
        <v/>
      </c>
    </row>
    <row r="1038">
      <c r="A1038" s="7" t="n"/>
      <c r="B1038" s="4" t="n"/>
      <c r="C1038" s="4" t="n"/>
      <c r="D1038" s="4" t="n"/>
      <c r="E1038" s="4" t="n"/>
      <c r="F1038" s="4" t="n"/>
      <c r="G1038">
        <f>IF(B1038="","",IFERROR(INDEX(Products!$B:$B,MATCH(B1038,Products!$A:$A,0)),"SKU not found"))</f>
        <v/>
      </c>
    </row>
    <row r="1039">
      <c r="A1039" s="7" t="n"/>
      <c r="B1039" s="4" t="n"/>
      <c r="C1039" s="4" t="n"/>
      <c r="D1039" s="4" t="n"/>
      <c r="E1039" s="4" t="n"/>
      <c r="F1039" s="4" t="n"/>
      <c r="G1039">
        <f>IF(B1039="","",IFERROR(INDEX(Products!$B:$B,MATCH(B1039,Products!$A:$A,0)),"SKU not found"))</f>
        <v/>
      </c>
    </row>
    <row r="1040">
      <c r="A1040" s="7" t="n"/>
      <c r="B1040" s="4" t="n"/>
      <c r="C1040" s="4" t="n"/>
      <c r="D1040" s="4" t="n"/>
      <c r="E1040" s="4" t="n"/>
      <c r="F1040" s="4" t="n"/>
      <c r="G1040">
        <f>IF(B1040="","",IFERROR(INDEX(Products!$B:$B,MATCH(B1040,Products!$A:$A,0)),"SKU not found"))</f>
        <v/>
      </c>
    </row>
    <row r="1041">
      <c r="A1041" s="7" t="n"/>
      <c r="B1041" s="4" t="n"/>
      <c r="C1041" s="4" t="n"/>
      <c r="D1041" s="4" t="n"/>
      <c r="E1041" s="4" t="n"/>
      <c r="F1041" s="4" t="n"/>
      <c r="G1041">
        <f>IF(B1041="","",IFERROR(INDEX(Products!$B:$B,MATCH(B1041,Products!$A:$A,0)),"SKU not found"))</f>
        <v/>
      </c>
    </row>
    <row r="1042">
      <c r="A1042" s="7" t="n"/>
      <c r="B1042" s="4" t="n"/>
      <c r="C1042" s="4" t="n"/>
      <c r="D1042" s="4" t="n"/>
      <c r="E1042" s="4" t="n"/>
      <c r="F1042" s="4" t="n"/>
      <c r="G1042">
        <f>IF(B1042="","",IFERROR(INDEX(Products!$B:$B,MATCH(B1042,Products!$A:$A,0)),"SKU not found"))</f>
        <v/>
      </c>
    </row>
    <row r="1043">
      <c r="A1043" s="7" t="n"/>
      <c r="B1043" s="4" t="n"/>
      <c r="C1043" s="4" t="n"/>
      <c r="D1043" s="4" t="n"/>
      <c r="E1043" s="4" t="n"/>
      <c r="F1043" s="4" t="n"/>
      <c r="G1043">
        <f>IF(B1043="","",IFERROR(INDEX(Products!$B:$B,MATCH(B1043,Products!$A:$A,0)),"SKU not found"))</f>
        <v/>
      </c>
    </row>
    <row r="1044">
      <c r="A1044" s="7" t="n"/>
      <c r="B1044" s="4" t="n"/>
      <c r="C1044" s="4" t="n"/>
      <c r="D1044" s="4" t="n"/>
      <c r="E1044" s="4" t="n"/>
      <c r="F1044" s="4" t="n"/>
      <c r="G1044">
        <f>IF(B1044="","",IFERROR(INDEX(Products!$B:$B,MATCH(B1044,Products!$A:$A,0)),"SKU not found"))</f>
        <v/>
      </c>
    </row>
    <row r="1045">
      <c r="A1045" s="7" t="n"/>
      <c r="B1045" s="4" t="n"/>
      <c r="C1045" s="4" t="n"/>
      <c r="D1045" s="4" t="n"/>
      <c r="E1045" s="4" t="n"/>
      <c r="F1045" s="4" t="n"/>
      <c r="G1045">
        <f>IF(B1045="","",IFERROR(INDEX(Products!$B:$B,MATCH(B1045,Products!$A:$A,0)),"SKU not found"))</f>
        <v/>
      </c>
    </row>
    <row r="1046">
      <c r="A1046" s="7" t="n"/>
      <c r="B1046" s="4" t="n"/>
      <c r="C1046" s="4" t="n"/>
      <c r="D1046" s="4" t="n"/>
      <c r="E1046" s="4" t="n"/>
      <c r="F1046" s="4" t="n"/>
      <c r="G1046">
        <f>IF(B1046="","",IFERROR(INDEX(Products!$B:$B,MATCH(B1046,Products!$A:$A,0)),"SKU not found"))</f>
        <v/>
      </c>
    </row>
    <row r="1047">
      <c r="A1047" s="7" t="n"/>
      <c r="B1047" s="4" t="n"/>
      <c r="C1047" s="4" t="n"/>
      <c r="D1047" s="4" t="n"/>
      <c r="E1047" s="4" t="n"/>
      <c r="F1047" s="4" t="n"/>
      <c r="G1047">
        <f>IF(B1047="","",IFERROR(INDEX(Products!$B:$B,MATCH(B1047,Products!$A:$A,0)),"SKU not found"))</f>
        <v/>
      </c>
    </row>
    <row r="1048">
      <c r="A1048" s="7" t="n"/>
      <c r="B1048" s="4" t="n"/>
      <c r="C1048" s="4" t="n"/>
      <c r="D1048" s="4" t="n"/>
      <c r="E1048" s="4" t="n"/>
      <c r="F1048" s="4" t="n"/>
      <c r="G1048">
        <f>IF(B1048="","",IFERROR(INDEX(Products!$B:$B,MATCH(B1048,Products!$A:$A,0)),"SKU not found"))</f>
        <v/>
      </c>
    </row>
    <row r="1049">
      <c r="A1049" s="7" t="n"/>
      <c r="B1049" s="4" t="n"/>
      <c r="C1049" s="4" t="n"/>
      <c r="D1049" s="4" t="n"/>
      <c r="E1049" s="4" t="n"/>
      <c r="F1049" s="4" t="n"/>
      <c r="G1049">
        <f>IF(B1049="","",IFERROR(INDEX(Products!$B:$B,MATCH(B1049,Products!$A:$A,0)),"SKU not found"))</f>
        <v/>
      </c>
    </row>
    <row r="1050">
      <c r="A1050" s="7" t="n"/>
      <c r="B1050" s="4" t="n"/>
      <c r="C1050" s="4" t="n"/>
      <c r="D1050" s="4" t="n"/>
      <c r="E1050" s="4" t="n"/>
      <c r="F1050" s="4" t="n"/>
      <c r="G1050">
        <f>IF(B1050="","",IFERROR(INDEX(Products!$B:$B,MATCH(B1050,Products!$A:$A,0)),"SKU not found"))</f>
        <v/>
      </c>
    </row>
    <row r="1051">
      <c r="A1051" s="7" t="n"/>
      <c r="B1051" s="4" t="n"/>
      <c r="C1051" s="4" t="n"/>
      <c r="D1051" s="4" t="n"/>
      <c r="E1051" s="4" t="n"/>
      <c r="F1051" s="4" t="n"/>
      <c r="G1051">
        <f>IF(B1051="","",IFERROR(INDEX(Products!$B:$B,MATCH(B1051,Products!$A:$A,0)),"SKU not found"))</f>
        <v/>
      </c>
    </row>
    <row r="1052">
      <c r="A1052" s="7" t="n"/>
      <c r="B1052" s="4" t="n"/>
      <c r="C1052" s="4" t="n"/>
      <c r="D1052" s="4" t="n"/>
      <c r="E1052" s="4" t="n"/>
      <c r="F1052" s="4" t="n"/>
      <c r="G1052">
        <f>IF(B1052="","",IFERROR(INDEX(Products!$B:$B,MATCH(B1052,Products!$A:$A,0)),"SKU not found"))</f>
        <v/>
      </c>
    </row>
    <row r="1053">
      <c r="A1053" s="7" t="n"/>
      <c r="B1053" s="4" t="n"/>
      <c r="C1053" s="4" t="n"/>
      <c r="D1053" s="4" t="n"/>
      <c r="E1053" s="4" t="n"/>
      <c r="F1053" s="4" t="n"/>
      <c r="G1053">
        <f>IF(B1053="","",IFERROR(INDEX(Products!$B:$B,MATCH(B1053,Products!$A:$A,0)),"SKU not found"))</f>
        <v/>
      </c>
    </row>
    <row r="1054">
      <c r="A1054" s="7" t="n"/>
      <c r="B1054" s="4" t="n"/>
      <c r="C1054" s="4" t="n"/>
      <c r="D1054" s="4" t="n"/>
      <c r="E1054" s="4" t="n"/>
      <c r="F1054" s="4" t="n"/>
      <c r="G1054">
        <f>IF(B1054="","",IFERROR(INDEX(Products!$B:$B,MATCH(B1054,Products!$A:$A,0)),"SKU not found"))</f>
        <v/>
      </c>
    </row>
    <row r="1055">
      <c r="A1055" s="7" t="n"/>
      <c r="B1055" s="4" t="n"/>
      <c r="C1055" s="4" t="n"/>
      <c r="D1055" s="4" t="n"/>
      <c r="E1055" s="4" t="n"/>
      <c r="F1055" s="4" t="n"/>
      <c r="G1055">
        <f>IF(B1055="","",IFERROR(INDEX(Products!$B:$B,MATCH(B1055,Products!$A:$A,0)),"SKU not found"))</f>
        <v/>
      </c>
    </row>
    <row r="1056">
      <c r="A1056" s="7" t="n"/>
      <c r="B1056" s="4" t="n"/>
      <c r="C1056" s="4" t="n"/>
      <c r="D1056" s="4" t="n"/>
      <c r="E1056" s="4" t="n"/>
      <c r="F1056" s="4" t="n"/>
      <c r="G1056">
        <f>IF(B1056="","",IFERROR(INDEX(Products!$B:$B,MATCH(B1056,Products!$A:$A,0)),"SKU not found"))</f>
        <v/>
      </c>
    </row>
    <row r="1057">
      <c r="A1057" s="7" t="n"/>
      <c r="B1057" s="4" t="n"/>
      <c r="C1057" s="4" t="n"/>
      <c r="D1057" s="4" t="n"/>
      <c r="E1057" s="4" t="n"/>
      <c r="F1057" s="4" t="n"/>
      <c r="G1057">
        <f>IF(B1057="","",IFERROR(INDEX(Products!$B:$B,MATCH(B1057,Products!$A:$A,0)),"SKU not found"))</f>
        <v/>
      </c>
    </row>
    <row r="1058">
      <c r="A1058" s="7" t="n"/>
      <c r="B1058" s="4" t="n"/>
      <c r="C1058" s="4" t="n"/>
      <c r="D1058" s="4" t="n"/>
      <c r="E1058" s="4" t="n"/>
      <c r="F1058" s="4" t="n"/>
      <c r="G1058">
        <f>IF(B1058="","",IFERROR(INDEX(Products!$B:$B,MATCH(B1058,Products!$A:$A,0)),"SKU not found"))</f>
        <v/>
      </c>
    </row>
    <row r="1059">
      <c r="A1059" s="7" t="n"/>
      <c r="B1059" s="4" t="n"/>
      <c r="C1059" s="4" t="n"/>
      <c r="D1059" s="4" t="n"/>
      <c r="E1059" s="4" t="n"/>
      <c r="F1059" s="4" t="n"/>
      <c r="G1059">
        <f>IF(B1059="","",IFERROR(INDEX(Products!$B:$B,MATCH(B1059,Products!$A:$A,0)),"SKU not found"))</f>
        <v/>
      </c>
    </row>
    <row r="1060">
      <c r="A1060" s="7" t="n"/>
      <c r="B1060" s="4" t="n"/>
      <c r="C1060" s="4" t="n"/>
      <c r="D1060" s="4" t="n"/>
      <c r="E1060" s="4" t="n"/>
      <c r="F1060" s="4" t="n"/>
      <c r="G1060">
        <f>IF(B1060="","",IFERROR(INDEX(Products!$B:$B,MATCH(B1060,Products!$A:$A,0)),"SKU not found"))</f>
        <v/>
      </c>
    </row>
    <row r="1061">
      <c r="A1061" s="7" t="n"/>
      <c r="B1061" s="4" t="n"/>
      <c r="C1061" s="4" t="n"/>
      <c r="D1061" s="4" t="n"/>
      <c r="E1061" s="4" t="n"/>
      <c r="F1061" s="4" t="n"/>
      <c r="G1061">
        <f>IF(B1061="","",IFERROR(INDEX(Products!$B:$B,MATCH(B1061,Products!$A:$A,0)),"SKU not found"))</f>
        <v/>
      </c>
    </row>
    <row r="1062">
      <c r="A1062" s="7" t="n"/>
      <c r="B1062" s="4" t="n"/>
      <c r="C1062" s="4" t="n"/>
      <c r="D1062" s="4" t="n"/>
      <c r="E1062" s="4" t="n"/>
      <c r="F1062" s="4" t="n"/>
      <c r="G1062">
        <f>IF(B1062="","",IFERROR(INDEX(Products!$B:$B,MATCH(B1062,Products!$A:$A,0)),"SKU not found"))</f>
        <v/>
      </c>
    </row>
    <row r="1063">
      <c r="A1063" s="7" t="n"/>
      <c r="B1063" s="4" t="n"/>
      <c r="C1063" s="4" t="n"/>
      <c r="D1063" s="4" t="n"/>
      <c r="E1063" s="4" t="n"/>
      <c r="F1063" s="4" t="n"/>
      <c r="G1063">
        <f>IF(B1063="","",IFERROR(INDEX(Products!$B:$B,MATCH(B1063,Products!$A:$A,0)),"SKU not found"))</f>
        <v/>
      </c>
    </row>
    <row r="1064">
      <c r="A1064" s="7" t="n"/>
      <c r="B1064" s="4" t="n"/>
      <c r="C1064" s="4" t="n"/>
      <c r="D1064" s="4" t="n"/>
      <c r="E1064" s="4" t="n"/>
      <c r="F1064" s="4" t="n"/>
      <c r="G1064">
        <f>IF(B1064="","",IFERROR(INDEX(Products!$B:$B,MATCH(B1064,Products!$A:$A,0)),"SKU not found"))</f>
        <v/>
      </c>
    </row>
    <row r="1065">
      <c r="A1065" s="7" t="n"/>
      <c r="B1065" s="4" t="n"/>
      <c r="C1065" s="4" t="n"/>
      <c r="D1065" s="4" t="n"/>
      <c r="E1065" s="4" t="n"/>
      <c r="F1065" s="4" t="n"/>
      <c r="G1065">
        <f>IF(B1065="","",IFERROR(INDEX(Products!$B:$B,MATCH(B1065,Products!$A:$A,0)),"SKU not found"))</f>
        <v/>
      </c>
    </row>
    <row r="1066">
      <c r="A1066" s="7" t="n"/>
      <c r="B1066" s="4" t="n"/>
      <c r="C1066" s="4" t="n"/>
      <c r="D1066" s="4" t="n"/>
      <c r="E1066" s="4" t="n"/>
      <c r="F1066" s="4" t="n"/>
      <c r="G1066">
        <f>IF(B1066="","",IFERROR(INDEX(Products!$B:$B,MATCH(B1066,Products!$A:$A,0)),"SKU not found"))</f>
        <v/>
      </c>
    </row>
    <row r="1067">
      <c r="A1067" s="7" t="n"/>
      <c r="B1067" s="4" t="n"/>
      <c r="C1067" s="4" t="n"/>
      <c r="D1067" s="4" t="n"/>
      <c r="E1067" s="4" t="n"/>
      <c r="F1067" s="4" t="n"/>
      <c r="G1067">
        <f>IF(B1067="","",IFERROR(INDEX(Products!$B:$B,MATCH(B1067,Products!$A:$A,0)),"SKU not found"))</f>
        <v/>
      </c>
    </row>
    <row r="1068">
      <c r="A1068" s="7" t="n"/>
      <c r="B1068" s="4" t="n"/>
      <c r="C1068" s="4" t="n"/>
      <c r="D1068" s="4" t="n"/>
      <c r="E1068" s="4" t="n"/>
      <c r="F1068" s="4" t="n"/>
      <c r="G1068">
        <f>IF(B1068="","",IFERROR(INDEX(Products!$B:$B,MATCH(B1068,Products!$A:$A,0)),"SKU not found"))</f>
        <v/>
      </c>
    </row>
    <row r="1069">
      <c r="A1069" s="7" t="n"/>
      <c r="B1069" s="4" t="n"/>
      <c r="C1069" s="4" t="n"/>
      <c r="D1069" s="4" t="n"/>
      <c r="E1069" s="4" t="n"/>
      <c r="F1069" s="4" t="n"/>
      <c r="G1069">
        <f>IF(B1069="","",IFERROR(INDEX(Products!$B:$B,MATCH(B1069,Products!$A:$A,0)),"SKU not found"))</f>
        <v/>
      </c>
    </row>
    <row r="1070">
      <c r="A1070" s="7" t="n"/>
      <c r="B1070" s="4" t="n"/>
      <c r="C1070" s="4" t="n"/>
      <c r="D1070" s="4" t="n"/>
      <c r="E1070" s="4" t="n"/>
      <c r="F1070" s="4" t="n"/>
      <c r="G1070">
        <f>IF(B1070="","",IFERROR(INDEX(Products!$B:$B,MATCH(B1070,Products!$A:$A,0)),"SKU not found"))</f>
        <v/>
      </c>
    </row>
    <row r="1071">
      <c r="A1071" s="7" t="n"/>
      <c r="B1071" s="4" t="n"/>
      <c r="C1071" s="4" t="n"/>
      <c r="D1071" s="4" t="n"/>
      <c r="E1071" s="4" t="n"/>
      <c r="F1071" s="4" t="n"/>
      <c r="G1071">
        <f>IF(B1071="","",IFERROR(INDEX(Products!$B:$B,MATCH(B1071,Products!$A:$A,0)),"SKU not found"))</f>
        <v/>
      </c>
    </row>
    <row r="1072">
      <c r="A1072" s="7" t="n"/>
      <c r="B1072" s="4" t="n"/>
      <c r="C1072" s="4" t="n"/>
      <c r="D1072" s="4" t="n"/>
      <c r="E1072" s="4" t="n"/>
      <c r="F1072" s="4" t="n"/>
      <c r="G1072">
        <f>IF(B1072="","",IFERROR(INDEX(Products!$B:$B,MATCH(B1072,Products!$A:$A,0)),"SKU not found"))</f>
        <v/>
      </c>
    </row>
    <row r="1073">
      <c r="A1073" s="7" t="n"/>
      <c r="B1073" s="4" t="n"/>
      <c r="C1073" s="4" t="n"/>
      <c r="D1073" s="4" t="n"/>
      <c r="E1073" s="4" t="n"/>
      <c r="F1073" s="4" t="n"/>
      <c r="G1073">
        <f>IF(B1073="","",IFERROR(INDEX(Products!$B:$B,MATCH(B1073,Products!$A:$A,0)),"SKU not found"))</f>
        <v/>
      </c>
    </row>
    <row r="1074">
      <c r="A1074" s="7" t="n"/>
      <c r="B1074" s="4" t="n"/>
      <c r="C1074" s="4" t="n"/>
      <c r="D1074" s="4" t="n"/>
      <c r="E1074" s="4" t="n"/>
      <c r="F1074" s="4" t="n"/>
      <c r="G1074">
        <f>IF(B1074="","",IFERROR(INDEX(Products!$B:$B,MATCH(B1074,Products!$A:$A,0)),"SKU not found"))</f>
        <v/>
      </c>
    </row>
    <row r="1075">
      <c r="A1075" s="7" t="n"/>
      <c r="B1075" s="4" t="n"/>
      <c r="C1075" s="4" t="n"/>
      <c r="D1075" s="4" t="n"/>
      <c r="E1075" s="4" t="n"/>
      <c r="F1075" s="4" t="n"/>
      <c r="G1075">
        <f>IF(B1075="","",IFERROR(INDEX(Products!$B:$B,MATCH(B1075,Products!$A:$A,0)),"SKU not found"))</f>
        <v/>
      </c>
    </row>
    <row r="1076">
      <c r="A1076" s="7" t="n"/>
      <c r="B1076" s="4" t="n"/>
      <c r="C1076" s="4" t="n"/>
      <c r="D1076" s="4" t="n"/>
      <c r="E1076" s="4" t="n"/>
      <c r="F1076" s="4" t="n"/>
      <c r="G1076">
        <f>IF(B1076="","",IFERROR(INDEX(Products!$B:$B,MATCH(B1076,Products!$A:$A,0)),"SKU not found"))</f>
        <v/>
      </c>
    </row>
    <row r="1077">
      <c r="A1077" s="7" t="n"/>
      <c r="B1077" s="4" t="n"/>
      <c r="C1077" s="4" t="n"/>
      <c r="D1077" s="4" t="n"/>
      <c r="E1077" s="4" t="n"/>
      <c r="F1077" s="4" t="n"/>
      <c r="G1077">
        <f>IF(B1077="","",IFERROR(INDEX(Products!$B:$B,MATCH(B1077,Products!$A:$A,0)),"SKU not found"))</f>
        <v/>
      </c>
    </row>
    <row r="1078">
      <c r="A1078" s="7" t="n"/>
      <c r="B1078" s="4" t="n"/>
      <c r="C1078" s="4" t="n"/>
      <c r="D1078" s="4" t="n"/>
      <c r="E1078" s="4" t="n"/>
      <c r="F1078" s="4" t="n"/>
      <c r="G1078">
        <f>IF(B1078="","",IFERROR(INDEX(Products!$B:$B,MATCH(B1078,Products!$A:$A,0)),"SKU not found"))</f>
        <v/>
      </c>
    </row>
    <row r="1079">
      <c r="A1079" s="7" t="n"/>
      <c r="B1079" s="4" t="n"/>
      <c r="C1079" s="4" t="n"/>
      <c r="D1079" s="4" t="n"/>
      <c r="E1079" s="4" t="n"/>
      <c r="F1079" s="4" t="n"/>
      <c r="G1079">
        <f>IF(B1079="","",IFERROR(INDEX(Products!$B:$B,MATCH(B1079,Products!$A:$A,0)),"SKU not found"))</f>
        <v/>
      </c>
    </row>
    <row r="1080">
      <c r="A1080" s="7" t="n"/>
      <c r="B1080" s="4" t="n"/>
      <c r="C1080" s="4" t="n"/>
      <c r="D1080" s="4" t="n"/>
      <c r="E1080" s="4" t="n"/>
      <c r="F1080" s="4" t="n"/>
      <c r="G1080">
        <f>IF(B1080="","",IFERROR(INDEX(Products!$B:$B,MATCH(B1080,Products!$A:$A,0)),"SKU not found"))</f>
        <v/>
      </c>
    </row>
    <row r="1081">
      <c r="A1081" s="7" t="n"/>
      <c r="B1081" s="4" t="n"/>
      <c r="C1081" s="4" t="n"/>
      <c r="D1081" s="4" t="n"/>
      <c r="E1081" s="4" t="n"/>
      <c r="F1081" s="4" t="n"/>
      <c r="G1081">
        <f>IF(B1081="","",IFERROR(INDEX(Products!$B:$B,MATCH(B1081,Products!$A:$A,0)),"SKU not found"))</f>
        <v/>
      </c>
    </row>
    <row r="1082">
      <c r="A1082" s="7" t="n"/>
      <c r="B1082" s="4" t="n"/>
      <c r="C1082" s="4" t="n"/>
      <c r="D1082" s="4" t="n"/>
      <c r="E1082" s="4" t="n"/>
      <c r="F1082" s="4" t="n"/>
      <c r="G1082">
        <f>IF(B1082="","",IFERROR(INDEX(Products!$B:$B,MATCH(B1082,Products!$A:$A,0)),"SKU not found"))</f>
        <v/>
      </c>
    </row>
    <row r="1083">
      <c r="A1083" s="7" t="n"/>
      <c r="B1083" s="4" t="n"/>
      <c r="C1083" s="4" t="n"/>
      <c r="D1083" s="4" t="n"/>
      <c r="E1083" s="4" t="n"/>
      <c r="F1083" s="4" t="n"/>
      <c r="G1083">
        <f>IF(B1083="","",IFERROR(INDEX(Products!$B:$B,MATCH(B1083,Products!$A:$A,0)),"SKU not found"))</f>
        <v/>
      </c>
    </row>
    <row r="1084">
      <c r="A1084" s="7" t="n"/>
      <c r="B1084" s="4" t="n"/>
      <c r="C1084" s="4" t="n"/>
      <c r="D1084" s="4" t="n"/>
      <c r="E1084" s="4" t="n"/>
      <c r="F1084" s="4" t="n"/>
      <c r="G1084">
        <f>IF(B1084="","",IFERROR(INDEX(Products!$B:$B,MATCH(B1084,Products!$A:$A,0)),"SKU not found"))</f>
        <v/>
      </c>
    </row>
    <row r="1085">
      <c r="A1085" s="7" t="n"/>
      <c r="B1085" s="4" t="n"/>
      <c r="C1085" s="4" t="n"/>
      <c r="D1085" s="4" t="n"/>
      <c r="E1085" s="4" t="n"/>
      <c r="F1085" s="4" t="n"/>
      <c r="G1085">
        <f>IF(B1085="","",IFERROR(INDEX(Products!$B:$B,MATCH(B1085,Products!$A:$A,0)),"SKU not found"))</f>
        <v/>
      </c>
    </row>
    <row r="1086">
      <c r="A1086" s="7" t="n"/>
      <c r="B1086" s="4" t="n"/>
      <c r="C1086" s="4" t="n"/>
      <c r="D1086" s="4" t="n"/>
      <c r="E1086" s="4" t="n"/>
      <c r="F1086" s="4" t="n"/>
      <c r="G1086">
        <f>IF(B1086="","",IFERROR(INDEX(Products!$B:$B,MATCH(B1086,Products!$A:$A,0)),"SKU not found"))</f>
        <v/>
      </c>
    </row>
    <row r="1087">
      <c r="A1087" s="7" t="n"/>
      <c r="B1087" s="4" t="n"/>
      <c r="C1087" s="4" t="n"/>
      <c r="D1087" s="4" t="n"/>
      <c r="E1087" s="4" t="n"/>
      <c r="F1087" s="4" t="n"/>
      <c r="G1087">
        <f>IF(B1087="","",IFERROR(INDEX(Products!$B:$B,MATCH(B1087,Products!$A:$A,0)),"SKU not found"))</f>
        <v/>
      </c>
    </row>
    <row r="1088">
      <c r="A1088" s="7" t="n"/>
      <c r="B1088" s="4" t="n"/>
      <c r="C1088" s="4" t="n"/>
      <c r="D1088" s="4" t="n"/>
      <c r="E1088" s="4" t="n"/>
      <c r="F1088" s="4" t="n"/>
      <c r="G1088">
        <f>IF(B1088="","",IFERROR(INDEX(Products!$B:$B,MATCH(B1088,Products!$A:$A,0)),"SKU not found"))</f>
        <v/>
      </c>
    </row>
    <row r="1089">
      <c r="A1089" s="7" t="n"/>
      <c r="B1089" s="4" t="n"/>
      <c r="C1089" s="4" t="n"/>
      <c r="D1089" s="4" t="n"/>
      <c r="E1089" s="4" t="n"/>
      <c r="F1089" s="4" t="n"/>
      <c r="G1089">
        <f>IF(B1089="","",IFERROR(INDEX(Products!$B:$B,MATCH(B1089,Products!$A:$A,0)),"SKU not found"))</f>
        <v/>
      </c>
    </row>
    <row r="1090">
      <c r="A1090" s="7" t="n"/>
      <c r="B1090" s="4" t="n"/>
      <c r="C1090" s="4" t="n"/>
      <c r="D1090" s="4" t="n"/>
      <c r="E1090" s="4" t="n"/>
      <c r="F1090" s="4" t="n"/>
      <c r="G1090">
        <f>IF(B1090="","",IFERROR(INDEX(Products!$B:$B,MATCH(B1090,Products!$A:$A,0)),"SKU not found"))</f>
        <v/>
      </c>
    </row>
    <row r="1091">
      <c r="A1091" s="7" t="n"/>
      <c r="B1091" s="4" t="n"/>
      <c r="C1091" s="4" t="n"/>
      <c r="D1091" s="4" t="n"/>
      <c r="E1091" s="4" t="n"/>
      <c r="F1091" s="4" t="n"/>
      <c r="G1091">
        <f>IF(B1091="","",IFERROR(INDEX(Products!$B:$B,MATCH(B1091,Products!$A:$A,0)),"SKU not found"))</f>
        <v/>
      </c>
    </row>
    <row r="1092">
      <c r="A1092" s="7" t="n"/>
      <c r="B1092" s="4" t="n"/>
      <c r="C1092" s="4" t="n"/>
      <c r="D1092" s="4" t="n"/>
      <c r="E1092" s="4" t="n"/>
      <c r="F1092" s="4" t="n"/>
      <c r="G1092">
        <f>IF(B1092="","",IFERROR(INDEX(Products!$B:$B,MATCH(B1092,Products!$A:$A,0)),"SKU not found"))</f>
        <v/>
      </c>
    </row>
    <row r="1093">
      <c r="A1093" s="7" t="n"/>
      <c r="B1093" s="4" t="n"/>
      <c r="C1093" s="4" t="n"/>
      <c r="D1093" s="4" t="n"/>
      <c r="E1093" s="4" t="n"/>
      <c r="F1093" s="4" t="n"/>
      <c r="G1093">
        <f>IF(B1093="","",IFERROR(INDEX(Products!$B:$B,MATCH(B1093,Products!$A:$A,0)),"SKU not found"))</f>
        <v/>
      </c>
    </row>
    <row r="1094">
      <c r="A1094" s="7" t="n"/>
      <c r="B1094" s="4" t="n"/>
      <c r="C1094" s="4" t="n"/>
      <c r="D1094" s="4" t="n"/>
      <c r="E1094" s="4" t="n"/>
      <c r="F1094" s="4" t="n"/>
      <c r="G1094">
        <f>IF(B1094="","",IFERROR(INDEX(Products!$B:$B,MATCH(B1094,Products!$A:$A,0)),"SKU not found"))</f>
        <v/>
      </c>
    </row>
    <row r="1095">
      <c r="A1095" s="7" t="n"/>
      <c r="B1095" s="4" t="n"/>
      <c r="C1095" s="4" t="n"/>
      <c r="D1095" s="4" t="n"/>
      <c r="E1095" s="4" t="n"/>
      <c r="F1095" s="4" t="n"/>
      <c r="G1095">
        <f>IF(B1095="","",IFERROR(INDEX(Products!$B:$B,MATCH(B1095,Products!$A:$A,0)),"SKU not found"))</f>
        <v/>
      </c>
    </row>
    <row r="1096">
      <c r="A1096" s="7" t="n"/>
      <c r="B1096" s="4" t="n"/>
      <c r="C1096" s="4" t="n"/>
      <c r="D1096" s="4" t="n"/>
      <c r="E1096" s="4" t="n"/>
      <c r="F1096" s="4" t="n"/>
      <c r="G1096">
        <f>IF(B1096="","",IFERROR(INDEX(Products!$B:$B,MATCH(B1096,Products!$A:$A,0)),"SKU not found"))</f>
        <v/>
      </c>
    </row>
    <row r="1097">
      <c r="A1097" s="7" t="n"/>
      <c r="B1097" s="4" t="n"/>
      <c r="C1097" s="4" t="n"/>
      <c r="D1097" s="4" t="n"/>
      <c r="E1097" s="4" t="n"/>
      <c r="F1097" s="4" t="n"/>
      <c r="G1097">
        <f>IF(B1097="","",IFERROR(INDEX(Products!$B:$B,MATCH(B1097,Products!$A:$A,0)),"SKU not found"))</f>
        <v/>
      </c>
    </row>
    <row r="1098">
      <c r="A1098" s="7" t="n"/>
      <c r="B1098" s="4" t="n"/>
      <c r="C1098" s="4" t="n"/>
      <c r="D1098" s="4" t="n"/>
      <c r="E1098" s="4" t="n"/>
      <c r="F1098" s="4" t="n"/>
      <c r="G1098">
        <f>IF(B1098="","",IFERROR(INDEX(Products!$B:$B,MATCH(B1098,Products!$A:$A,0)),"SKU not found"))</f>
        <v/>
      </c>
    </row>
    <row r="1099">
      <c r="A1099" s="7" t="n"/>
      <c r="B1099" s="4" t="n"/>
      <c r="C1099" s="4" t="n"/>
      <c r="D1099" s="4" t="n"/>
      <c r="E1099" s="4" t="n"/>
      <c r="F1099" s="4" t="n"/>
      <c r="G1099">
        <f>IF(B1099="","",IFERROR(INDEX(Products!$B:$B,MATCH(B1099,Products!$A:$A,0)),"SKU not found"))</f>
        <v/>
      </c>
    </row>
    <row r="1100">
      <c r="A1100" s="7" t="n"/>
      <c r="B1100" s="4" t="n"/>
      <c r="C1100" s="4" t="n"/>
      <c r="D1100" s="4" t="n"/>
      <c r="E1100" s="4" t="n"/>
      <c r="F1100" s="4" t="n"/>
      <c r="G1100">
        <f>IF(B1100="","",IFERROR(INDEX(Products!$B:$B,MATCH(B1100,Products!$A:$A,0)),"SKU not found"))</f>
        <v/>
      </c>
    </row>
    <row r="1101">
      <c r="A1101" s="7" t="n"/>
      <c r="B1101" s="4" t="n"/>
      <c r="C1101" s="4" t="n"/>
      <c r="D1101" s="4" t="n"/>
      <c r="E1101" s="4" t="n"/>
      <c r="F1101" s="4" t="n"/>
      <c r="G1101">
        <f>IF(B1101="","",IFERROR(INDEX(Products!$B:$B,MATCH(B1101,Products!$A:$A,0)),"SKU not found"))</f>
        <v/>
      </c>
    </row>
    <row r="1102">
      <c r="A1102" s="7" t="n"/>
      <c r="B1102" s="4" t="n"/>
      <c r="C1102" s="4" t="n"/>
      <c r="D1102" s="4" t="n"/>
      <c r="E1102" s="4" t="n"/>
      <c r="F1102" s="4" t="n"/>
      <c r="G1102">
        <f>IF(B1102="","",IFERROR(INDEX(Products!$B:$B,MATCH(B1102,Products!$A:$A,0)),"SKU not found"))</f>
        <v/>
      </c>
    </row>
    <row r="1103">
      <c r="A1103" s="7" t="n"/>
      <c r="B1103" s="4" t="n"/>
      <c r="C1103" s="4" t="n"/>
      <c r="D1103" s="4" t="n"/>
      <c r="E1103" s="4" t="n"/>
      <c r="F1103" s="4" t="n"/>
      <c r="G1103">
        <f>IF(B1103="","",IFERROR(INDEX(Products!$B:$B,MATCH(B1103,Products!$A:$A,0)),"SKU not found"))</f>
        <v/>
      </c>
    </row>
    <row r="1104">
      <c r="A1104" s="7" t="n"/>
      <c r="B1104" s="4" t="n"/>
      <c r="C1104" s="4" t="n"/>
      <c r="D1104" s="4" t="n"/>
      <c r="E1104" s="4" t="n"/>
      <c r="F1104" s="4" t="n"/>
      <c r="G1104">
        <f>IF(B1104="","",IFERROR(INDEX(Products!$B:$B,MATCH(B1104,Products!$A:$A,0)),"SKU not found"))</f>
        <v/>
      </c>
    </row>
    <row r="1105">
      <c r="A1105" s="7" t="n"/>
      <c r="B1105" s="4" t="n"/>
      <c r="C1105" s="4" t="n"/>
      <c r="D1105" s="4" t="n"/>
      <c r="E1105" s="4" t="n"/>
      <c r="F1105" s="4" t="n"/>
      <c r="G1105">
        <f>IF(B1105="","",IFERROR(INDEX(Products!$B:$B,MATCH(B1105,Products!$A:$A,0)),"SKU not found"))</f>
        <v/>
      </c>
    </row>
    <row r="1106">
      <c r="A1106" s="7" t="n"/>
      <c r="B1106" s="4" t="n"/>
      <c r="C1106" s="4" t="n"/>
      <c r="D1106" s="4" t="n"/>
      <c r="E1106" s="4" t="n"/>
      <c r="F1106" s="4" t="n"/>
      <c r="G1106">
        <f>IF(B1106="","",IFERROR(INDEX(Products!$B:$B,MATCH(B1106,Products!$A:$A,0)),"SKU not found"))</f>
        <v/>
      </c>
    </row>
    <row r="1107">
      <c r="A1107" s="7" t="n"/>
      <c r="B1107" s="4" t="n"/>
      <c r="C1107" s="4" t="n"/>
      <c r="D1107" s="4" t="n"/>
      <c r="E1107" s="4" t="n"/>
      <c r="F1107" s="4" t="n"/>
      <c r="G1107">
        <f>IF(B1107="","",IFERROR(INDEX(Products!$B:$B,MATCH(B1107,Products!$A:$A,0)),"SKU not found"))</f>
        <v/>
      </c>
    </row>
    <row r="1108">
      <c r="A1108" s="7" t="n"/>
      <c r="B1108" s="4" t="n"/>
      <c r="C1108" s="4" t="n"/>
      <c r="D1108" s="4" t="n"/>
      <c r="E1108" s="4" t="n"/>
      <c r="F1108" s="4" t="n"/>
      <c r="G1108">
        <f>IF(B1108="","",IFERROR(INDEX(Products!$B:$B,MATCH(B1108,Products!$A:$A,0)),"SKU not found"))</f>
        <v/>
      </c>
    </row>
    <row r="1109">
      <c r="A1109" s="7" t="n"/>
      <c r="B1109" s="4" t="n"/>
      <c r="C1109" s="4" t="n"/>
      <c r="D1109" s="4" t="n"/>
      <c r="E1109" s="4" t="n"/>
      <c r="F1109" s="4" t="n"/>
      <c r="G1109">
        <f>IF(B1109="","",IFERROR(INDEX(Products!$B:$B,MATCH(B1109,Products!$A:$A,0)),"SKU not found"))</f>
        <v/>
      </c>
    </row>
    <row r="1110">
      <c r="A1110" s="7" t="n"/>
      <c r="B1110" s="4" t="n"/>
      <c r="C1110" s="4" t="n"/>
      <c r="D1110" s="4" t="n"/>
      <c r="E1110" s="4" t="n"/>
      <c r="F1110" s="4" t="n"/>
      <c r="G1110">
        <f>IF(B1110="","",IFERROR(INDEX(Products!$B:$B,MATCH(B1110,Products!$A:$A,0)),"SKU not found"))</f>
        <v/>
      </c>
    </row>
    <row r="1111">
      <c r="A1111" s="7" t="n"/>
      <c r="B1111" s="4" t="n"/>
      <c r="C1111" s="4" t="n"/>
      <c r="D1111" s="4" t="n"/>
      <c r="E1111" s="4" t="n"/>
      <c r="F1111" s="4" t="n"/>
      <c r="G1111">
        <f>IF(B1111="","",IFERROR(INDEX(Products!$B:$B,MATCH(B1111,Products!$A:$A,0)),"SKU not found"))</f>
        <v/>
      </c>
    </row>
    <row r="1112">
      <c r="A1112" s="7" t="n"/>
      <c r="B1112" s="4" t="n"/>
      <c r="C1112" s="4" t="n"/>
      <c r="D1112" s="4" t="n"/>
      <c r="E1112" s="4" t="n"/>
      <c r="F1112" s="4" t="n"/>
      <c r="G1112">
        <f>IF(B1112="","",IFERROR(INDEX(Products!$B:$B,MATCH(B1112,Products!$A:$A,0)),"SKU not found"))</f>
        <v/>
      </c>
    </row>
    <row r="1113">
      <c r="A1113" s="7" t="n"/>
      <c r="B1113" s="4" t="n"/>
      <c r="C1113" s="4" t="n"/>
      <c r="D1113" s="4" t="n"/>
      <c r="E1113" s="4" t="n"/>
      <c r="F1113" s="4" t="n"/>
      <c r="G1113">
        <f>IF(B1113="","",IFERROR(INDEX(Products!$B:$B,MATCH(B1113,Products!$A:$A,0)),"SKU not found"))</f>
        <v/>
      </c>
    </row>
    <row r="1114">
      <c r="A1114" s="7" t="n"/>
      <c r="B1114" s="4" t="n"/>
      <c r="C1114" s="4" t="n"/>
      <c r="D1114" s="4" t="n"/>
      <c r="E1114" s="4" t="n"/>
      <c r="F1114" s="4" t="n"/>
      <c r="G1114">
        <f>IF(B1114="","",IFERROR(INDEX(Products!$B:$B,MATCH(B1114,Products!$A:$A,0)),"SKU not found"))</f>
        <v/>
      </c>
    </row>
    <row r="1115">
      <c r="A1115" s="7" t="n"/>
      <c r="B1115" s="4" t="n"/>
      <c r="C1115" s="4" t="n"/>
      <c r="D1115" s="4" t="n"/>
      <c r="E1115" s="4" t="n"/>
      <c r="F1115" s="4" t="n"/>
      <c r="G1115">
        <f>IF(B1115="","",IFERROR(INDEX(Products!$B:$B,MATCH(B1115,Products!$A:$A,0)),"SKU not found"))</f>
        <v/>
      </c>
    </row>
    <row r="1116">
      <c r="A1116" s="7" t="n"/>
      <c r="B1116" s="4" t="n"/>
      <c r="C1116" s="4" t="n"/>
      <c r="D1116" s="4" t="n"/>
      <c r="E1116" s="4" t="n"/>
      <c r="F1116" s="4" t="n"/>
      <c r="G1116">
        <f>IF(B1116="","",IFERROR(INDEX(Products!$B:$B,MATCH(B1116,Products!$A:$A,0)),"SKU not found"))</f>
        <v/>
      </c>
    </row>
    <row r="1117">
      <c r="A1117" s="7" t="n"/>
      <c r="B1117" s="4" t="n"/>
      <c r="C1117" s="4" t="n"/>
      <c r="D1117" s="4" t="n"/>
      <c r="E1117" s="4" t="n"/>
      <c r="F1117" s="4" t="n"/>
      <c r="G1117">
        <f>IF(B1117="","",IFERROR(INDEX(Products!$B:$B,MATCH(B1117,Products!$A:$A,0)),"SKU not found"))</f>
        <v/>
      </c>
    </row>
    <row r="1118">
      <c r="A1118" s="7" t="n"/>
      <c r="B1118" s="4" t="n"/>
      <c r="C1118" s="4" t="n"/>
      <c r="D1118" s="4" t="n"/>
      <c r="E1118" s="4" t="n"/>
      <c r="F1118" s="4" t="n"/>
      <c r="G1118">
        <f>IF(B1118="","",IFERROR(INDEX(Products!$B:$B,MATCH(B1118,Products!$A:$A,0)),"SKU not found"))</f>
        <v/>
      </c>
    </row>
    <row r="1119">
      <c r="A1119" s="7" t="n"/>
      <c r="B1119" s="4" t="n"/>
      <c r="C1119" s="4" t="n"/>
      <c r="D1119" s="4" t="n"/>
      <c r="E1119" s="4" t="n"/>
      <c r="F1119" s="4" t="n"/>
      <c r="G1119">
        <f>IF(B1119="","",IFERROR(INDEX(Products!$B:$B,MATCH(B1119,Products!$A:$A,0)),"SKU not found"))</f>
        <v/>
      </c>
    </row>
    <row r="1120">
      <c r="A1120" s="7" t="n"/>
      <c r="B1120" s="4" t="n"/>
      <c r="C1120" s="4" t="n"/>
      <c r="D1120" s="4" t="n"/>
      <c r="E1120" s="4" t="n"/>
      <c r="F1120" s="4" t="n"/>
      <c r="G1120">
        <f>IF(B1120="","",IFERROR(INDEX(Products!$B:$B,MATCH(B1120,Products!$A:$A,0)),"SKU not found"))</f>
        <v/>
      </c>
    </row>
    <row r="1121">
      <c r="A1121" s="7" t="n"/>
      <c r="B1121" s="4" t="n"/>
      <c r="C1121" s="4" t="n"/>
      <c r="D1121" s="4" t="n"/>
      <c r="E1121" s="4" t="n"/>
      <c r="F1121" s="4" t="n"/>
      <c r="G1121">
        <f>IF(B1121="","",IFERROR(INDEX(Products!$B:$B,MATCH(B1121,Products!$A:$A,0)),"SKU not found"))</f>
        <v/>
      </c>
    </row>
    <row r="1122">
      <c r="A1122" s="7" t="n"/>
      <c r="B1122" s="4" t="n"/>
      <c r="C1122" s="4" t="n"/>
      <c r="D1122" s="4" t="n"/>
      <c r="E1122" s="4" t="n"/>
      <c r="F1122" s="4" t="n"/>
      <c r="G1122">
        <f>IF(B1122="","",IFERROR(INDEX(Products!$B:$B,MATCH(B1122,Products!$A:$A,0)),"SKU not found"))</f>
        <v/>
      </c>
    </row>
    <row r="1123">
      <c r="A1123" s="7" t="n"/>
      <c r="B1123" s="4" t="n"/>
      <c r="C1123" s="4" t="n"/>
      <c r="D1123" s="4" t="n"/>
      <c r="E1123" s="4" t="n"/>
      <c r="F1123" s="4" t="n"/>
      <c r="G1123">
        <f>IF(B1123="","",IFERROR(INDEX(Products!$B:$B,MATCH(B1123,Products!$A:$A,0)),"SKU not found"))</f>
        <v/>
      </c>
    </row>
    <row r="1124">
      <c r="A1124" s="7" t="n"/>
      <c r="B1124" s="4" t="n"/>
      <c r="C1124" s="4" t="n"/>
      <c r="D1124" s="4" t="n"/>
      <c r="E1124" s="4" t="n"/>
      <c r="F1124" s="4" t="n"/>
      <c r="G1124">
        <f>IF(B1124="","",IFERROR(INDEX(Products!$B:$B,MATCH(B1124,Products!$A:$A,0)),"SKU not found"))</f>
        <v/>
      </c>
    </row>
    <row r="1125">
      <c r="A1125" s="7" t="n"/>
      <c r="B1125" s="4" t="n"/>
      <c r="C1125" s="4" t="n"/>
      <c r="D1125" s="4" t="n"/>
      <c r="E1125" s="4" t="n"/>
      <c r="F1125" s="4" t="n"/>
      <c r="G1125">
        <f>IF(B1125="","",IFERROR(INDEX(Products!$B:$B,MATCH(B1125,Products!$A:$A,0)),"SKU not found"))</f>
        <v/>
      </c>
    </row>
    <row r="1126">
      <c r="A1126" s="7" t="n"/>
      <c r="B1126" s="4" t="n"/>
      <c r="C1126" s="4" t="n"/>
      <c r="D1126" s="4" t="n"/>
      <c r="E1126" s="4" t="n"/>
      <c r="F1126" s="4" t="n"/>
      <c r="G1126">
        <f>IF(B1126="","",IFERROR(INDEX(Products!$B:$B,MATCH(B1126,Products!$A:$A,0)),"SKU not found"))</f>
        <v/>
      </c>
    </row>
    <row r="1127">
      <c r="A1127" s="7" t="n"/>
      <c r="B1127" s="4" t="n"/>
      <c r="C1127" s="4" t="n"/>
      <c r="D1127" s="4" t="n"/>
      <c r="E1127" s="4" t="n"/>
      <c r="F1127" s="4" t="n"/>
      <c r="G1127">
        <f>IF(B1127="","",IFERROR(INDEX(Products!$B:$B,MATCH(B1127,Products!$A:$A,0)),"SKU not found"))</f>
        <v/>
      </c>
    </row>
    <row r="1128">
      <c r="A1128" s="7" t="n"/>
      <c r="B1128" s="4" t="n"/>
      <c r="C1128" s="4" t="n"/>
      <c r="D1128" s="4" t="n"/>
      <c r="E1128" s="4" t="n"/>
      <c r="F1128" s="4" t="n"/>
      <c r="G1128">
        <f>IF(B1128="","",IFERROR(INDEX(Products!$B:$B,MATCH(B1128,Products!$A:$A,0)),"SKU not found"))</f>
        <v/>
      </c>
    </row>
    <row r="1129">
      <c r="A1129" s="7" t="n"/>
      <c r="B1129" s="4" t="n"/>
      <c r="C1129" s="4" t="n"/>
      <c r="D1129" s="4" t="n"/>
      <c r="E1129" s="4" t="n"/>
      <c r="F1129" s="4" t="n"/>
      <c r="G1129">
        <f>IF(B1129="","",IFERROR(INDEX(Products!$B:$B,MATCH(B1129,Products!$A:$A,0)),"SKU not found"))</f>
        <v/>
      </c>
    </row>
    <row r="1130">
      <c r="A1130" s="7" t="n"/>
      <c r="B1130" s="4" t="n"/>
      <c r="C1130" s="4" t="n"/>
      <c r="D1130" s="4" t="n"/>
      <c r="E1130" s="4" t="n"/>
      <c r="F1130" s="4" t="n"/>
      <c r="G1130">
        <f>IF(B1130="","",IFERROR(INDEX(Products!$B:$B,MATCH(B1130,Products!$A:$A,0)),"SKU not found"))</f>
        <v/>
      </c>
    </row>
    <row r="1131">
      <c r="A1131" s="7" t="n"/>
      <c r="B1131" s="4" t="n"/>
      <c r="C1131" s="4" t="n"/>
      <c r="D1131" s="4" t="n"/>
      <c r="E1131" s="4" t="n"/>
      <c r="F1131" s="4" t="n"/>
      <c r="G1131">
        <f>IF(B1131="","",IFERROR(INDEX(Products!$B:$B,MATCH(B1131,Products!$A:$A,0)),"SKU not found"))</f>
        <v/>
      </c>
    </row>
    <row r="1132">
      <c r="A1132" s="7" t="n"/>
      <c r="B1132" s="4" t="n"/>
      <c r="C1132" s="4" t="n"/>
      <c r="D1132" s="4" t="n"/>
      <c r="E1132" s="4" t="n"/>
      <c r="F1132" s="4" t="n"/>
      <c r="G1132">
        <f>IF(B1132="","",IFERROR(INDEX(Products!$B:$B,MATCH(B1132,Products!$A:$A,0)),"SKU not found"))</f>
        <v/>
      </c>
    </row>
    <row r="1133">
      <c r="A1133" s="7" t="n"/>
      <c r="B1133" s="4" t="n"/>
      <c r="C1133" s="4" t="n"/>
      <c r="D1133" s="4" t="n"/>
      <c r="E1133" s="4" t="n"/>
      <c r="F1133" s="4" t="n"/>
      <c r="G1133">
        <f>IF(B1133="","",IFERROR(INDEX(Products!$B:$B,MATCH(B1133,Products!$A:$A,0)),"SKU not found"))</f>
        <v/>
      </c>
    </row>
    <row r="1134">
      <c r="A1134" s="7" t="n"/>
      <c r="B1134" s="4" t="n"/>
      <c r="C1134" s="4" t="n"/>
      <c r="D1134" s="4" t="n"/>
      <c r="E1134" s="4" t="n"/>
      <c r="F1134" s="4" t="n"/>
      <c r="G1134">
        <f>IF(B1134="","",IFERROR(INDEX(Products!$B:$B,MATCH(B1134,Products!$A:$A,0)),"SKU not found"))</f>
        <v/>
      </c>
    </row>
    <row r="1135">
      <c r="A1135" s="7" t="n"/>
      <c r="B1135" s="4" t="n"/>
      <c r="C1135" s="4" t="n"/>
      <c r="D1135" s="4" t="n"/>
      <c r="E1135" s="4" t="n"/>
      <c r="F1135" s="4" t="n"/>
      <c r="G1135">
        <f>IF(B1135="","",IFERROR(INDEX(Products!$B:$B,MATCH(B1135,Products!$A:$A,0)),"SKU not found"))</f>
        <v/>
      </c>
    </row>
    <row r="1136">
      <c r="A1136" s="7" t="n"/>
      <c r="B1136" s="4" t="n"/>
      <c r="C1136" s="4" t="n"/>
      <c r="D1136" s="4" t="n"/>
      <c r="E1136" s="4" t="n"/>
      <c r="F1136" s="4" t="n"/>
      <c r="G1136">
        <f>IF(B1136="","",IFERROR(INDEX(Products!$B:$B,MATCH(B1136,Products!$A:$A,0)),"SKU not found"))</f>
        <v/>
      </c>
    </row>
    <row r="1137">
      <c r="A1137" s="7" t="n"/>
      <c r="B1137" s="4" t="n"/>
      <c r="C1137" s="4" t="n"/>
      <c r="D1137" s="4" t="n"/>
      <c r="E1137" s="4" t="n"/>
      <c r="F1137" s="4" t="n"/>
      <c r="G1137">
        <f>IF(B1137="","",IFERROR(INDEX(Products!$B:$B,MATCH(B1137,Products!$A:$A,0)),"SKU not found"))</f>
        <v/>
      </c>
    </row>
    <row r="1138">
      <c r="A1138" s="7" t="n"/>
      <c r="B1138" s="4" t="n"/>
      <c r="C1138" s="4" t="n"/>
      <c r="D1138" s="4" t="n"/>
      <c r="E1138" s="4" t="n"/>
      <c r="F1138" s="4" t="n"/>
      <c r="G1138">
        <f>IF(B1138="","",IFERROR(INDEX(Products!$B:$B,MATCH(B1138,Products!$A:$A,0)),"SKU not found"))</f>
        <v/>
      </c>
    </row>
    <row r="1139">
      <c r="A1139" s="7" t="n"/>
      <c r="B1139" s="4" t="n"/>
      <c r="C1139" s="4" t="n"/>
      <c r="D1139" s="4" t="n"/>
      <c r="E1139" s="4" t="n"/>
      <c r="F1139" s="4" t="n"/>
      <c r="G1139">
        <f>IF(B1139="","",IFERROR(INDEX(Products!$B:$B,MATCH(B1139,Products!$A:$A,0)),"SKU not found"))</f>
        <v/>
      </c>
    </row>
    <row r="1140">
      <c r="A1140" s="7" t="n"/>
      <c r="B1140" s="4" t="n"/>
      <c r="C1140" s="4" t="n"/>
      <c r="D1140" s="4" t="n"/>
      <c r="E1140" s="4" t="n"/>
      <c r="F1140" s="4" t="n"/>
      <c r="G1140">
        <f>IF(B1140="","",IFERROR(INDEX(Products!$B:$B,MATCH(B1140,Products!$A:$A,0)),"SKU not found"))</f>
        <v/>
      </c>
    </row>
    <row r="1141">
      <c r="A1141" s="7" t="n"/>
      <c r="B1141" s="4" t="n"/>
      <c r="C1141" s="4" t="n"/>
      <c r="D1141" s="4" t="n"/>
      <c r="E1141" s="4" t="n"/>
      <c r="F1141" s="4" t="n"/>
      <c r="G1141">
        <f>IF(B1141="","",IFERROR(INDEX(Products!$B:$B,MATCH(B1141,Products!$A:$A,0)),"SKU not found"))</f>
        <v/>
      </c>
    </row>
    <row r="1142">
      <c r="A1142" s="7" t="n"/>
      <c r="B1142" s="4" t="n"/>
      <c r="C1142" s="4" t="n"/>
      <c r="D1142" s="4" t="n"/>
      <c r="E1142" s="4" t="n"/>
      <c r="F1142" s="4" t="n"/>
      <c r="G1142">
        <f>IF(B1142="","",IFERROR(INDEX(Products!$B:$B,MATCH(B1142,Products!$A:$A,0)),"SKU not found"))</f>
        <v/>
      </c>
    </row>
    <row r="1143">
      <c r="A1143" s="7" t="n"/>
      <c r="B1143" s="4" t="n"/>
      <c r="C1143" s="4" t="n"/>
      <c r="D1143" s="4" t="n"/>
      <c r="E1143" s="4" t="n"/>
      <c r="F1143" s="4" t="n"/>
      <c r="G1143">
        <f>IF(B1143="","",IFERROR(INDEX(Products!$B:$B,MATCH(B1143,Products!$A:$A,0)),"SKU not found"))</f>
        <v/>
      </c>
    </row>
    <row r="1144">
      <c r="A1144" s="7" t="n"/>
      <c r="B1144" s="4" t="n"/>
      <c r="C1144" s="4" t="n"/>
      <c r="D1144" s="4" t="n"/>
      <c r="E1144" s="4" t="n"/>
      <c r="F1144" s="4" t="n"/>
      <c r="G1144">
        <f>IF(B1144="","",IFERROR(INDEX(Products!$B:$B,MATCH(B1144,Products!$A:$A,0)),"SKU not found"))</f>
        <v/>
      </c>
    </row>
    <row r="1145">
      <c r="A1145" s="7" t="n"/>
      <c r="B1145" s="4" t="n"/>
      <c r="C1145" s="4" t="n"/>
      <c r="D1145" s="4" t="n"/>
      <c r="E1145" s="4" t="n"/>
      <c r="F1145" s="4" t="n"/>
      <c r="G1145">
        <f>IF(B1145="","",IFERROR(INDEX(Products!$B:$B,MATCH(B1145,Products!$A:$A,0)),"SKU not found"))</f>
        <v/>
      </c>
    </row>
    <row r="1146">
      <c r="A1146" s="7" t="n"/>
      <c r="B1146" s="4" t="n"/>
      <c r="C1146" s="4" t="n"/>
      <c r="D1146" s="4" t="n"/>
      <c r="E1146" s="4" t="n"/>
      <c r="F1146" s="4" t="n"/>
      <c r="G1146">
        <f>IF(B1146="","",IFERROR(INDEX(Products!$B:$B,MATCH(B1146,Products!$A:$A,0)),"SKU not found"))</f>
        <v/>
      </c>
    </row>
    <row r="1147">
      <c r="A1147" s="7" t="n"/>
      <c r="B1147" s="4" t="n"/>
      <c r="C1147" s="4" t="n"/>
      <c r="D1147" s="4" t="n"/>
      <c r="E1147" s="4" t="n"/>
      <c r="F1147" s="4" t="n"/>
      <c r="G1147">
        <f>IF(B1147="","",IFERROR(INDEX(Products!$B:$B,MATCH(B1147,Products!$A:$A,0)),"SKU not found"))</f>
        <v/>
      </c>
    </row>
    <row r="1148">
      <c r="A1148" s="7" t="n"/>
      <c r="B1148" s="4" t="n"/>
      <c r="C1148" s="4" t="n"/>
      <c r="D1148" s="4" t="n"/>
      <c r="E1148" s="4" t="n"/>
      <c r="F1148" s="4" t="n"/>
      <c r="G1148">
        <f>IF(B1148="","",IFERROR(INDEX(Products!$B:$B,MATCH(B1148,Products!$A:$A,0)),"SKU not found"))</f>
        <v/>
      </c>
    </row>
    <row r="1149">
      <c r="A1149" s="7" t="n"/>
      <c r="B1149" s="4" t="n"/>
      <c r="C1149" s="4" t="n"/>
      <c r="D1149" s="4" t="n"/>
      <c r="E1149" s="4" t="n"/>
      <c r="F1149" s="4" t="n"/>
      <c r="G1149">
        <f>IF(B1149="","",IFERROR(INDEX(Products!$B:$B,MATCH(B1149,Products!$A:$A,0)),"SKU not found"))</f>
        <v/>
      </c>
    </row>
    <row r="1150">
      <c r="A1150" s="7" t="n"/>
      <c r="B1150" s="4" t="n"/>
      <c r="C1150" s="4" t="n"/>
      <c r="D1150" s="4" t="n"/>
      <c r="E1150" s="4" t="n"/>
      <c r="F1150" s="4" t="n"/>
      <c r="G1150">
        <f>IF(B1150="","",IFERROR(INDEX(Products!$B:$B,MATCH(B1150,Products!$A:$A,0)),"SKU not found"))</f>
        <v/>
      </c>
    </row>
    <row r="1151">
      <c r="A1151" s="7" t="n"/>
      <c r="B1151" s="4" t="n"/>
      <c r="C1151" s="4" t="n"/>
      <c r="D1151" s="4" t="n"/>
      <c r="E1151" s="4" t="n"/>
      <c r="F1151" s="4" t="n"/>
      <c r="G1151">
        <f>IF(B1151="","",IFERROR(INDEX(Products!$B:$B,MATCH(B1151,Products!$A:$A,0)),"SKU not found"))</f>
        <v/>
      </c>
    </row>
    <row r="1152">
      <c r="A1152" s="7" t="n"/>
      <c r="B1152" s="4" t="n"/>
      <c r="C1152" s="4" t="n"/>
      <c r="D1152" s="4" t="n"/>
      <c r="E1152" s="4" t="n"/>
      <c r="F1152" s="4" t="n"/>
      <c r="G1152">
        <f>IF(B1152="","",IFERROR(INDEX(Products!$B:$B,MATCH(B1152,Products!$A:$A,0)),"SKU not found"))</f>
        <v/>
      </c>
    </row>
    <row r="1153">
      <c r="A1153" s="7" t="n"/>
      <c r="B1153" s="4" t="n"/>
      <c r="C1153" s="4" t="n"/>
      <c r="D1153" s="4" t="n"/>
      <c r="E1153" s="4" t="n"/>
      <c r="F1153" s="4" t="n"/>
      <c r="G1153">
        <f>IF(B1153="","",IFERROR(INDEX(Products!$B:$B,MATCH(B1153,Products!$A:$A,0)),"SKU not found"))</f>
        <v/>
      </c>
    </row>
    <row r="1154">
      <c r="A1154" s="7" t="n"/>
      <c r="B1154" s="4" t="n"/>
      <c r="C1154" s="4" t="n"/>
      <c r="D1154" s="4" t="n"/>
      <c r="E1154" s="4" t="n"/>
      <c r="F1154" s="4" t="n"/>
      <c r="G1154">
        <f>IF(B1154="","",IFERROR(INDEX(Products!$B:$B,MATCH(B1154,Products!$A:$A,0)),"SKU not found"))</f>
        <v/>
      </c>
    </row>
    <row r="1155">
      <c r="A1155" s="7" t="n"/>
      <c r="B1155" s="4" t="n"/>
      <c r="C1155" s="4" t="n"/>
      <c r="D1155" s="4" t="n"/>
      <c r="E1155" s="4" t="n"/>
      <c r="F1155" s="4" t="n"/>
      <c r="G1155">
        <f>IF(B1155="","",IFERROR(INDEX(Products!$B:$B,MATCH(B1155,Products!$A:$A,0)),"SKU not found"))</f>
        <v/>
      </c>
    </row>
    <row r="1156">
      <c r="A1156" s="7" t="n"/>
      <c r="B1156" s="4" t="n"/>
      <c r="C1156" s="4" t="n"/>
      <c r="D1156" s="4" t="n"/>
      <c r="E1156" s="4" t="n"/>
      <c r="F1156" s="4" t="n"/>
      <c r="G1156">
        <f>IF(B1156="","",IFERROR(INDEX(Products!$B:$B,MATCH(B1156,Products!$A:$A,0)),"SKU not found"))</f>
        <v/>
      </c>
    </row>
    <row r="1157">
      <c r="A1157" s="7" t="n"/>
      <c r="B1157" s="4" t="n"/>
      <c r="C1157" s="4" t="n"/>
      <c r="D1157" s="4" t="n"/>
      <c r="E1157" s="4" t="n"/>
      <c r="F1157" s="4" t="n"/>
      <c r="G1157">
        <f>IF(B1157="","",IFERROR(INDEX(Products!$B:$B,MATCH(B1157,Products!$A:$A,0)),"SKU not found"))</f>
        <v/>
      </c>
    </row>
    <row r="1158">
      <c r="A1158" s="7" t="n"/>
      <c r="B1158" s="4" t="n"/>
      <c r="C1158" s="4" t="n"/>
      <c r="D1158" s="4" t="n"/>
      <c r="E1158" s="4" t="n"/>
      <c r="F1158" s="4" t="n"/>
      <c r="G1158">
        <f>IF(B1158="","",IFERROR(INDEX(Products!$B:$B,MATCH(B1158,Products!$A:$A,0)),"SKU not found"))</f>
        <v/>
      </c>
    </row>
    <row r="1159">
      <c r="A1159" s="7" t="n"/>
      <c r="B1159" s="4" t="n"/>
      <c r="C1159" s="4" t="n"/>
      <c r="D1159" s="4" t="n"/>
      <c r="E1159" s="4" t="n"/>
      <c r="F1159" s="4" t="n"/>
      <c r="G1159">
        <f>IF(B1159="","",IFERROR(INDEX(Products!$B:$B,MATCH(B1159,Products!$A:$A,0)),"SKU not found"))</f>
        <v/>
      </c>
    </row>
    <row r="1160">
      <c r="A1160" s="7" t="n"/>
      <c r="B1160" s="4" t="n"/>
      <c r="C1160" s="4" t="n"/>
      <c r="D1160" s="4" t="n"/>
      <c r="E1160" s="4" t="n"/>
      <c r="F1160" s="4" t="n"/>
      <c r="G1160">
        <f>IF(B1160="","",IFERROR(INDEX(Products!$B:$B,MATCH(B1160,Products!$A:$A,0)),"SKU not found"))</f>
        <v/>
      </c>
    </row>
    <row r="1161">
      <c r="A1161" s="7" t="n"/>
      <c r="B1161" s="4" t="n"/>
      <c r="C1161" s="4" t="n"/>
      <c r="D1161" s="4" t="n"/>
      <c r="E1161" s="4" t="n"/>
      <c r="F1161" s="4" t="n"/>
      <c r="G1161">
        <f>IF(B1161="","",IFERROR(INDEX(Products!$B:$B,MATCH(B1161,Products!$A:$A,0)),"SKU not found"))</f>
        <v/>
      </c>
    </row>
    <row r="1162">
      <c r="A1162" s="7" t="n"/>
      <c r="B1162" s="4" t="n"/>
      <c r="C1162" s="4" t="n"/>
      <c r="D1162" s="4" t="n"/>
      <c r="E1162" s="4" t="n"/>
      <c r="F1162" s="4" t="n"/>
      <c r="G1162">
        <f>IF(B1162="","",IFERROR(INDEX(Products!$B:$B,MATCH(B1162,Products!$A:$A,0)),"SKU not found"))</f>
        <v/>
      </c>
    </row>
    <row r="1163">
      <c r="A1163" s="7" t="n"/>
      <c r="B1163" s="4" t="n"/>
      <c r="C1163" s="4" t="n"/>
      <c r="D1163" s="4" t="n"/>
      <c r="E1163" s="4" t="n"/>
      <c r="F1163" s="4" t="n"/>
      <c r="G1163">
        <f>IF(B1163="","",IFERROR(INDEX(Products!$B:$B,MATCH(B1163,Products!$A:$A,0)),"SKU not found"))</f>
        <v/>
      </c>
    </row>
    <row r="1164">
      <c r="A1164" s="7" t="n"/>
      <c r="B1164" s="4" t="n"/>
      <c r="C1164" s="4" t="n"/>
      <c r="D1164" s="4" t="n"/>
      <c r="E1164" s="4" t="n"/>
      <c r="F1164" s="4" t="n"/>
      <c r="G1164">
        <f>IF(B1164="","",IFERROR(INDEX(Products!$B:$B,MATCH(B1164,Products!$A:$A,0)),"SKU not found"))</f>
        <v/>
      </c>
    </row>
    <row r="1165">
      <c r="A1165" s="7" t="n"/>
      <c r="B1165" s="4" t="n"/>
      <c r="C1165" s="4" t="n"/>
      <c r="D1165" s="4" t="n"/>
      <c r="E1165" s="4" t="n"/>
      <c r="F1165" s="4" t="n"/>
      <c r="G1165">
        <f>IF(B1165="","",IFERROR(INDEX(Products!$B:$B,MATCH(B1165,Products!$A:$A,0)),"SKU not found"))</f>
        <v/>
      </c>
    </row>
    <row r="1166">
      <c r="A1166" s="7" t="n"/>
      <c r="B1166" s="4" t="n"/>
      <c r="C1166" s="4" t="n"/>
      <c r="D1166" s="4" t="n"/>
      <c r="E1166" s="4" t="n"/>
      <c r="F1166" s="4" t="n"/>
      <c r="G1166">
        <f>IF(B1166="","",IFERROR(INDEX(Products!$B:$B,MATCH(B1166,Products!$A:$A,0)),"SKU not found"))</f>
        <v/>
      </c>
    </row>
    <row r="1167">
      <c r="A1167" s="7" t="n"/>
      <c r="B1167" s="4" t="n"/>
      <c r="C1167" s="4" t="n"/>
      <c r="D1167" s="4" t="n"/>
      <c r="E1167" s="4" t="n"/>
      <c r="F1167" s="4" t="n"/>
      <c r="G1167">
        <f>IF(B1167="","",IFERROR(INDEX(Products!$B:$B,MATCH(B1167,Products!$A:$A,0)),"SKU not found"))</f>
        <v/>
      </c>
    </row>
    <row r="1168">
      <c r="A1168" s="7" t="n"/>
      <c r="B1168" s="4" t="n"/>
      <c r="C1168" s="4" t="n"/>
      <c r="D1168" s="4" t="n"/>
      <c r="E1168" s="4" t="n"/>
      <c r="F1168" s="4" t="n"/>
      <c r="G1168">
        <f>IF(B1168="","",IFERROR(INDEX(Products!$B:$B,MATCH(B1168,Products!$A:$A,0)),"SKU not found"))</f>
        <v/>
      </c>
    </row>
    <row r="1169">
      <c r="A1169" s="7" t="n"/>
      <c r="B1169" s="4" t="n"/>
      <c r="C1169" s="4" t="n"/>
      <c r="D1169" s="4" t="n"/>
      <c r="E1169" s="4" t="n"/>
      <c r="F1169" s="4" t="n"/>
      <c r="G1169">
        <f>IF(B1169="","",IFERROR(INDEX(Products!$B:$B,MATCH(B1169,Products!$A:$A,0)),"SKU not found"))</f>
        <v/>
      </c>
    </row>
    <row r="1170">
      <c r="A1170" s="7" t="n"/>
      <c r="B1170" s="4" t="n"/>
      <c r="C1170" s="4" t="n"/>
      <c r="D1170" s="4" t="n"/>
      <c r="E1170" s="4" t="n"/>
      <c r="F1170" s="4" t="n"/>
      <c r="G1170">
        <f>IF(B1170="","",IFERROR(INDEX(Products!$B:$B,MATCH(B1170,Products!$A:$A,0)),"SKU not found"))</f>
        <v/>
      </c>
    </row>
    <row r="1171">
      <c r="A1171" s="7" t="n"/>
      <c r="B1171" s="4" t="n"/>
      <c r="C1171" s="4" t="n"/>
      <c r="D1171" s="4" t="n"/>
      <c r="E1171" s="4" t="n"/>
      <c r="F1171" s="4" t="n"/>
      <c r="G1171">
        <f>IF(B1171="","",IFERROR(INDEX(Products!$B:$B,MATCH(B1171,Products!$A:$A,0)),"SKU not found"))</f>
        <v/>
      </c>
    </row>
    <row r="1172">
      <c r="A1172" s="7" t="n"/>
      <c r="B1172" s="4" t="n"/>
      <c r="C1172" s="4" t="n"/>
      <c r="D1172" s="4" t="n"/>
      <c r="E1172" s="4" t="n"/>
      <c r="F1172" s="4" t="n"/>
      <c r="G1172">
        <f>IF(B1172="","",IFERROR(INDEX(Products!$B:$B,MATCH(B1172,Products!$A:$A,0)),"SKU not found"))</f>
        <v/>
      </c>
    </row>
    <row r="1173">
      <c r="A1173" s="7" t="n"/>
      <c r="B1173" s="4" t="n"/>
      <c r="C1173" s="4" t="n"/>
      <c r="D1173" s="4" t="n"/>
      <c r="E1173" s="4" t="n"/>
      <c r="F1173" s="4" t="n"/>
      <c r="G1173">
        <f>IF(B1173="","",IFERROR(INDEX(Products!$B:$B,MATCH(B1173,Products!$A:$A,0)),"SKU not found"))</f>
        <v/>
      </c>
    </row>
    <row r="1174">
      <c r="A1174" s="7" t="n"/>
      <c r="B1174" s="4" t="n"/>
      <c r="C1174" s="4" t="n"/>
      <c r="D1174" s="4" t="n"/>
      <c r="E1174" s="4" t="n"/>
      <c r="F1174" s="4" t="n"/>
      <c r="G1174">
        <f>IF(B1174="","",IFERROR(INDEX(Products!$B:$B,MATCH(B1174,Products!$A:$A,0)),"SKU not found"))</f>
        <v/>
      </c>
    </row>
    <row r="1175">
      <c r="A1175" s="7" t="n"/>
      <c r="B1175" s="4" t="n"/>
      <c r="C1175" s="4" t="n"/>
      <c r="D1175" s="4" t="n"/>
      <c r="E1175" s="4" t="n"/>
      <c r="F1175" s="4" t="n"/>
      <c r="G1175">
        <f>IF(B1175="","",IFERROR(INDEX(Products!$B:$B,MATCH(B1175,Products!$A:$A,0)),"SKU not found"))</f>
        <v/>
      </c>
    </row>
    <row r="1176">
      <c r="A1176" s="7" t="n"/>
      <c r="B1176" s="4" t="n"/>
      <c r="C1176" s="4" t="n"/>
      <c r="D1176" s="4" t="n"/>
      <c r="E1176" s="4" t="n"/>
      <c r="F1176" s="4" t="n"/>
      <c r="G1176">
        <f>IF(B1176="","",IFERROR(INDEX(Products!$B:$B,MATCH(B1176,Products!$A:$A,0)),"SKU not found"))</f>
        <v/>
      </c>
    </row>
    <row r="1177">
      <c r="A1177" s="7" t="n"/>
      <c r="B1177" s="4" t="n"/>
      <c r="C1177" s="4" t="n"/>
      <c r="D1177" s="4" t="n"/>
      <c r="E1177" s="4" t="n"/>
      <c r="F1177" s="4" t="n"/>
      <c r="G1177">
        <f>IF(B1177="","",IFERROR(INDEX(Products!$B:$B,MATCH(B1177,Products!$A:$A,0)),"SKU not found"))</f>
        <v/>
      </c>
    </row>
    <row r="1178">
      <c r="A1178" s="7" t="n"/>
      <c r="B1178" s="4" t="n"/>
      <c r="C1178" s="4" t="n"/>
      <c r="D1178" s="4" t="n"/>
      <c r="E1178" s="4" t="n"/>
      <c r="F1178" s="4" t="n"/>
      <c r="G1178">
        <f>IF(B1178="","",IFERROR(INDEX(Products!$B:$B,MATCH(B1178,Products!$A:$A,0)),"SKU not found"))</f>
        <v/>
      </c>
    </row>
    <row r="1179">
      <c r="A1179" s="7" t="n"/>
      <c r="B1179" s="4" t="n"/>
      <c r="C1179" s="4" t="n"/>
      <c r="D1179" s="4" t="n"/>
      <c r="E1179" s="4" t="n"/>
      <c r="F1179" s="4" t="n"/>
      <c r="G1179">
        <f>IF(B1179="","",IFERROR(INDEX(Products!$B:$B,MATCH(B1179,Products!$A:$A,0)),"SKU not found"))</f>
        <v/>
      </c>
    </row>
    <row r="1180">
      <c r="A1180" s="7" t="n"/>
      <c r="B1180" s="4" t="n"/>
      <c r="C1180" s="4" t="n"/>
      <c r="D1180" s="4" t="n"/>
      <c r="E1180" s="4" t="n"/>
      <c r="F1180" s="4" t="n"/>
      <c r="G1180">
        <f>IF(B1180="","",IFERROR(INDEX(Products!$B:$B,MATCH(B1180,Products!$A:$A,0)),"SKU not found"))</f>
        <v/>
      </c>
    </row>
    <row r="1181">
      <c r="A1181" s="7" t="n"/>
      <c r="B1181" s="4" t="n"/>
      <c r="C1181" s="4" t="n"/>
      <c r="D1181" s="4" t="n"/>
      <c r="E1181" s="4" t="n"/>
      <c r="F1181" s="4" t="n"/>
      <c r="G1181">
        <f>IF(B1181="","",IFERROR(INDEX(Products!$B:$B,MATCH(B1181,Products!$A:$A,0)),"SKU not found"))</f>
        <v/>
      </c>
    </row>
    <row r="1182">
      <c r="A1182" s="7" t="n"/>
      <c r="B1182" s="4" t="n"/>
      <c r="C1182" s="4" t="n"/>
      <c r="D1182" s="4" t="n"/>
      <c r="E1182" s="4" t="n"/>
      <c r="F1182" s="4" t="n"/>
      <c r="G1182">
        <f>IF(B1182="","",IFERROR(INDEX(Products!$B:$B,MATCH(B1182,Products!$A:$A,0)),"SKU not found"))</f>
        <v/>
      </c>
    </row>
    <row r="1183">
      <c r="A1183" s="7" t="n"/>
      <c r="B1183" s="4" t="n"/>
      <c r="C1183" s="4" t="n"/>
      <c r="D1183" s="4" t="n"/>
      <c r="E1183" s="4" t="n"/>
      <c r="F1183" s="4" t="n"/>
      <c r="G1183">
        <f>IF(B1183="","",IFERROR(INDEX(Products!$B:$B,MATCH(B1183,Products!$A:$A,0)),"SKU not found"))</f>
        <v/>
      </c>
    </row>
    <row r="1184">
      <c r="A1184" s="7" t="n"/>
      <c r="B1184" s="4" t="n"/>
      <c r="C1184" s="4" t="n"/>
      <c r="D1184" s="4" t="n"/>
      <c r="E1184" s="4" t="n"/>
      <c r="F1184" s="4" t="n"/>
      <c r="G1184">
        <f>IF(B1184="","",IFERROR(INDEX(Products!$B:$B,MATCH(B1184,Products!$A:$A,0)),"SKU not found"))</f>
        <v/>
      </c>
    </row>
    <row r="1185">
      <c r="A1185" s="7" t="n"/>
      <c r="B1185" s="4" t="n"/>
      <c r="C1185" s="4" t="n"/>
      <c r="D1185" s="4" t="n"/>
      <c r="E1185" s="4" t="n"/>
      <c r="F1185" s="4" t="n"/>
      <c r="G1185">
        <f>IF(B1185="","",IFERROR(INDEX(Products!$B:$B,MATCH(B1185,Products!$A:$A,0)),"SKU not found"))</f>
        <v/>
      </c>
    </row>
    <row r="1186">
      <c r="A1186" s="7" t="n"/>
      <c r="B1186" s="4" t="n"/>
      <c r="C1186" s="4" t="n"/>
      <c r="D1186" s="4" t="n"/>
      <c r="E1186" s="4" t="n"/>
      <c r="F1186" s="4" t="n"/>
      <c r="G1186">
        <f>IF(B1186="","",IFERROR(INDEX(Products!$B:$B,MATCH(B1186,Products!$A:$A,0)),"SKU not found"))</f>
        <v/>
      </c>
    </row>
    <row r="1187">
      <c r="A1187" s="7" t="n"/>
      <c r="B1187" s="4" t="n"/>
      <c r="C1187" s="4" t="n"/>
      <c r="D1187" s="4" t="n"/>
      <c r="E1187" s="4" t="n"/>
      <c r="F1187" s="4" t="n"/>
      <c r="G1187">
        <f>IF(B1187="","",IFERROR(INDEX(Products!$B:$B,MATCH(B1187,Products!$A:$A,0)),"SKU not found"))</f>
        <v/>
      </c>
    </row>
    <row r="1188">
      <c r="A1188" s="7" t="n"/>
      <c r="B1188" s="4" t="n"/>
      <c r="C1188" s="4" t="n"/>
      <c r="D1188" s="4" t="n"/>
      <c r="E1188" s="4" t="n"/>
      <c r="F1188" s="4" t="n"/>
      <c r="G1188">
        <f>IF(B1188="","",IFERROR(INDEX(Products!$B:$B,MATCH(B1188,Products!$A:$A,0)),"SKU not found"))</f>
        <v/>
      </c>
    </row>
    <row r="1189">
      <c r="A1189" s="7" t="n"/>
      <c r="B1189" s="4" t="n"/>
      <c r="C1189" s="4" t="n"/>
      <c r="D1189" s="4" t="n"/>
      <c r="E1189" s="4" t="n"/>
      <c r="F1189" s="4" t="n"/>
      <c r="G1189">
        <f>IF(B1189="","",IFERROR(INDEX(Products!$B:$B,MATCH(B1189,Products!$A:$A,0)),"SKU not found"))</f>
        <v/>
      </c>
    </row>
    <row r="1190">
      <c r="A1190" s="7" t="n"/>
      <c r="B1190" s="4" t="n"/>
      <c r="C1190" s="4" t="n"/>
      <c r="D1190" s="4" t="n"/>
      <c r="E1190" s="4" t="n"/>
      <c r="F1190" s="4" t="n"/>
      <c r="G1190">
        <f>IF(B1190="","",IFERROR(INDEX(Products!$B:$B,MATCH(B1190,Products!$A:$A,0)),"SKU not found"))</f>
        <v/>
      </c>
    </row>
    <row r="1191">
      <c r="A1191" s="7" t="n"/>
      <c r="B1191" s="4" t="n"/>
      <c r="C1191" s="4" t="n"/>
      <c r="D1191" s="4" t="n"/>
      <c r="E1191" s="4" t="n"/>
      <c r="F1191" s="4" t="n"/>
      <c r="G1191">
        <f>IF(B1191="","",IFERROR(INDEX(Products!$B:$B,MATCH(B1191,Products!$A:$A,0)),"SKU not found"))</f>
        <v/>
      </c>
    </row>
    <row r="1192">
      <c r="A1192" s="7" t="n"/>
      <c r="B1192" s="4" t="n"/>
      <c r="C1192" s="4" t="n"/>
      <c r="D1192" s="4" t="n"/>
      <c r="E1192" s="4" t="n"/>
      <c r="F1192" s="4" t="n"/>
      <c r="G1192">
        <f>IF(B1192="","",IFERROR(INDEX(Products!$B:$B,MATCH(B1192,Products!$A:$A,0)),"SKU not found"))</f>
        <v/>
      </c>
    </row>
    <row r="1193">
      <c r="A1193" s="7" t="n"/>
      <c r="B1193" s="4" t="n"/>
      <c r="C1193" s="4" t="n"/>
      <c r="D1193" s="4" t="n"/>
      <c r="E1193" s="4" t="n"/>
      <c r="F1193" s="4" t="n"/>
      <c r="G1193">
        <f>IF(B1193="","",IFERROR(INDEX(Products!$B:$B,MATCH(B1193,Products!$A:$A,0)),"SKU not found"))</f>
        <v/>
      </c>
    </row>
    <row r="1194">
      <c r="A1194" s="7" t="n"/>
      <c r="B1194" s="4" t="n"/>
      <c r="C1194" s="4" t="n"/>
      <c r="D1194" s="4" t="n"/>
      <c r="E1194" s="4" t="n"/>
      <c r="F1194" s="4" t="n"/>
      <c r="G1194">
        <f>IF(B1194="","",IFERROR(INDEX(Products!$B:$B,MATCH(B1194,Products!$A:$A,0)),"SKU not found"))</f>
        <v/>
      </c>
    </row>
    <row r="1195">
      <c r="A1195" s="7" t="n"/>
      <c r="B1195" s="4" t="n"/>
      <c r="C1195" s="4" t="n"/>
      <c r="D1195" s="4" t="n"/>
      <c r="E1195" s="4" t="n"/>
      <c r="F1195" s="4" t="n"/>
      <c r="G1195">
        <f>IF(B1195="","",IFERROR(INDEX(Products!$B:$B,MATCH(B1195,Products!$A:$A,0)),"SKU not found"))</f>
        <v/>
      </c>
    </row>
    <row r="1196">
      <c r="A1196" s="7" t="n"/>
      <c r="B1196" s="4" t="n"/>
      <c r="C1196" s="4" t="n"/>
      <c r="D1196" s="4" t="n"/>
      <c r="E1196" s="4" t="n"/>
      <c r="F1196" s="4" t="n"/>
      <c r="G1196">
        <f>IF(B1196="","",IFERROR(INDEX(Products!$B:$B,MATCH(B1196,Products!$A:$A,0)),"SKU not found"))</f>
        <v/>
      </c>
    </row>
    <row r="1197">
      <c r="A1197" s="7" t="n"/>
      <c r="B1197" s="4" t="n"/>
      <c r="C1197" s="4" t="n"/>
      <c r="D1197" s="4" t="n"/>
      <c r="E1197" s="4" t="n"/>
      <c r="F1197" s="4" t="n"/>
      <c r="G1197">
        <f>IF(B1197="","",IFERROR(INDEX(Products!$B:$B,MATCH(B1197,Products!$A:$A,0)),"SKU not found"))</f>
        <v/>
      </c>
    </row>
    <row r="1198">
      <c r="A1198" s="7" t="n"/>
      <c r="B1198" s="4" t="n"/>
      <c r="C1198" s="4" t="n"/>
      <c r="D1198" s="4" t="n"/>
      <c r="E1198" s="4" t="n"/>
      <c r="F1198" s="4" t="n"/>
      <c r="G1198">
        <f>IF(B1198="","",IFERROR(INDEX(Products!$B:$B,MATCH(B1198,Products!$A:$A,0)),"SKU not found"))</f>
        <v/>
      </c>
    </row>
    <row r="1199">
      <c r="A1199" s="7" t="n"/>
      <c r="B1199" s="4" t="n"/>
      <c r="C1199" s="4" t="n"/>
      <c r="D1199" s="4" t="n"/>
      <c r="E1199" s="4" t="n"/>
      <c r="F1199" s="4" t="n"/>
      <c r="G1199">
        <f>IF(B1199="","",IFERROR(INDEX(Products!$B:$B,MATCH(B1199,Products!$A:$A,0)),"SKU not found"))</f>
        <v/>
      </c>
    </row>
    <row r="1200">
      <c r="A1200" s="7" t="n"/>
      <c r="B1200" s="4" t="n"/>
      <c r="C1200" s="4" t="n"/>
      <c r="D1200" s="4" t="n"/>
      <c r="E1200" s="4" t="n"/>
      <c r="F1200" s="4" t="n"/>
      <c r="G1200">
        <f>IF(B1200="","",IFERROR(INDEX(Products!$B:$B,MATCH(B1200,Products!$A:$A,0)),"SKU not found"))</f>
        <v/>
      </c>
    </row>
    <row r="1201">
      <c r="A1201" s="7" t="n"/>
      <c r="B1201" s="4" t="n"/>
      <c r="C1201" s="4" t="n"/>
      <c r="D1201" s="4" t="n"/>
      <c r="E1201" s="4" t="n"/>
      <c r="F1201" s="4" t="n"/>
      <c r="G1201">
        <f>IF(B1201="","",IFERROR(INDEX(Products!$B:$B,MATCH(B1201,Products!$A:$A,0)),"SKU not found"))</f>
        <v/>
      </c>
    </row>
    <row r="1202">
      <c r="A1202" s="7" t="n"/>
      <c r="B1202" s="4" t="n"/>
      <c r="C1202" s="4" t="n"/>
      <c r="D1202" s="4" t="n"/>
      <c r="E1202" s="4" t="n"/>
      <c r="F1202" s="4" t="n"/>
      <c r="G1202">
        <f>IF(B1202="","",IFERROR(INDEX(Products!$B:$B,MATCH(B1202,Products!$A:$A,0)),"SKU not found"))</f>
        <v/>
      </c>
    </row>
    <row r="1203">
      <c r="A1203" s="7" t="n"/>
      <c r="B1203" s="4" t="n"/>
      <c r="C1203" s="4" t="n"/>
      <c r="D1203" s="4" t="n"/>
      <c r="E1203" s="4" t="n"/>
      <c r="F1203" s="4" t="n"/>
      <c r="G1203">
        <f>IF(B1203="","",IFERROR(INDEX(Products!$B:$B,MATCH(B1203,Products!$A:$A,0)),"SKU not found"))</f>
        <v/>
      </c>
    </row>
    <row r="1204">
      <c r="A1204" s="7" t="n"/>
      <c r="B1204" s="4" t="n"/>
      <c r="C1204" s="4" t="n"/>
      <c r="D1204" s="4" t="n"/>
      <c r="E1204" s="4" t="n"/>
      <c r="F1204" s="4" t="n"/>
      <c r="G1204">
        <f>IF(B1204="","",IFERROR(INDEX(Products!$B:$B,MATCH(B1204,Products!$A:$A,0)),"SKU not found"))</f>
        <v/>
      </c>
    </row>
    <row r="1205">
      <c r="A1205" s="7" t="n"/>
      <c r="B1205" s="4" t="n"/>
      <c r="C1205" s="4" t="n"/>
      <c r="D1205" s="4" t="n"/>
      <c r="E1205" s="4" t="n"/>
      <c r="F1205" s="4" t="n"/>
      <c r="G1205">
        <f>IF(B1205="","",IFERROR(INDEX(Products!$B:$B,MATCH(B1205,Products!$A:$A,0)),"SKU not found"))</f>
        <v/>
      </c>
    </row>
    <row r="1206">
      <c r="A1206" s="7" t="n"/>
      <c r="B1206" s="4" t="n"/>
      <c r="C1206" s="4" t="n"/>
      <c r="D1206" s="4" t="n"/>
      <c r="E1206" s="4" t="n"/>
      <c r="F1206" s="4" t="n"/>
      <c r="G1206">
        <f>IF(B1206="","",IFERROR(INDEX(Products!$B:$B,MATCH(B1206,Products!$A:$A,0)),"SKU not found"))</f>
        <v/>
      </c>
    </row>
    <row r="1207">
      <c r="A1207" s="7" t="n"/>
      <c r="B1207" s="4" t="n"/>
      <c r="C1207" s="4" t="n"/>
      <c r="D1207" s="4" t="n"/>
      <c r="E1207" s="4" t="n"/>
      <c r="F1207" s="4" t="n"/>
      <c r="G1207">
        <f>IF(B1207="","",IFERROR(INDEX(Products!$B:$B,MATCH(B1207,Products!$A:$A,0)),"SKU not found"))</f>
        <v/>
      </c>
    </row>
    <row r="1208">
      <c r="A1208" s="7" t="n"/>
      <c r="B1208" s="4" t="n"/>
      <c r="C1208" s="4" t="n"/>
      <c r="D1208" s="4" t="n"/>
      <c r="E1208" s="4" t="n"/>
      <c r="F1208" s="4" t="n"/>
      <c r="G1208">
        <f>IF(B1208="","",IFERROR(INDEX(Products!$B:$B,MATCH(B1208,Products!$A:$A,0)),"SKU not found"))</f>
        <v/>
      </c>
    </row>
    <row r="1209">
      <c r="A1209" s="7" t="n"/>
      <c r="B1209" s="4" t="n"/>
      <c r="C1209" s="4" t="n"/>
      <c r="D1209" s="4" t="n"/>
      <c r="E1209" s="4" t="n"/>
      <c r="F1209" s="4" t="n"/>
      <c r="G1209">
        <f>IF(B1209="","",IFERROR(INDEX(Products!$B:$B,MATCH(B1209,Products!$A:$A,0)),"SKU not found"))</f>
        <v/>
      </c>
    </row>
    <row r="1210">
      <c r="A1210" s="7" t="n"/>
      <c r="B1210" s="4" t="n"/>
      <c r="C1210" s="4" t="n"/>
      <c r="D1210" s="4" t="n"/>
      <c r="E1210" s="4" t="n"/>
      <c r="F1210" s="4" t="n"/>
      <c r="G1210">
        <f>IF(B1210="","",IFERROR(INDEX(Products!$B:$B,MATCH(B1210,Products!$A:$A,0)),"SKU not found"))</f>
        <v/>
      </c>
    </row>
    <row r="1211">
      <c r="A1211" s="7" t="n"/>
      <c r="B1211" s="4" t="n"/>
      <c r="C1211" s="4" t="n"/>
      <c r="D1211" s="4" t="n"/>
      <c r="E1211" s="4" t="n"/>
      <c r="F1211" s="4" t="n"/>
      <c r="G1211">
        <f>IF(B1211="","",IFERROR(INDEX(Products!$B:$B,MATCH(B1211,Products!$A:$A,0)),"SKU not found"))</f>
        <v/>
      </c>
    </row>
    <row r="1212">
      <c r="A1212" s="7" t="n"/>
      <c r="B1212" s="4" t="n"/>
      <c r="C1212" s="4" t="n"/>
      <c r="D1212" s="4" t="n"/>
      <c r="E1212" s="4" t="n"/>
      <c r="F1212" s="4" t="n"/>
      <c r="G1212">
        <f>IF(B1212="","",IFERROR(INDEX(Products!$B:$B,MATCH(B1212,Products!$A:$A,0)),"SKU not found"))</f>
        <v/>
      </c>
    </row>
    <row r="1213">
      <c r="A1213" s="7" t="n"/>
      <c r="B1213" s="4" t="n"/>
      <c r="C1213" s="4" t="n"/>
      <c r="D1213" s="4" t="n"/>
      <c r="E1213" s="4" t="n"/>
      <c r="F1213" s="4" t="n"/>
      <c r="G1213">
        <f>IF(B1213="","",IFERROR(INDEX(Products!$B:$B,MATCH(B1213,Products!$A:$A,0)),"SKU not found"))</f>
        <v/>
      </c>
    </row>
    <row r="1214">
      <c r="A1214" s="7" t="n"/>
      <c r="B1214" s="4" t="n"/>
      <c r="C1214" s="4" t="n"/>
      <c r="D1214" s="4" t="n"/>
      <c r="E1214" s="4" t="n"/>
      <c r="F1214" s="4" t="n"/>
      <c r="G1214">
        <f>IF(B1214="","",IFERROR(INDEX(Products!$B:$B,MATCH(B1214,Products!$A:$A,0)),"SKU not found"))</f>
        <v/>
      </c>
    </row>
    <row r="1215">
      <c r="A1215" s="7" t="n"/>
      <c r="B1215" s="4" t="n"/>
      <c r="C1215" s="4" t="n"/>
      <c r="D1215" s="4" t="n"/>
      <c r="E1215" s="4" t="n"/>
      <c r="F1215" s="4" t="n"/>
      <c r="G1215">
        <f>IF(B1215="","",IFERROR(INDEX(Products!$B:$B,MATCH(B1215,Products!$A:$A,0)),"SKU not found"))</f>
        <v/>
      </c>
    </row>
    <row r="1216">
      <c r="A1216" s="7" t="n"/>
      <c r="B1216" s="4" t="n"/>
      <c r="C1216" s="4" t="n"/>
      <c r="D1216" s="4" t="n"/>
      <c r="E1216" s="4" t="n"/>
      <c r="F1216" s="4" t="n"/>
      <c r="G1216">
        <f>IF(B1216="","",IFERROR(INDEX(Products!$B:$B,MATCH(B1216,Products!$A:$A,0)),"SKU not found"))</f>
        <v/>
      </c>
    </row>
    <row r="1217">
      <c r="A1217" s="7" t="n"/>
      <c r="B1217" s="4" t="n"/>
      <c r="C1217" s="4" t="n"/>
      <c r="D1217" s="4" t="n"/>
      <c r="E1217" s="4" t="n"/>
      <c r="F1217" s="4" t="n"/>
      <c r="G1217">
        <f>IF(B1217="","",IFERROR(INDEX(Products!$B:$B,MATCH(B1217,Products!$A:$A,0)),"SKU not found"))</f>
        <v/>
      </c>
    </row>
    <row r="1218">
      <c r="A1218" s="7" t="n"/>
      <c r="B1218" s="4" t="n"/>
      <c r="C1218" s="4" t="n"/>
      <c r="D1218" s="4" t="n"/>
      <c r="E1218" s="4" t="n"/>
      <c r="F1218" s="4" t="n"/>
      <c r="G1218">
        <f>IF(B1218="","",IFERROR(INDEX(Products!$B:$B,MATCH(B1218,Products!$A:$A,0)),"SKU not found"))</f>
        <v/>
      </c>
    </row>
    <row r="1219">
      <c r="A1219" s="7" t="n"/>
      <c r="B1219" s="4" t="n"/>
      <c r="C1219" s="4" t="n"/>
      <c r="D1219" s="4" t="n"/>
      <c r="E1219" s="4" t="n"/>
      <c r="F1219" s="4" t="n"/>
      <c r="G1219">
        <f>IF(B1219="","",IFERROR(INDEX(Products!$B:$B,MATCH(B1219,Products!$A:$A,0)),"SKU not found"))</f>
        <v/>
      </c>
    </row>
    <row r="1220">
      <c r="A1220" s="7" t="n"/>
      <c r="B1220" s="4" t="n"/>
      <c r="C1220" s="4" t="n"/>
      <c r="D1220" s="4" t="n"/>
      <c r="E1220" s="4" t="n"/>
      <c r="F1220" s="4" t="n"/>
      <c r="G1220">
        <f>IF(B1220="","",IFERROR(INDEX(Products!$B:$B,MATCH(B1220,Products!$A:$A,0)),"SKU not found"))</f>
        <v/>
      </c>
    </row>
    <row r="1221">
      <c r="A1221" s="7" t="n"/>
      <c r="B1221" s="4" t="n"/>
      <c r="C1221" s="4" t="n"/>
      <c r="D1221" s="4" t="n"/>
      <c r="E1221" s="4" t="n"/>
      <c r="F1221" s="4" t="n"/>
      <c r="G1221">
        <f>IF(B1221="","",IFERROR(INDEX(Products!$B:$B,MATCH(B1221,Products!$A:$A,0)),"SKU not found"))</f>
        <v/>
      </c>
    </row>
    <row r="1222">
      <c r="A1222" s="7" t="n"/>
      <c r="B1222" s="4" t="n"/>
      <c r="C1222" s="4" t="n"/>
      <c r="D1222" s="4" t="n"/>
      <c r="E1222" s="4" t="n"/>
      <c r="F1222" s="4" t="n"/>
      <c r="G1222">
        <f>IF(B1222="","",IFERROR(INDEX(Products!$B:$B,MATCH(B1222,Products!$A:$A,0)),"SKU not found"))</f>
        <v/>
      </c>
    </row>
    <row r="1223">
      <c r="A1223" s="7" t="n"/>
      <c r="B1223" s="4" t="n"/>
      <c r="C1223" s="4" t="n"/>
      <c r="D1223" s="4" t="n"/>
      <c r="E1223" s="4" t="n"/>
      <c r="F1223" s="4" t="n"/>
      <c r="G1223">
        <f>IF(B1223="","",IFERROR(INDEX(Products!$B:$B,MATCH(B1223,Products!$A:$A,0)),"SKU not found"))</f>
        <v/>
      </c>
    </row>
    <row r="1224">
      <c r="A1224" s="7" t="n"/>
      <c r="B1224" s="4" t="n"/>
      <c r="C1224" s="4" t="n"/>
      <c r="D1224" s="4" t="n"/>
      <c r="E1224" s="4" t="n"/>
      <c r="F1224" s="4" t="n"/>
      <c r="G1224">
        <f>IF(B1224="","",IFERROR(INDEX(Products!$B:$B,MATCH(B1224,Products!$A:$A,0)),"SKU not found"))</f>
        <v/>
      </c>
    </row>
    <row r="1225">
      <c r="A1225" s="7" t="n"/>
      <c r="B1225" s="4" t="n"/>
      <c r="C1225" s="4" t="n"/>
      <c r="D1225" s="4" t="n"/>
      <c r="E1225" s="4" t="n"/>
      <c r="F1225" s="4" t="n"/>
      <c r="G1225">
        <f>IF(B1225="","",IFERROR(INDEX(Products!$B:$B,MATCH(B1225,Products!$A:$A,0)),"SKU not found"))</f>
        <v/>
      </c>
    </row>
    <row r="1226">
      <c r="A1226" s="7" t="n"/>
      <c r="B1226" s="4" t="n"/>
      <c r="C1226" s="4" t="n"/>
      <c r="D1226" s="4" t="n"/>
      <c r="E1226" s="4" t="n"/>
      <c r="F1226" s="4" t="n"/>
      <c r="G1226">
        <f>IF(B1226="","",IFERROR(INDEX(Products!$B:$B,MATCH(B1226,Products!$A:$A,0)),"SKU not found"))</f>
        <v/>
      </c>
    </row>
    <row r="1227">
      <c r="A1227" s="7" t="n"/>
      <c r="B1227" s="4" t="n"/>
      <c r="C1227" s="4" t="n"/>
      <c r="D1227" s="4" t="n"/>
      <c r="E1227" s="4" t="n"/>
      <c r="F1227" s="4" t="n"/>
      <c r="G1227">
        <f>IF(B1227="","",IFERROR(INDEX(Products!$B:$B,MATCH(B1227,Products!$A:$A,0)),"SKU not found"))</f>
        <v/>
      </c>
    </row>
    <row r="1228">
      <c r="A1228" s="7" t="n"/>
      <c r="B1228" s="4" t="n"/>
      <c r="C1228" s="4" t="n"/>
      <c r="D1228" s="4" t="n"/>
      <c r="E1228" s="4" t="n"/>
      <c r="F1228" s="4" t="n"/>
      <c r="G1228">
        <f>IF(B1228="","",IFERROR(INDEX(Products!$B:$B,MATCH(B1228,Products!$A:$A,0)),"SKU not found"))</f>
        <v/>
      </c>
    </row>
    <row r="1229">
      <c r="A1229" s="7" t="n"/>
      <c r="B1229" s="4" t="n"/>
      <c r="C1229" s="4" t="n"/>
      <c r="D1229" s="4" t="n"/>
      <c r="E1229" s="4" t="n"/>
      <c r="F1229" s="4" t="n"/>
      <c r="G1229">
        <f>IF(B1229="","",IFERROR(INDEX(Products!$B:$B,MATCH(B1229,Products!$A:$A,0)),"SKU not found"))</f>
        <v/>
      </c>
    </row>
    <row r="1230">
      <c r="A1230" s="7" t="n"/>
      <c r="B1230" s="4" t="n"/>
      <c r="C1230" s="4" t="n"/>
      <c r="D1230" s="4" t="n"/>
      <c r="E1230" s="4" t="n"/>
      <c r="F1230" s="4" t="n"/>
      <c r="G1230">
        <f>IF(B1230="","",IFERROR(INDEX(Products!$B:$B,MATCH(B1230,Products!$A:$A,0)),"SKU not found"))</f>
        <v/>
      </c>
    </row>
    <row r="1231">
      <c r="A1231" s="7" t="n"/>
      <c r="B1231" s="4" t="n"/>
      <c r="C1231" s="4" t="n"/>
      <c r="D1231" s="4" t="n"/>
      <c r="E1231" s="4" t="n"/>
      <c r="F1231" s="4" t="n"/>
      <c r="G1231">
        <f>IF(B1231="","",IFERROR(INDEX(Products!$B:$B,MATCH(B1231,Products!$A:$A,0)),"SKU not found"))</f>
        <v/>
      </c>
    </row>
    <row r="1232">
      <c r="A1232" s="7" t="n"/>
      <c r="B1232" s="4" t="n"/>
      <c r="C1232" s="4" t="n"/>
      <c r="D1232" s="4" t="n"/>
      <c r="E1232" s="4" t="n"/>
      <c r="F1232" s="4" t="n"/>
      <c r="G1232">
        <f>IF(B1232="","",IFERROR(INDEX(Products!$B:$B,MATCH(B1232,Products!$A:$A,0)),"SKU not found"))</f>
        <v/>
      </c>
    </row>
    <row r="1233">
      <c r="A1233" s="7" t="n"/>
      <c r="B1233" s="4" t="n"/>
      <c r="C1233" s="4" t="n"/>
      <c r="D1233" s="4" t="n"/>
      <c r="E1233" s="4" t="n"/>
      <c r="F1233" s="4" t="n"/>
      <c r="G1233">
        <f>IF(B1233="","",IFERROR(INDEX(Products!$B:$B,MATCH(B1233,Products!$A:$A,0)),"SKU not found"))</f>
        <v/>
      </c>
    </row>
    <row r="1234">
      <c r="A1234" s="7" t="n"/>
      <c r="B1234" s="4" t="n"/>
      <c r="C1234" s="4" t="n"/>
      <c r="D1234" s="4" t="n"/>
      <c r="E1234" s="4" t="n"/>
      <c r="F1234" s="4" t="n"/>
      <c r="G1234">
        <f>IF(B1234="","",IFERROR(INDEX(Products!$B:$B,MATCH(B1234,Products!$A:$A,0)),"SKU not found"))</f>
        <v/>
      </c>
    </row>
    <row r="1235">
      <c r="A1235" s="7" t="n"/>
      <c r="B1235" s="4" t="n"/>
      <c r="C1235" s="4" t="n"/>
      <c r="D1235" s="4" t="n"/>
      <c r="E1235" s="4" t="n"/>
      <c r="F1235" s="4" t="n"/>
      <c r="G1235">
        <f>IF(B1235="","",IFERROR(INDEX(Products!$B:$B,MATCH(B1235,Products!$A:$A,0)),"SKU not found"))</f>
        <v/>
      </c>
    </row>
    <row r="1236">
      <c r="A1236" s="7" t="n"/>
      <c r="B1236" s="4" t="n"/>
      <c r="C1236" s="4" t="n"/>
      <c r="D1236" s="4" t="n"/>
      <c r="E1236" s="4" t="n"/>
      <c r="F1236" s="4" t="n"/>
      <c r="G1236">
        <f>IF(B1236="","",IFERROR(INDEX(Products!$B:$B,MATCH(B1236,Products!$A:$A,0)),"SKU not found"))</f>
        <v/>
      </c>
    </row>
    <row r="1237">
      <c r="A1237" s="7" t="n"/>
      <c r="B1237" s="4" t="n"/>
      <c r="C1237" s="4" t="n"/>
      <c r="D1237" s="4" t="n"/>
      <c r="E1237" s="4" t="n"/>
      <c r="F1237" s="4" t="n"/>
      <c r="G1237">
        <f>IF(B1237="","",IFERROR(INDEX(Products!$B:$B,MATCH(B1237,Products!$A:$A,0)),"SKU not found"))</f>
        <v/>
      </c>
    </row>
    <row r="1238">
      <c r="A1238" s="7" t="n"/>
      <c r="B1238" s="4" t="n"/>
      <c r="C1238" s="4" t="n"/>
      <c r="D1238" s="4" t="n"/>
      <c r="E1238" s="4" t="n"/>
      <c r="F1238" s="4" t="n"/>
      <c r="G1238">
        <f>IF(B1238="","",IFERROR(INDEX(Products!$B:$B,MATCH(B1238,Products!$A:$A,0)),"SKU not found"))</f>
        <v/>
      </c>
    </row>
    <row r="1239">
      <c r="A1239" s="7" t="n"/>
      <c r="B1239" s="4" t="n"/>
      <c r="C1239" s="4" t="n"/>
      <c r="D1239" s="4" t="n"/>
      <c r="E1239" s="4" t="n"/>
      <c r="F1239" s="4" t="n"/>
      <c r="G1239">
        <f>IF(B1239="","",IFERROR(INDEX(Products!$B:$B,MATCH(B1239,Products!$A:$A,0)),"SKU not found"))</f>
        <v/>
      </c>
    </row>
    <row r="1240">
      <c r="A1240" s="7" t="n"/>
      <c r="B1240" s="4" t="n"/>
      <c r="C1240" s="4" t="n"/>
      <c r="D1240" s="4" t="n"/>
      <c r="E1240" s="4" t="n"/>
      <c r="F1240" s="4" t="n"/>
      <c r="G1240">
        <f>IF(B1240="","",IFERROR(INDEX(Products!$B:$B,MATCH(B1240,Products!$A:$A,0)),"SKU not found"))</f>
        <v/>
      </c>
    </row>
    <row r="1241">
      <c r="A1241" s="7" t="n"/>
      <c r="B1241" s="4" t="n"/>
      <c r="C1241" s="4" t="n"/>
      <c r="D1241" s="4" t="n"/>
      <c r="E1241" s="4" t="n"/>
      <c r="F1241" s="4" t="n"/>
      <c r="G1241">
        <f>IF(B1241="","",IFERROR(INDEX(Products!$B:$B,MATCH(B1241,Products!$A:$A,0)),"SKU not found"))</f>
        <v/>
      </c>
    </row>
    <row r="1242">
      <c r="A1242" s="7" t="n"/>
      <c r="B1242" s="4" t="n"/>
      <c r="C1242" s="4" t="n"/>
      <c r="D1242" s="4" t="n"/>
      <c r="E1242" s="4" t="n"/>
      <c r="F1242" s="4" t="n"/>
      <c r="G1242">
        <f>IF(B1242="","",IFERROR(INDEX(Products!$B:$B,MATCH(B1242,Products!$A:$A,0)),"SKU not found"))</f>
        <v/>
      </c>
    </row>
    <row r="1243">
      <c r="A1243" s="7" t="n"/>
      <c r="B1243" s="4" t="n"/>
      <c r="C1243" s="4" t="n"/>
      <c r="D1243" s="4" t="n"/>
      <c r="E1243" s="4" t="n"/>
      <c r="F1243" s="4" t="n"/>
      <c r="G1243">
        <f>IF(B1243="","",IFERROR(INDEX(Products!$B:$B,MATCH(B1243,Products!$A:$A,0)),"SKU not found"))</f>
        <v/>
      </c>
    </row>
    <row r="1244">
      <c r="A1244" s="7" t="n"/>
      <c r="B1244" s="4" t="n"/>
      <c r="C1244" s="4" t="n"/>
      <c r="D1244" s="4" t="n"/>
      <c r="E1244" s="4" t="n"/>
      <c r="F1244" s="4" t="n"/>
      <c r="G1244">
        <f>IF(B1244="","",IFERROR(INDEX(Products!$B:$B,MATCH(B1244,Products!$A:$A,0)),"SKU not found"))</f>
        <v/>
      </c>
    </row>
    <row r="1245">
      <c r="A1245" s="7" t="n"/>
      <c r="B1245" s="4" t="n"/>
      <c r="C1245" s="4" t="n"/>
      <c r="D1245" s="4" t="n"/>
      <c r="E1245" s="4" t="n"/>
      <c r="F1245" s="4" t="n"/>
      <c r="G1245">
        <f>IF(B1245="","",IFERROR(INDEX(Products!$B:$B,MATCH(B1245,Products!$A:$A,0)),"SKU not found"))</f>
        <v/>
      </c>
    </row>
    <row r="1246">
      <c r="A1246" s="7" t="n"/>
      <c r="B1246" s="4" t="n"/>
      <c r="C1246" s="4" t="n"/>
      <c r="D1246" s="4" t="n"/>
      <c r="E1246" s="4" t="n"/>
      <c r="F1246" s="4" t="n"/>
      <c r="G1246">
        <f>IF(B1246="","",IFERROR(INDEX(Products!$B:$B,MATCH(B1246,Products!$A:$A,0)),"SKU not found"))</f>
        <v/>
      </c>
    </row>
    <row r="1247">
      <c r="A1247" s="7" t="n"/>
      <c r="B1247" s="4" t="n"/>
      <c r="C1247" s="4" t="n"/>
      <c r="D1247" s="4" t="n"/>
      <c r="E1247" s="4" t="n"/>
      <c r="F1247" s="4" t="n"/>
      <c r="G1247">
        <f>IF(B1247="","",IFERROR(INDEX(Products!$B:$B,MATCH(B1247,Products!$A:$A,0)),"SKU not found"))</f>
        <v/>
      </c>
    </row>
    <row r="1248">
      <c r="A1248" s="7" t="n"/>
      <c r="B1248" s="4" t="n"/>
      <c r="C1248" s="4" t="n"/>
      <c r="D1248" s="4" t="n"/>
      <c r="E1248" s="4" t="n"/>
      <c r="F1248" s="4" t="n"/>
      <c r="G1248">
        <f>IF(B1248="","",IFERROR(INDEX(Products!$B:$B,MATCH(B1248,Products!$A:$A,0)),"SKU not found"))</f>
        <v/>
      </c>
    </row>
    <row r="1249">
      <c r="A1249" s="7" t="n"/>
      <c r="B1249" s="4" t="n"/>
      <c r="C1249" s="4" t="n"/>
      <c r="D1249" s="4" t="n"/>
      <c r="E1249" s="4" t="n"/>
      <c r="F1249" s="4" t="n"/>
      <c r="G1249">
        <f>IF(B1249="","",IFERROR(INDEX(Products!$B:$B,MATCH(B1249,Products!$A:$A,0)),"SKU not found"))</f>
        <v/>
      </c>
    </row>
    <row r="1250">
      <c r="A1250" s="7" t="n"/>
      <c r="B1250" s="4" t="n"/>
      <c r="C1250" s="4" t="n"/>
      <c r="D1250" s="4" t="n"/>
      <c r="E1250" s="4" t="n"/>
      <c r="F1250" s="4" t="n"/>
      <c r="G1250">
        <f>IF(B1250="","",IFERROR(INDEX(Products!$B:$B,MATCH(B1250,Products!$A:$A,0)),"SKU not found"))</f>
        <v/>
      </c>
    </row>
    <row r="1251">
      <c r="A1251" s="7" t="n"/>
      <c r="B1251" s="4" t="n"/>
      <c r="C1251" s="4" t="n"/>
      <c r="D1251" s="4" t="n"/>
      <c r="E1251" s="4" t="n"/>
      <c r="F1251" s="4" t="n"/>
      <c r="G1251">
        <f>IF(B1251="","",IFERROR(INDEX(Products!$B:$B,MATCH(B1251,Products!$A:$A,0)),"SKU not found"))</f>
        <v/>
      </c>
    </row>
    <row r="1252">
      <c r="A1252" s="7" t="n"/>
      <c r="B1252" s="4" t="n"/>
      <c r="C1252" s="4" t="n"/>
      <c r="D1252" s="4" t="n"/>
      <c r="E1252" s="4" t="n"/>
      <c r="F1252" s="4" t="n"/>
      <c r="G1252">
        <f>IF(B1252="","",IFERROR(INDEX(Products!$B:$B,MATCH(B1252,Products!$A:$A,0)),"SKU not found"))</f>
        <v/>
      </c>
    </row>
    <row r="1253">
      <c r="A1253" s="7" t="n"/>
      <c r="B1253" s="4" t="n"/>
      <c r="C1253" s="4" t="n"/>
      <c r="D1253" s="4" t="n"/>
      <c r="E1253" s="4" t="n"/>
      <c r="F1253" s="4" t="n"/>
      <c r="G1253">
        <f>IF(B1253="","",IFERROR(INDEX(Products!$B:$B,MATCH(B1253,Products!$A:$A,0)),"SKU not found"))</f>
        <v/>
      </c>
    </row>
    <row r="1254">
      <c r="A1254" s="7" t="n"/>
      <c r="B1254" s="4" t="n"/>
      <c r="C1254" s="4" t="n"/>
      <c r="D1254" s="4" t="n"/>
      <c r="E1254" s="4" t="n"/>
      <c r="F1254" s="4" t="n"/>
      <c r="G1254">
        <f>IF(B1254="","",IFERROR(INDEX(Products!$B:$B,MATCH(B1254,Products!$A:$A,0)),"SKU not found"))</f>
        <v/>
      </c>
    </row>
    <row r="1255">
      <c r="A1255" s="7" t="n"/>
      <c r="B1255" s="4" t="n"/>
      <c r="C1255" s="4" t="n"/>
      <c r="D1255" s="4" t="n"/>
      <c r="E1255" s="4" t="n"/>
      <c r="F1255" s="4" t="n"/>
      <c r="G1255">
        <f>IF(B1255="","",IFERROR(INDEX(Products!$B:$B,MATCH(B1255,Products!$A:$A,0)),"SKU not found"))</f>
        <v/>
      </c>
    </row>
    <row r="1256">
      <c r="A1256" s="7" t="n"/>
      <c r="B1256" s="4" t="n"/>
      <c r="C1256" s="4" t="n"/>
      <c r="D1256" s="4" t="n"/>
      <c r="E1256" s="4" t="n"/>
      <c r="F1256" s="4" t="n"/>
      <c r="G1256">
        <f>IF(B1256="","",IFERROR(INDEX(Products!$B:$B,MATCH(B1256,Products!$A:$A,0)),"SKU not found"))</f>
        <v/>
      </c>
    </row>
    <row r="1257">
      <c r="A1257" s="7" t="n"/>
      <c r="B1257" s="4" t="n"/>
      <c r="C1257" s="4" t="n"/>
      <c r="D1257" s="4" t="n"/>
      <c r="E1257" s="4" t="n"/>
      <c r="F1257" s="4" t="n"/>
      <c r="G1257">
        <f>IF(B1257="","",IFERROR(INDEX(Products!$B:$B,MATCH(B1257,Products!$A:$A,0)),"SKU not found"))</f>
        <v/>
      </c>
    </row>
    <row r="1258">
      <c r="A1258" s="7" t="n"/>
      <c r="B1258" s="4" t="n"/>
      <c r="C1258" s="4" t="n"/>
      <c r="D1258" s="4" t="n"/>
      <c r="E1258" s="4" t="n"/>
      <c r="F1258" s="4" t="n"/>
      <c r="G1258">
        <f>IF(B1258="","",IFERROR(INDEX(Products!$B:$B,MATCH(B1258,Products!$A:$A,0)),"SKU not found"))</f>
        <v/>
      </c>
    </row>
    <row r="1259">
      <c r="A1259" s="7" t="n"/>
      <c r="B1259" s="4" t="n"/>
      <c r="C1259" s="4" t="n"/>
      <c r="D1259" s="4" t="n"/>
      <c r="E1259" s="4" t="n"/>
      <c r="F1259" s="4" t="n"/>
      <c r="G1259">
        <f>IF(B1259="","",IFERROR(INDEX(Products!$B:$B,MATCH(B1259,Products!$A:$A,0)),"SKU not found"))</f>
        <v/>
      </c>
    </row>
    <row r="1260">
      <c r="A1260" s="7" t="n"/>
      <c r="B1260" s="4" t="n"/>
      <c r="C1260" s="4" t="n"/>
      <c r="D1260" s="4" t="n"/>
      <c r="E1260" s="4" t="n"/>
      <c r="F1260" s="4" t="n"/>
      <c r="G1260">
        <f>IF(B1260="","",IFERROR(INDEX(Products!$B:$B,MATCH(B1260,Products!$A:$A,0)),"SKU not found"))</f>
        <v/>
      </c>
    </row>
    <row r="1261">
      <c r="A1261" s="7" t="n"/>
      <c r="B1261" s="4" t="n"/>
      <c r="C1261" s="4" t="n"/>
      <c r="D1261" s="4" t="n"/>
      <c r="E1261" s="4" t="n"/>
      <c r="F1261" s="4" t="n"/>
      <c r="G1261">
        <f>IF(B1261="","",IFERROR(INDEX(Products!$B:$B,MATCH(B1261,Products!$A:$A,0)),"SKU not found"))</f>
        <v/>
      </c>
    </row>
    <row r="1262">
      <c r="A1262" s="7" t="n"/>
      <c r="B1262" s="4" t="n"/>
      <c r="C1262" s="4" t="n"/>
      <c r="D1262" s="4" t="n"/>
      <c r="E1262" s="4" t="n"/>
      <c r="F1262" s="4" t="n"/>
      <c r="G1262">
        <f>IF(B1262="","",IFERROR(INDEX(Products!$B:$B,MATCH(B1262,Products!$A:$A,0)),"SKU not found"))</f>
        <v/>
      </c>
    </row>
    <row r="1263">
      <c r="A1263" s="7" t="n"/>
      <c r="B1263" s="4" t="n"/>
      <c r="C1263" s="4" t="n"/>
      <c r="D1263" s="4" t="n"/>
      <c r="E1263" s="4" t="n"/>
      <c r="F1263" s="4" t="n"/>
      <c r="G1263">
        <f>IF(B1263="","",IFERROR(INDEX(Products!$B:$B,MATCH(B1263,Products!$A:$A,0)),"SKU not found"))</f>
        <v/>
      </c>
    </row>
    <row r="1264">
      <c r="A1264" s="7" t="n"/>
      <c r="B1264" s="4" t="n"/>
      <c r="C1264" s="4" t="n"/>
      <c r="D1264" s="4" t="n"/>
      <c r="E1264" s="4" t="n"/>
      <c r="F1264" s="4" t="n"/>
      <c r="G1264">
        <f>IF(B1264="","",IFERROR(INDEX(Products!$B:$B,MATCH(B1264,Products!$A:$A,0)),"SKU not found"))</f>
        <v/>
      </c>
    </row>
    <row r="1265">
      <c r="A1265" s="7" t="n"/>
      <c r="B1265" s="4" t="n"/>
      <c r="C1265" s="4" t="n"/>
      <c r="D1265" s="4" t="n"/>
      <c r="E1265" s="4" t="n"/>
      <c r="F1265" s="4" t="n"/>
      <c r="G1265">
        <f>IF(B1265="","",IFERROR(INDEX(Products!$B:$B,MATCH(B1265,Products!$A:$A,0)),"SKU not found"))</f>
        <v/>
      </c>
    </row>
    <row r="1266">
      <c r="A1266" s="7" t="n"/>
      <c r="B1266" s="4" t="n"/>
      <c r="C1266" s="4" t="n"/>
      <c r="D1266" s="4" t="n"/>
      <c r="E1266" s="4" t="n"/>
      <c r="F1266" s="4" t="n"/>
      <c r="G1266">
        <f>IF(B1266="","",IFERROR(INDEX(Products!$B:$B,MATCH(B1266,Products!$A:$A,0)),"SKU not found"))</f>
        <v/>
      </c>
    </row>
    <row r="1267">
      <c r="A1267" s="7" t="n"/>
      <c r="B1267" s="4" t="n"/>
      <c r="C1267" s="4" t="n"/>
      <c r="D1267" s="4" t="n"/>
      <c r="E1267" s="4" t="n"/>
      <c r="F1267" s="4" t="n"/>
      <c r="G1267">
        <f>IF(B1267="","",IFERROR(INDEX(Products!$B:$B,MATCH(B1267,Products!$A:$A,0)),"SKU not found"))</f>
        <v/>
      </c>
    </row>
    <row r="1268">
      <c r="A1268" s="7" t="n"/>
      <c r="B1268" s="4" t="n"/>
      <c r="C1268" s="4" t="n"/>
      <c r="D1268" s="4" t="n"/>
      <c r="E1268" s="4" t="n"/>
      <c r="F1268" s="4" t="n"/>
      <c r="G1268">
        <f>IF(B1268="","",IFERROR(INDEX(Products!$B:$B,MATCH(B1268,Products!$A:$A,0)),"SKU not found"))</f>
        <v/>
      </c>
    </row>
    <row r="1269">
      <c r="A1269" s="7" t="n"/>
      <c r="B1269" s="4" t="n"/>
      <c r="C1269" s="4" t="n"/>
      <c r="D1269" s="4" t="n"/>
      <c r="E1269" s="4" t="n"/>
      <c r="F1269" s="4" t="n"/>
      <c r="G1269">
        <f>IF(B1269="","",IFERROR(INDEX(Products!$B:$B,MATCH(B1269,Products!$A:$A,0)),"SKU not found"))</f>
        <v/>
      </c>
    </row>
    <row r="1270">
      <c r="A1270" s="7" t="n"/>
      <c r="B1270" s="4" t="n"/>
      <c r="C1270" s="4" t="n"/>
      <c r="D1270" s="4" t="n"/>
      <c r="E1270" s="4" t="n"/>
      <c r="F1270" s="4" t="n"/>
      <c r="G1270">
        <f>IF(B1270="","",IFERROR(INDEX(Products!$B:$B,MATCH(B1270,Products!$A:$A,0)),"SKU not found"))</f>
        <v/>
      </c>
    </row>
    <row r="1271">
      <c r="A1271" s="7" t="n"/>
      <c r="B1271" s="4" t="n"/>
      <c r="C1271" s="4" t="n"/>
      <c r="D1271" s="4" t="n"/>
      <c r="E1271" s="4" t="n"/>
      <c r="F1271" s="4" t="n"/>
      <c r="G1271">
        <f>IF(B1271="","",IFERROR(INDEX(Products!$B:$B,MATCH(B1271,Products!$A:$A,0)),"SKU not found"))</f>
        <v/>
      </c>
    </row>
    <row r="1272">
      <c r="A1272" s="7" t="n"/>
      <c r="B1272" s="4" t="n"/>
      <c r="C1272" s="4" t="n"/>
      <c r="D1272" s="4" t="n"/>
      <c r="E1272" s="4" t="n"/>
      <c r="F1272" s="4" t="n"/>
      <c r="G1272">
        <f>IF(B1272="","",IFERROR(INDEX(Products!$B:$B,MATCH(B1272,Products!$A:$A,0)),"SKU not found"))</f>
        <v/>
      </c>
    </row>
    <row r="1273">
      <c r="A1273" s="7" t="n"/>
      <c r="B1273" s="4" t="n"/>
      <c r="C1273" s="4" t="n"/>
      <c r="D1273" s="4" t="n"/>
      <c r="E1273" s="4" t="n"/>
      <c r="F1273" s="4" t="n"/>
      <c r="G1273">
        <f>IF(B1273="","",IFERROR(INDEX(Products!$B:$B,MATCH(B1273,Products!$A:$A,0)),"SKU not found"))</f>
        <v/>
      </c>
    </row>
    <row r="1274">
      <c r="A1274" s="7" t="n"/>
      <c r="B1274" s="4" t="n"/>
      <c r="C1274" s="4" t="n"/>
      <c r="D1274" s="4" t="n"/>
      <c r="E1274" s="4" t="n"/>
      <c r="F1274" s="4" t="n"/>
      <c r="G1274">
        <f>IF(B1274="","",IFERROR(INDEX(Products!$B:$B,MATCH(B1274,Products!$A:$A,0)),"SKU not found"))</f>
        <v/>
      </c>
    </row>
    <row r="1275">
      <c r="A1275" s="7" t="n"/>
      <c r="B1275" s="4" t="n"/>
      <c r="C1275" s="4" t="n"/>
      <c r="D1275" s="4" t="n"/>
      <c r="E1275" s="4" t="n"/>
      <c r="F1275" s="4" t="n"/>
      <c r="G1275">
        <f>IF(B1275="","",IFERROR(INDEX(Products!$B:$B,MATCH(B1275,Products!$A:$A,0)),"SKU not found"))</f>
        <v/>
      </c>
    </row>
    <row r="1276">
      <c r="A1276" s="7" t="n"/>
      <c r="B1276" s="4" t="n"/>
      <c r="C1276" s="4" t="n"/>
      <c r="D1276" s="4" t="n"/>
      <c r="E1276" s="4" t="n"/>
      <c r="F1276" s="4" t="n"/>
      <c r="G1276">
        <f>IF(B1276="","",IFERROR(INDEX(Products!$B:$B,MATCH(B1276,Products!$A:$A,0)),"SKU not found"))</f>
        <v/>
      </c>
    </row>
    <row r="1277">
      <c r="A1277" s="7" t="n"/>
      <c r="B1277" s="4" t="n"/>
      <c r="C1277" s="4" t="n"/>
      <c r="D1277" s="4" t="n"/>
      <c r="E1277" s="4" t="n"/>
      <c r="F1277" s="4" t="n"/>
      <c r="G1277">
        <f>IF(B1277="","",IFERROR(INDEX(Products!$B:$B,MATCH(B1277,Products!$A:$A,0)),"SKU not found"))</f>
        <v/>
      </c>
    </row>
    <row r="1278">
      <c r="A1278" s="7" t="n"/>
      <c r="B1278" s="4" t="n"/>
      <c r="C1278" s="4" t="n"/>
      <c r="D1278" s="4" t="n"/>
      <c r="E1278" s="4" t="n"/>
      <c r="F1278" s="4" t="n"/>
      <c r="G1278">
        <f>IF(B1278="","",IFERROR(INDEX(Products!$B:$B,MATCH(B1278,Products!$A:$A,0)),"SKU not found"))</f>
        <v/>
      </c>
    </row>
    <row r="1279">
      <c r="A1279" s="7" t="n"/>
      <c r="B1279" s="4" t="n"/>
      <c r="C1279" s="4" t="n"/>
      <c r="D1279" s="4" t="n"/>
      <c r="E1279" s="4" t="n"/>
      <c r="F1279" s="4" t="n"/>
      <c r="G1279">
        <f>IF(B1279="","",IFERROR(INDEX(Products!$B:$B,MATCH(B1279,Products!$A:$A,0)),"SKU not found"))</f>
        <v/>
      </c>
    </row>
    <row r="1280">
      <c r="A1280" s="7" t="n"/>
      <c r="B1280" s="4" t="n"/>
      <c r="C1280" s="4" t="n"/>
      <c r="D1280" s="4" t="n"/>
      <c r="E1280" s="4" t="n"/>
      <c r="F1280" s="4" t="n"/>
      <c r="G1280">
        <f>IF(B1280="","",IFERROR(INDEX(Products!$B:$B,MATCH(B1280,Products!$A:$A,0)),"SKU not found"))</f>
        <v/>
      </c>
    </row>
    <row r="1281">
      <c r="A1281" s="7" t="n"/>
      <c r="B1281" s="4" t="n"/>
      <c r="C1281" s="4" t="n"/>
      <c r="D1281" s="4" t="n"/>
      <c r="E1281" s="4" t="n"/>
      <c r="F1281" s="4" t="n"/>
      <c r="G1281">
        <f>IF(B1281="","",IFERROR(INDEX(Products!$B:$B,MATCH(B1281,Products!$A:$A,0)),"SKU not found"))</f>
        <v/>
      </c>
    </row>
    <row r="1282">
      <c r="A1282" s="7" t="n"/>
      <c r="B1282" s="4" t="n"/>
      <c r="C1282" s="4" t="n"/>
      <c r="D1282" s="4" t="n"/>
      <c r="E1282" s="4" t="n"/>
      <c r="F1282" s="4" t="n"/>
      <c r="G1282">
        <f>IF(B1282="","",IFERROR(INDEX(Products!$B:$B,MATCH(B1282,Products!$A:$A,0)),"SKU not found"))</f>
        <v/>
      </c>
    </row>
    <row r="1283">
      <c r="A1283" s="7" t="n"/>
      <c r="B1283" s="4" t="n"/>
      <c r="C1283" s="4" t="n"/>
      <c r="D1283" s="4" t="n"/>
      <c r="E1283" s="4" t="n"/>
      <c r="F1283" s="4" t="n"/>
      <c r="G1283">
        <f>IF(B1283="","",IFERROR(INDEX(Products!$B:$B,MATCH(B1283,Products!$A:$A,0)),"SKU not found"))</f>
        <v/>
      </c>
    </row>
    <row r="1284">
      <c r="A1284" s="7" t="n"/>
      <c r="B1284" s="4" t="n"/>
      <c r="C1284" s="4" t="n"/>
      <c r="D1284" s="4" t="n"/>
      <c r="E1284" s="4" t="n"/>
      <c r="F1284" s="4" t="n"/>
      <c r="G1284">
        <f>IF(B1284="","",IFERROR(INDEX(Products!$B:$B,MATCH(B1284,Products!$A:$A,0)),"SKU not found"))</f>
        <v/>
      </c>
    </row>
    <row r="1285">
      <c r="A1285" s="7" t="n"/>
      <c r="B1285" s="4" t="n"/>
      <c r="C1285" s="4" t="n"/>
      <c r="D1285" s="4" t="n"/>
      <c r="E1285" s="4" t="n"/>
      <c r="F1285" s="4" t="n"/>
      <c r="G1285">
        <f>IF(B1285="","",IFERROR(INDEX(Products!$B:$B,MATCH(B1285,Products!$A:$A,0)),"SKU not found"))</f>
        <v/>
      </c>
    </row>
    <row r="1286">
      <c r="A1286" s="7" t="n"/>
      <c r="B1286" s="4" t="n"/>
      <c r="C1286" s="4" t="n"/>
      <c r="D1286" s="4" t="n"/>
      <c r="E1286" s="4" t="n"/>
      <c r="F1286" s="4" t="n"/>
      <c r="G1286">
        <f>IF(B1286="","",IFERROR(INDEX(Products!$B:$B,MATCH(B1286,Products!$A:$A,0)),"SKU not found"))</f>
        <v/>
      </c>
    </row>
    <row r="1287">
      <c r="A1287" s="7" t="n"/>
      <c r="B1287" s="4" t="n"/>
      <c r="C1287" s="4" t="n"/>
      <c r="D1287" s="4" t="n"/>
      <c r="E1287" s="4" t="n"/>
      <c r="F1287" s="4" t="n"/>
      <c r="G1287">
        <f>IF(B1287="","",IFERROR(INDEX(Products!$B:$B,MATCH(B1287,Products!$A:$A,0)),"SKU not found"))</f>
        <v/>
      </c>
    </row>
    <row r="1288">
      <c r="A1288" s="7" t="n"/>
      <c r="B1288" s="4" t="n"/>
      <c r="C1288" s="4" t="n"/>
      <c r="D1288" s="4" t="n"/>
      <c r="E1288" s="4" t="n"/>
      <c r="F1288" s="4" t="n"/>
      <c r="G1288">
        <f>IF(B1288="","",IFERROR(INDEX(Products!$B:$B,MATCH(B1288,Products!$A:$A,0)),"SKU not found"))</f>
        <v/>
      </c>
    </row>
    <row r="1289">
      <c r="A1289" s="7" t="n"/>
      <c r="B1289" s="4" t="n"/>
      <c r="C1289" s="4" t="n"/>
      <c r="D1289" s="4" t="n"/>
      <c r="E1289" s="4" t="n"/>
      <c r="F1289" s="4" t="n"/>
      <c r="G1289">
        <f>IF(B1289="","",IFERROR(INDEX(Products!$B:$B,MATCH(B1289,Products!$A:$A,0)),"SKU not found"))</f>
        <v/>
      </c>
    </row>
    <row r="1290">
      <c r="A1290" s="7" t="n"/>
      <c r="B1290" s="4" t="n"/>
      <c r="C1290" s="4" t="n"/>
      <c r="D1290" s="4" t="n"/>
      <c r="E1290" s="4" t="n"/>
      <c r="F1290" s="4" t="n"/>
      <c r="G1290">
        <f>IF(B1290="","",IFERROR(INDEX(Products!$B:$B,MATCH(B1290,Products!$A:$A,0)),"SKU not found"))</f>
        <v/>
      </c>
    </row>
    <row r="1291">
      <c r="A1291" s="7" t="n"/>
      <c r="B1291" s="4" t="n"/>
      <c r="C1291" s="4" t="n"/>
      <c r="D1291" s="4" t="n"/>
      <c r="E1291" s="4" t="n"/>
      <c r="F1291" s="4" t="n"/>
      <c r="G1291">
        <f>IF(B1291="","",IFERROR(INDEX(Products!$B:$B,MATCH(B1291,Products!$A:$A,0)),"SKU not found"))</f>
        <v/>
      </c>
    </row>
    <row r="1292">
      <c r="A1292" s="7" t="n"/>
      <c r="B1292" s="4" t="n"/>
      <c r="C1292" s="4" t="n"/>
      <c r="D1292" s="4" t="n"/>
      <c r="E1292" s="4" t="n"/>
      <c r="F1292" s="4" t="n"/>
      <c r="G1292">
        <f>IF(B1292="","",IFERROR(INDEX(Products!$B:$B,MATCH(B1292,Products!$A:$A,0)),"SKU not found"))</f>
        <v/>
      </c>
    </row>
    <row r="1293">
      <c r="A1293" s="7" t="n"/>
      <c r="B1293" s="4" t="n"/>
      <c r="C1293" s="4" t="n"/>
      <c r="D1293" s="4" t="n"/>
      <c r="E1293" s="4" t="n"/>
      <c r="F1293" s="4" t="n"/>
      <c r="G1293">
        <f>IF(B1293="","",IFERROR(INDEX(Products!$B:$B,MATCH(B1293,Products!$A:$A,0)),"SKU not found"))</f>
        <v/>
      </c>
    </row>
    <row r="1294">
      <c r="A1294" s="7" t="n"/>
      <c r="B1294" s="4" t="n"/>
      <c r="C1294" s="4" t="n"/>
      <c r="D1294" s="4" t="n"/>
      <c r="E1294" s="4" t="n"/>
      <c r="F1294" s="4" t="n"/>
      <c r="G1294">
        <f>IF(B1294="","",IFERROR(INDEX(Products!$B:$B,MATCH(B1294,Products!$A:$A,0)),"SKU not found"))</f>
        <v/>
      </c>
    </row>
    <row r="1295">
      <c r="A1295" s="7" t="n"/>
      <c r="B1295" s="4" t="n"/>
      <c r="C1295" s="4" t="n"/>
      <c r="D1295" s="4" t="n"/>
      <c r="E1295" s="4" t="n"/>
      <c r="F1295" s="4" t="n"/>
      <c r="G1295">
        <f>IF(B1295="","",IFERROR(INDEX(Products!$B:$B,MATCH(B1295,Products!$A:$A,0)),"SKU not found"))</f>
        <v/>
      </c>
    </row>
    <row r="1296">
      <c r="A1296" s="7" t="n"/>
      <c r="B1296" s="4" t="n"/>
      <c r="C1296" s="4" t="n"/>
      <c r="D1296" s="4" t="n"/>
      <c r="E1296" s="4" t="n"/>
      <c r="F1296" s="4" t="n"/>
      <c r="G1296">
        <f>IF(B1296="","",IFERROR(INDEX(Products!$B:$B,MATCH(B1296,Products!$A:$A,0)),"SKU not found"))</f>
        <v/>
      </c>
    </row>
    <row r="1297">
      <c r="A1297" s="7" t="n"/>
      <c r="B1297" s="4" t="n"/>
      <c r="C1297" s="4" t="n"/>
      <c r="D1297" s="4" t="n"/>
      <c r="E1297" s="4" t="n"/>
      <c r="F1297" s="4" t="n"/>
      <c r="G1297">
        <f>IF(B1297="","",IFERROR(INDEX(Products!$B:$B,MATCH(B1297,Products!$A:$A,0)),"SKU not found"))</f>
        <v/>
      </c>
    </row>
    <row r="1298">
      <c r="A1298" s="7" t="n"/>
      <c r="B1298" s="4" t="n"/>
      <c r="C1298" s="4" t="n"/>
      <c r="D1298" s="4" t="n"/>
      <c r="E1298" s="4" t="n"/>
      <c r="F1298" s="4" t="n"/>
      <c r="G1298">
        <f>IF(B1298="","",IFERROR(INDEX(Products!$B:$B,MATCH(B1298,Products!$A:$A,0)),"SKU not found"))</f>
        <v/>
      </c>
    </row>
    <row r="1299">
      <c r="A1299" s="7" t="n"/>
      <c r="B1299" s="4" t="n"/>
      <c r="C1299" s="4" t="n"/>
      <c r="D1299" s="4" t="n"/>
      <c r="E1299" s="4" t="n"/>
      <c r="F1299" s="4" t="n"/>
      <c r="G1299">
        <f>IF(B1299="","",IFERROR(INDEX(Products!$B:$B,MATCH(B1299,Products!$A:$A,0)),"SKU not found"))</f>
        <v/>
      </c>
    </row>
    <row r="1300">
      <c r="A1300" s="7" t="n"/>
      <c r="B1300" s="4" t="n"/>
      <c r="C1300" s="4" t="n"/>
      <c r="D1300" s="4" t="n"/>
      <c r="E1300" s="4" t="n"/>
      <c r="F1300" s="4" t="n"/>
      <c r="G1300">
        <f>IF(B1300="","",IFERROR(INDEX(Products!$B:$B,MATCH(B1300,Products!$A:$A,0)),"SKU not found"))</f>
        <v/>
      </c>
    </row>
    <row r="1301">
      <c r="A1301" s="7" t="n"/>
      <c r="B1301" s="4" t="n"/>
      <c r="C1301" s="4" t="n"/>
      <c r="D1301" s="4" t="n"/>
      <c r="E1301" s="4" t="n"/>
      <c r="F1301" s="4" t="n"/>
      <c r="G1301">
        <f>IF(B1301="","",IFERROR(INDEX(Products!$B:$B,MATCH(B1301,Products!$A:$A,0)),"SKU not found"))</f>
        <v/>
      </c>
    </row>
    <row r="1302">
      <c r="A1302" s="7" t="n"/>
      <c r="B1302" s="4" t="n"/>
      <c r="C1302" s="4" t="n"/>
      <c r="D1302" s="4" t="n"/>
      <c r="E1302" s="4" t="n"/>
      <c r="F1302" s="4" t="n"/>
      <c r="G1302">
        <f>IF(B1302="","",IFERROR(INDEX(Products!$B:$B,MATCH(B1302,Products!$A:$A,0)),"SKU not found"))</f>
        <v/>
      </c>
    </row>
    <row r="1303">
      <c r="A1303" s="7" t="n"/>
      <c r="B1303" s="4" t="n"/>
      <c r="C1303" s="4" t="n"/>
      <c r="D1303" s="4" t="n"/>
      <c r="E1303" s="4" t="n"/>
      <c r="F1303" s="4" t="n"/>
      <c r="G1303">
        <f>IF(B1303="","",IFERROR(INDEX(Products!$B:$B,MATCH(B1303,Products!$A:$A,0)),"SKU not found"))</f>
        <v/>
      </c>
    </row>
    <row r="1304">
      <c r="A1304" s="7" t="n"/>
      <c r="B1304" s="4" t="n"/>
      <c r="C1304" s="4" t="n"/>
      <c r="D1304" s="4" t="n"/>
      <c r="E1304" s="4" t="n"/>
      <c r="F1304" s="4" t="n"/>
      <c r="G1304">
        <f>IF(B1304="","",IFERROR(INDEX(Products!$B:$B,MATCH(B1304,Products!$A:$A,0)),"SKU not found"))</f>
        <v/>
      </c>
    </row>
    <row r="1305">
      <c r="A1305" s="7" t="n"/>
      <c r="B1305" s="4" t="n"/>
      <c r="C1305" s="4" t="n"/>
      <c r="D1305" s="4" t="n"/>
      <c r="E1305" s="4" t="n"/>
      <c r="F1305" s="4" t="n"/>
      <c r="G1305">
        <f>IF(B1305="","",IFERROR(INDEX(Products!$B:$B,MATCH(B1305,Products!$A:$A,0)),"SKU not found"))</f>
        <v/>
      </c>
    </row>
    <row r="1306">
      <c r="A1306" s="7" t="n"/>
      <c r="B1306" s="4" t="n"/>
      <c r="C1306" s="4" t="n"/>
      <c r="D1306" s="4" t="n"/>
      <c r="E1306" s="4" t="n"/>
      <c r="F1306" s="4" t="n"/>
      <c r="G1306">
        <f>IF(B1306="","",IFERROR(INDEX(Products!$B:$B,MATCH(B1306,Products!$A:$A,0)),"SKU not found"))</f>
        <v/>
      </c>
    </row>
    <row r="1307">
      <c r="A1307" s="7" t="n"/>
      <c r="B1307" s="4" t="n"/>
      <c r="C1307" s="4" t="n"/>
      <c r="D1307" s="4" t="n"/>
      <c r="E1307" s="4" t="n"/>
      <c r="F1307" s="4" t="n"/>
      <c r="G1307">
        <f>IF(B1307="","",IFERROR(INDEX(Products!$B:$B,MATCH(B1307,Products!$A:$A,0)),"SKU not found"))</f>
        <v/>
      </c>
    </row>
    <row r="1308">
      <c r="A1308" s="7" t="n"/>
      <c r="B1308" s="4" t="n"/>
      <c r="C1308" s="4" t="n"/>
      <c r="D1308" s="4" t="n"/>
      <c r="E1308" s="4" t="n"/>
      <c r="F1308" s="4" t="n"/>
      <c r="G1308">
        <f>IF(B1308="","",IFERROR(INDEX(Products!$B:$B,MATCH(B1308,Products!$A:$A,0)),"SKU not found"))</f>
        <v/>
      </c>
    </row>
    <row r="1309">
      <c r="A1309" s="7" t="n"/>
      <c r="B1309" s="4" t="n"/>
      <c r="C1309" s="4" t="n"/>
      <c r="D1309" s="4" t="n"/>
      <c r="E1309" s="4" t="n"/>
      <c r="F1309" s="4" t="n"/>
      <c r="G1309">
        <f>IF(B1309="","",IFERROR(INDEX(Products!$B:$B,MATCH(B1309,Products!$A:$A,0)),"SKU not found"))</f>
        <v/>
      </c>
    </row>
    <row r="1310">
      <c r="A1310" s="7" t="n"/>
      <c r="B1310" s="4" t="n"/>
      <c r="C1310" s="4" t="n"/>
      <c r="D1310" s="4" t="n"/>
      <c r="E1310" s="4" t="n"/>
      <c r="F1310" s="4" t="n"/>
      <c r="G1310">
        <f>IF(B1310="","",IFERROR(INDEX(Products!$B:$B,MATCH(B1310,Products!$A:$A,0)),"SKU not found"))</f>
        <v/>
      </c>
    </row>
    <row r="1311">
      <c r="A1311" s="7" t="n"/>
      <c r="B1311" s="4" t="n"/>
      <c r="C1311" s="4" t="n"/>
      <c r="D1311" s="4" t="n"/>
      <c r="E1311" s="4" t="n"/>
      <c r="F1311" s="4" t="n"/>
      <c r="G1311">
        <f>IF(B1311="","",IFERROR(INDEX(Products!$B:$B,MATCH(B1311,Products!$A:$A,0)),"SKU not found"))</f>
        <v/>
      </c>
    </row>
    <row r="1312">
      <c r="A1312" s="7" t="n"/>
      <c r="B1312" s="4" t="n"/>
      <c r="C1312" s="4" t="n"/>
      <c r="D1312" s="4" t="n"/>
      <c r="E1312" s="4" t="n"/>
      <c r="F1312" s="4" t="n"/>
      <c r="G1312">
        <f>IF(B1312="","",IFERROR(INDEX(Products!$B:$B,MATCH(B1312,Products!$A:$A,0)),"SKU not found"))</f>
        <v/>
      </c>
    </row>
    <row r="1313">
      <c r="A1313" s="7" t="n"/>
      <c r="B1313" s="4" t="n"/>
      <c r="C1313" s="4" t="n"/>
      <c r="D1313" s="4" t="n"/>
      <c r="E1313" s="4" t="n"/>
      <c r="F1313" s="4" t="n"/>
      <c r="G1313">
        <f>IF(B1313="","",IFERROR(INDEX(Products!$B:$B,MATCH(B1313,Products!$A:$A,0)),"SKU not found"))</f>
        <v/>
      </c>
    </row>
    <row r="1314">
      <c r="A1314" s="7" t="n"/>
      <c r="B1314" s="4" t="n"/>
      <c r="C1314" s="4" t="n"/>
      <c r="D1314" s="4" t="n"/>
      <c r="E1314" s="4" t="n"/>
      <c r="F1314" s="4" t="n"/>
      <c r="G1314">
        <f>IF(B1314="","",IFERROR(INDEX(Products!$B:$B,MATCH(B1314,Products!$A:$A,0)),"SKU not found"))</f>
        <v/>
      </c>
    </row>
    <row r="1315">
      <c r="A1315" s="7" t="n"/>
      <c r="B1315" s="4" t="n"/>
      <c r="C1315" s="4" t="n"/>
      <c r="D1315" s="4" t="n"/>
      <c r="E1315" s="4" t="n"/>
      <c r="F1315" s="4" t="n"/>
      <c r="G1315">
        <f>IF(B1315="","",IFERROR(INDEX(Products!$B:$B,MATCH(B1315,Products!$A:$A,0)),"SKU not found"))</f>
        <v/>
      </c>
    </row>
    <row r="1316">
      <c r="A1316" s="7" t="n"/>
      <c r="B1316" s="4" t="n"/>
      <c r="C1316" s="4" t="n"/>
      <c r="D1316" s="4" t="n"/>
      <c r="E1316" s="4" t="n"/>
      <c r="F1316" s="4" t="n"/>
      <c r="G1316">
        <f>IF(B1316="","",IFERROR(INDEX(Products!$B:$B,MATCH(B1316,Products!$A:$A,0)),"SKU not found"))</f>
        <v/>
      </c>
    </row>
    <row r="1317">
      <c r="A1317" s="7" t="n"/>
      <c r="B1317" s="4" t="n"/>
      <c r="C1317" s="4" t="n"/>
      <c r="D1317" s="4" t="n"/>
      <c r="E1317" s="4" t="n"/>
      <c r="F1317" s="4" t="n"/>
      <c r="G1317">
        <f>IF(B1317="","",IFERROR(INDEX(Products!$B:$B,MATCH(B1317,Products!$A:$A,0)),"SKU not found"))</f>
        <v/>
      </c>
    </row>
    <row r="1318">
      <c r="A1318" s="7" t="n"/>
      <c r="B1318" s="4" t="n"/>
      <c r="C1318" s="4" t="n"/>
      <c r="D1318" s="4" t="n"/>
      <c r="E1318" s="4" t="n"/>
      <c r="F1318" s="4" t="n"/>
      <c r="G1318">
        <f>IF(B1318="","",IFERROR(INDEX(Products!$B:$B,MATCH(B1318,Products!$A:$A,0)),"SKU not found"))</f>
        <v/>
      </c>
    </row>
    <row r="1319">
      <c r="A1319" s="7" t="n"/>
      <c r="B1319" s="4" t="n"/>
      <c r="C1319" s="4" t="n"/>
      <c r="D1319" s="4" t="n"/>
      <c r="E1319" s="4" t="n"/>
      <c r="F1319" s="4" t="n"/>
      <c r="G1319">
        <f>IF(B1319="","",IFERROR(INDEX(Products!$B:$B,MATCH(B1319,Products!$A:$A,0)),"SKU not found"))</f>
        <v/>
      </c>
    </row>
    <row r="1320">
      <c r="A1320" s="7" t="n"/>
      <c r="B1320" s="4" t="n"/>
      <c r="C1320" s="4" t="n"/>
      <c r="D1320" s="4" t="n"/>
      <c r="E1320" s="4" t="n"/>
      <c r="F1320" s="4" t="n"/>
      <c r="G1320">
        <f>IF(B1320="","",IFERROR(INDEX(Products!$B:$B,MATCH(B1320,Products!$A:$A,0)),"SKU not found"))</f>
        <v/>
      </c>
    </row>
    <row r="1321">
      <c r="A1321" s="7" t="n"/>
      <c r="B1321" s="4" t="n"/>
      <c r="C1321" s="4" t="n"/>
      <c r="D1321" s="4" t="n"/>
      <c r="E1321" s="4" t="n"/>
      <c r="F1321" s="4" t="n"/>
      <c r="G1321">
        <f>IF(B1321="","",IFERROR(INDEX(Products!$B:$B,MATCH(B1321,Products!$A:$A,0)),"SKU not found"))</f>
        <v/>
      </c>
    </row>
    <row r="1322">
      <c r="A1322" s="7" t="n"/>
      <c r="B1322" s="4" t="n"/>
      <c r="C1322" s="4" t="n"/>
      <c r="D1322" s="4" t="n"/>
      <c r="E1322" s="4" t="n"/>
      <c r="F1322" s="4" t="n"/>
      <c r="G1322">
        <f>IF(B1322="","",IFERROR(INDEX(Products!$B:$B,MATCH(B1322,Products!$A:$A,0)),"SKU not found"))</f>
        <v/>
      </c>
    </row>
    <row r="1323">
      <c r="A1323" s="7" t="n"/>
      <c r="B1323" s="4" t="n"/>
      <c r="C1323" s="4" t="n"/>
      <c r="D1323" s="4" t="n"/>
      <c r="E1323" s="4" t="n"/>
      <c r="F1323" s="4" t="n"/>
      <c r="G1323">
        <f>IF(B1323="","",IFERROR(INDEX(Products!$B:$B,MATCH(B1323,Products!$A:$A,0)),"SKU not found"))</f>
        <v/>
      </c>
    </row>
    <row r="1324">
      <c r="A1324" s="7" t="n"/>
      <c r="B1324" s="4" t="n"/>
      <c r="C1324" s="4" t="n"/>
      <c r="D1324" s="4" t="n"/>
      <c r="E1324" s="4" t="n"/>
      <c r="F1324" s="4" t="n"/>
      <c r="G1324">
        <f>IF(B1324="","",IFERROR(INDEX(Products!$B:$B,MATCH(B1324,Products!$A:$A,0)),"SKU not found"))</f>
        <v/>
      </c>
    </row>
    <row r="1325">
      <c r="A1325" s="7" t="n"/>
      <c r="B1325" s="4" t="n"/>
      <c r="C1325" s="4" t="n"/>
      <c r="D1325" s="4" t="n"/>
      <c r="E1325" s="4" t="n"/>
      <c r="F1325" s="4" t="n"/>
      <c r="G1325">
        <f>IF(B1325="","",IFERROR(INDEX(Products!$B:$B,MATCH(B1325,Products!$A:$A,0)),"SKU not found"))</f>
        <v/>
      </c>
    </row>
    <row r="1326">
      <c r="A1326" s="7" t="n"/>
      <c r="B1326" s="4" t="n"/>
      <c r="C1326" s="4" t="n"/>
      <c r="D1326" s="4" t="n"/>
      <c r="E1326" s="4" t="n"/>
      <c r="F1326" s="4" t="n"/>
      <c r="G1326">
        <f>IF(B1326="","",IFERROR(INDEX(Products!$B:$B,MATCH(B1326,Products!$A:$A,0)),"SKU not found"))</f>
        <v/>
      </c>
    </row>
    <row r="1327">
      <c r="A1327" s="7" t="n"/>
      <c r="B1327" s="4" t="n"/>
      <c r="C1327" s="4" t="n"/>
      <c r="D1327" s="4" t="n"/>
      <c r="E1327" s="4" t="n"/>
      <c r="F1327" s="4" t="n"/>
      <c r="G1327">
        <f>IF(B1327="","",IFERROR(INDEX(Products!$B:$B,MATCH(B1327,Products!$A:$A,0)),"SKU not found"))</f>
        <v/>
      </c>
    </row>
    <row r="1328">
      <c r="A1328" s="7" t="n"/>
      <c r="B1328" s="4" t="n"/>
      <c r="C1328" s="4" t="n"/>
      <c r="D1328" s="4" t="n"/>
      <c r="E1328" s="4" t="n"/>
      <c r="F1328" s="4" t="n"/>
      <c r="G1328">
        <f>IF(B1328="","",IFERROR(INDEX(Products!$B:$B,MATCH(B1328,Products!$A:$A,0)),"SKU not found"))</f>
        <v/>
      </c>
    </row>
    <row r="1329">
      <c r="A1329" s="7" t="n"/>
      <c r="B1329" s="4" t="n"/>
      <c r="C1329" s="4" t="n"/>
      <c r="D1329" s="4" t="n"/>
      <c r="E1329" s="4" t="n"/>
      <c r="F1329" s="4" t="n"/>
      <c r="G1329">
        <f>IF(B1329="","",IFERROR(INDEX(Products!$B:$B,MATCH(B1329,Products!$A:$A,0)),"SKU not found"))</f>
        <v/>
      </c>
    </row>
    <row r="1330">
      <c r="A1330" s="7" t="n"/>
      <c r="B1330" s="4" t="n"/>
      <c r="C1330" s="4" t="n"/>
      <c r="D1330" s="4" t="n"/>
      <c r="E1330" s="4" t="n"/>
      <c r="F1330" s="4" t="n"/>
      <c r="G1330">
        <f>IF(B1330="","",IFERROR(INDEX(Products!$B:$B,MATCH(B1330,Products!$A:$A,0)),"SKU not found"))</f>
        <v/>
      </c>
    </row>
    <row r="1331">
      <c r="A1331" s="7" t="n"/>
      <c r="B1331" s="4" t="n"/>
      <c r="C1331" s="4" t="n"/>
      <c r="D1331" s="4" t="n"/>
      <c r="E1331" s="4" t="n"/>
      <c r="F1331" s="4" t="n"/>
      <c r="G1331">
        <f>IF(B1331="","",IFERROR(INDEX(Products!$B:$B,MATCH(B1331,Products!$A:$A,0)),"SKU not found"))</f>
        <v/>
      </c>
    </row>
    <row r="1332">
      <c r="A1332" s="7" t="n"/>
      <c r="B1332" s="4" t="n"/>
      <c r="C1332" s="4" t="n"/>
      <c r="D1332" s="4" t="n"/>
      <c r="E1332" s="4" t="n"/>
      <c r="F1332" s="4" t="n"/>
      <c r="G1332">
        <f>IF(B1332="","",IFERROR(INDEX(Products!$B:$B,MATCH(B1332,Products!$A:$A,0)),"SKU not found"))</f>
        <v/>
      </c>
    </row>
    <row r="1333">
      <c r="A1333" s="7" t="n"/>
      <c r="B1333" s="4" t="n"/>
      <c r="C1333" s="4" t="n"/>
      <c r="D1333" s="4" t="n"/>
      <c r="E1333" s="4" t="n"/>
      <c r="F1333" s="4" t="n"/>
      <c r="G1333">
        <f>IF(B1333="","",IFERROR(INDEX(Products!$B:$B,MATCH(B1333,Products!$A:$A,0)),"SKU not found"))</f>
        <v/>
      </c>
    </row>
    <row r="1334">
      <c r="A1334" s="7" t="n"/>
      <c r="B1334" s="4" t="n"/>
      <c r="C1334" s="4" t="n"/>
      <c r="D1334" s="4" t="n"/>
      <c r="E1334" s="4" t="n"/>
      <c r="F1334" s="4" t="n"/>
      <c r="G1334">
        <f>IF(B1334="","",IFERROR(INDEX(Products!$B:$B,MATCH(B1334,Products!$A:$A,0)),"SKU not found"))</f>
        <v/>
      </c>
    </row>
    <row r="1335">
      <c r="A1335" s="7" t="n"/>
      <c r="B1335" s="4" t="n"/>
      <c r="C1335" s="4" t="n"/>
      <c r="D1335" s="4" t="n"/>
      <c r="E1335" s="4" t="n"/>
      <c r="F1335" s="4" t="n"/>
      <c r="G1335">
        <f>IF(B1335="","",IFERROR(INDEX(Products!$B:$B,MATCH(B1335,Products!$A:$A,0)),"SKU not found"))</f>
        <v/>
      </c>
    </row>
    <row r="1336">
      <c r="A1336" s="7" t="n"/>
      <c r="B1336" s="4" t="n"/>
      <c r="C1336" s="4" t="n"/>
      <c r="D1336" s="4" t="n"/>
      <c r="E1336" s="4" t="n"/>
      <c r="F1336" s="4" t="n"/>
      <c r="G1336">
        <f>IF(B1336="","",IFERROR(INDEX(Products!$B:$B,MATCH(B1336,Products!$A:$A,0)),"SKU not found"))</f>
        <v/>
      </c>
    </row>
    <row r="1337">
      <c r="A1337" s="7" t="n"/>
      <c r="B1337" s="4" t="n"/>
      <c r="C1337" s="4" t="n"/>
      <c r="D1337" s="4" t="n"/>
      <c r="E1337" s="4" t="n"/>
      <c r="F1337" s="4" t="n"/>
      <c r="G1337">
        <f>IF(B1337="","",IFERROR(INDEX(Products!$B:$B,MATCH(B1337,Products!$A:$A,0)),"SKU not found"))</f>
        <v/>
      </c>
    </row>
    <row r="1338">
      <c r="A1338" s="7" t="n"/>
      <c r="B1338" s="4" t="n"/>
      <c r="C1338" s="4" t="n"/>
      <c r="D1338" s="4" t="n"/>
      <c r="E1338" s="4" t="n"/>
      <c r="F1338" s="4" t="n"/>
      <c r="G1338">
        <f>IF(B1338="","",IFERROR(INDEX(Products!$B:$B,MATCH(B1338,Products!$A:$A,0)),"SKU not found"))</f>
        <v/>
      </c>
    </row>
    <row r="1339">
      <c r="A1339" s="7" t="n"/>
      <c r="B1339" s="4" t="n"/>
      <c r="C1339" s="4" t="n"/>
      <c r="D1339" s="4" t="n"/>
      <c r="E1339" s="4" t="n"/>
      <c r="F1339" s="4" t="n"/>
      <c r="G1339">
        <f>IF(B1339="","",IFERROR(INDEX(Products!$B:$B,MATCH(B1339,Products!$A:$A,0)),"SKU not found"))</f>
        <v/>
      </c>
    </row>
    <row r="1340">
      <c r="A1340" s="7" t="n"/>
      <c r="B1340" s="4" t="n"/>
      <c r="C1340" s="4" t="n"/>
      <c r="D1340" s="4" t="n"/>
      <c r="E1340" s="4" t="n"/>
      <c r="F1340" s="4" t="n"/>
      <c r="G1340">
        <f>IF(B1340="","",IFERROR(INDEX(Products!$B:$B,MATCH(B1340,Products!$A:$A,0)),"SKU not found"))</f>
        <v/>
      </c>
    </row>
    <row r="1341">
      <c r="A1341" s="7" t="n"/>
      <c r="B1341" s="4" t="n"/>
      <c r="C1341" s="4" t="n"/>
      <c r="D1341" s="4" t="n"/>
      <c r="E1341" s="4" t="n"/>
      <c r="F1341" s="4" t="n"/>
      <c r="G1341">
        <f>IF(B1341="","",IFERROR(INDEX(Products!$B:$B,MATCH(B1341,Products!$A:$A,0)),"SKU not found"))</f>
        <v/>
      </c>
    </row>
    <row r="1342">
      <c r="A1342" s="7" t="n"/>
      <c r="B1342" s="4" t="n"/>
      <c r="C1342" s="4" t="n"/>
      <c r="D1342" s="4" t="n"/>
      <c r="E1342" s="4" t="n"/>
      <c r="F1342" s="4" t="n"/>
      <c r="G1342">
        <f>IF(B1342="","",IFERROR(INDEX(Products!$B:$B,MATCH(B1342,Products!$A:$A,0)),"SKU not found"))</f>
        <v/>
      </c>
    </row>
    <row r="1343">
      <c r="A1343" s="7" t="n"/>
      <c r="B1343" s="4" t="n"/>
      <c r="C1343" s="4" t="n"/>
      <c r="D1343" s="4" t="n"/>
      <c r="E1343" s="4" t="n"/>
      <c r="F1343" s="4" t="n"/>
      <c r="G1343">
        <f>IF(B1343="","",IFERROR(INDEX(Products!$B:$B,MATCH(B1343,Products!$A:$A,0)),"SKU not found"))</f>
        <v/>
      </c>
    </row>
    <row r="1344">
      <c r="A1344" s="7" t="n"/>
      <c r="B1344" s="4" t="n"/>
      <c r="C1344" s="4" t="n"/>
      <c r="D1344" s="4" t="n"/>
      <c r="E1344" s="4" t="n"/>
      <c r="F1344" s="4" t="n"/>
      <c r="G1344">
        <f>IF(B1344="","",IFERROR(INDEX(Products!$B:$B,MATCH(B1344,Products!$A:$A,0)),"SKU not found"))</f>
        <v/>
      </c>
    </row>
    <row r="1345">
      <c r="A1345" s="7" t="n"/>
      <c r="B1345" s="4" t="n"/>
      <c r="C1345" s="4" t="n"/>
      <c r="D1345" s="4" t="n"/>
      <c r="E1345" s="4" t="n"/>
      <c r="F1345" s="4" t="n"/>
      <c r="G1345">
        <f>IF(B1345="","",IFERROR(INDEX(Products!$B:$B,MATCH(B1345,Products!$A:$A,0)),"SKU not found"))</f>
        <v/>
      </c>
    </row>
    <row r="1346">
      <c r="A1346" s="7" t="n"/>
      <c r="B1346" s="4" t="n"/>
      <c r="C1346" s="4" t="n"/>
      <c r="D1346" s="4" t="n"/>
      <c r="E1346" s="4" t="n"/>
      <c r="F1346" s="4" t="n"/>
      <c r="G1346">
        <f>IF(B1346="","",IFERROR(INDEX(Products!$B:$B,MATCH(B1346,Products!$A:$A,0)),"SKU not found"))</f>
        <v/>
      </c>
    </row>
    <row r="1347">
      <c r="A1347" s="7" t="n"/>
      <c r="B1347" s="4" t="n"/>
      <c r="C1347" s="4" t="n"/>
      <c r="D1347" s="4" t="n"/>
      <c r="E1347" s="4" t="n"/>
      <c r="F1347" s="4" t="n"/>
      <c r="G1347">
        <f>IF(B1347="","",IFERROR(INDEX(Products!$B:$B,MATCH(B1347,Products!$A:$A,0)),"SKU not found"))</f>
        <v/>
      </c>
    </row>
    <row r="1348">
      <c r="A1348" s="7" t="n"/>
      <c r="B1348" s="4" t="n"/>
      <c r="C1348" s="4" t="n"/>
      <c r="D1348" s="4" t="n"/>
      <c r="E1348" s="4" t="n"/>
      <c r="F1348" s="4" t="n"/>
      <c r="G1348">
        <f>IF(B1348="","",IFERROR(INDEX(Products!$B:$B,MATCH(B1348,Products!$A:$A,0)),"SKU not found"))</f>
        <v/>
      </c>
    </row>
    <row r="1349">
      <c r="A1349" s="7" t="n"/>
      <c r="B1349" s="4" t="n"/>
      <c r="C1349" s="4" t="n"/>
      <c r="D1349" s="4" t="n"/>
      <c r="E1349" s="4" t="n"/>
      <c r="F1349" s="4" t="n"/>
      <c r="G1349">
        <f>IF(B1349="","",IFERROR(INDEX(Products!$B:$B,MATCH(B1349,Products!$A:$A,0)),"SKU not found"))</f>
        <v/>
      </c>
    </row>
    <row r="1350">
      <c r="A1350" s="7" t="n"/>
      <c r="B1350" s="4" t="n"/>
      <c r="C1350" s="4" t="n"/>
      <c r="D1350" s="4" t="n"/>
      <c r="E1350" s="4" t="n"/>
      <c r="F1350" s="4" t="n"/>
      <c r="G1350">
        <f>IF(B1350="","",IFERROR(INDEX(Products!$B:$B,MATCH(B1350,Products!$A:$A,0)),"SKU not found"))</f>
        <v/>
      </c>
    </row>
    <row r="1351">
      <c r="A1351" s="7" t="n"/>
      <c r="B1351" s="4" t="n"/>
      <c r="C1351" s="4" t="n"/>
      <c r="D1351" s="4" t="n"/>
      <c r="E1351" s="4" t="n"/>
      <c r="F1351" s="4" t="n"/>
      <c r="G1351">
        <f>IF(B1351="","",IFERROR(INDEX(Products!$B:$B,MATCH(B1351,Products!$A:$A,0)),"SKU not found"))</f>
        <v/>
      </c>
    </row>
    <row r="1352">
      <c r="A1352" s="7" t="n"/>
      <c r="B1352" s="4" t="n"/>
      <c r="C1352" s="4" t="n"/>
      <c r="D1352" s="4" t="n"/>
      <c r="E1352" s="4" t="n"/>
      <c r="F1352" s="4" t="n"/>
      <c r="G1352">
        <f>IF(B1352="","",IFERROR(INDEX(Products!$B:$B,MATCH(B1352,Products!$A:$A,0)),"SKU not found"))</f>
        <v/>
      </c>
    </row>
    <row r="1353">
      <c r="A1353" s="7" t="n"/>
      <c r="B1353" s="4" t="n"/>
      <c r="C1353" s="4" t="n"/>
      <c r="D1353" s="4" t="n"/>
      <c r="E1353" s="4" t="n"/>
      <c r="F1353" s="4" t="n"/>
      <c r="G1353">
        <f>IF(B1353="","",IFERROR(INDEX(Products!$B:$B,MATCH(B1353,Products!$A:$A,0)),"SKU not found"))</f>
        <v/>
      </c>
    </row>
    <row r="1354">
      <c r="A1354" s="7" t="n"/>
      <c r="B1354" s="4" t="n"/>
      <c r="C1354" s="4" t="n"/>
      <c r="D1354" s="4" t="n"/>
      <c r="E1354" s="4" t="n"/>
      <c r="F1354" s="4" t="n"/>
      <c r="G1354">
        <f>IF(B1354="","",IFERROR(INDEX(Products!$B:$B,MATCH(B1354,Products!$A:$A,0)),"SKU not found"))</f>
        <v/>
      </c>
    </row>
    <row r="1355">
      <c r="A1355" s="7" t="n"/>
      <c r="B1355" s="4" t="n"/>
      <c r="C1355" s="4" t="n"/>
      <c r="D1355" s="4" t="n"/>
      <c r="E1355" s="4" t="n"/>
      <c r="F1355" s="4" t="n"/>
      <c r="G1355">
        <f>IF(B1355="","",IFERROR(INDEX(Products!$B:$B,MATCH(B1355,Products!$A:$A,0)),"SKU not found"))</f>
        <v/>
      </c>
    </row>
    <row r="1356">
      <c r="A1356" s="7" t="n"/>
      <c r="B1356" s="4" t="n"/>
      <c r="C1356" s="4" t="n"/>
      <c r="D1356" s="4" t="n"/>
      <c r="E1356" s="4" t="n"/>
      <c r="F1356" s="4" t="n"/>
      <c r="G1356">
        <f>IF(B1356="","",IFERROR(INDEX(Products!$B:$B,MATCH(B1356,Products!$A:$A,0)),"SKU not found"))</f>
        <v/>
      </c>
    </row>
    <row r="1357">
      <c r="A1357" s="7" t="n"/>
      <c r="B1357" s="4" t="n"/>
      <c r="C1357" s="4" t="n"/>
      <c r="D1357" s="4" t="n"/>
      <c r="E1357" s="4" t="n"/>
      <c r="F1357" s="4" t="n"/>
      <c r="G1357">
        <f>IF(B1357="","",IFERROR(INDEX(Products!$B:$B,MATCH(B1357,Products!$A:$A,0)),"SKU not found"))</f>
        <v/>
      </c>
    </row>
    <row r="1358">
      <c r="A1358" s="7" t="n"/>
      <c r="B1358" s="4" t="n"/>
      <c r="C1358" s="4" t="n"/>
      <c r="D1358" s="4" t="n"/>
      <c r="E1358" s="4" t="n"/>
      <c r="F1358" s="4" t="n"/>
      <c r="G1358">
        <f>IF(B1358="","",IFERROR(INDEX(Products!$B:$B,MATCH(B1358,Products!$A:$A,0)),"SKU not found"))</f>
        <v/>
      </c>
    </row>
    <row r="1359">
      <c r="A1359" s="7" t="n"/>
      <c r="B1359" s="4" t="n"/>
      <c r="C1359" s="4" t="n"/>
      <c r="D1359" s="4" t="n"/>
      <c r="E1359" s="4" t="n"/>
      <c r="F1359" s="4" t="n"/>
      <c r="G1359">
        <f>IF(B1359="","",IFERROR(INDEX(Products!$B:$B,MATCH(B1359,Products!$A:$A,0)),"SKU not found"))</f>
        <v/>
      </c>
    </row>
    <row r="1360">
      <c r="A1360" s="7" t="n"/>
      <c r="B1360" s="4" t="n"/>
      <c r="C1360" s="4" t="n"/>
      <c r="D1360" s="4" t="n"/>
      <c r="E1360" s="4" t="n"/>
      <c r="F1360" s="4" t="n"/>
      <c r="G1360">
        <f>IF(B1360="","",IFERROR(INDEX(Products!$B:$B,MATCH(B1360,Products!$A:$A,0)),"SKU not found"))</f>
        <v/>
      </c>
    </row>
    <row r="1361">
      <c r="A1361" s="7" t="n"/>
      <c r="B1361" s="4" t="n"/>
      <c r="C1361" s="4" t="n"/>
      <c r="D1361" s="4" t="n"/>
      <c r="E1361" s="4" t="n"/>
      <c r="F1361" s="4" t="n"/>
      <c r="G1361">
        <f>IF(B1361="","",IFERROR(INDEX(Products!$B:$B,MATCH(B1361,Products!$A:$A,0)),"SKU not found"))</f>
        <v/>
      </c>
    </row>
    <row r="1362">
      <c r="A1362" s="7" t="n"/>
      <c r="B1362" s="4" t="n"/>
      <c r="C1362" s="4" t="n"/>
      <c r="D1362" s="4" t="n"/>
      <c r="E1362" s="4" t="n"/>
      <c r="F1362" s="4" t="n"/>
      <c r="G1362">
        <f>IF(B1362="","",IFERROR(INDEX(Products!$B:$B,MATCH(B1362,Products!$A:$A,0)),"SKU not found"))</f>
        <v/>
      </c>
    </row>
    <row r="1363">
      <c r="A1363" s="7" t="n"/>
      <c r="B1363" s="4" t="n"/>
      <c r="C1363" s="4" t="n"/>
      <c r="D1363" s="4" t="n"/>
      <c r="E1363" s="4" t="n"/>
      <c r="F1363" s="4" t="n"/>
      <c r="G1363">
        <f>IF(B1363="","",IFERROR(INDEX(Products!$B:$B,MATCH(B1363,Products!$A:$A,0)),"SKU not found"))</f>
        <v/>
      </c>
    </row>
    <row r="1364">
      <c r="A1364" s="7" t="n"/>
      <c r="B1364" s="4" t="n"/>
      <c r="C1364" s="4" t="n"/>
      <c r="D1364" s="4" t="n"/>
      <c r="E1364" s="4" t="n"/>
      <c r="F1364" s="4" t="n"/>
      <c r="G1364">
        <f>IF(B1364="","",IFERROR(INDEX(Products!$B:$B,MATCH(B1364,Products!$A:$A,0)),"SKU not found"))</f>
        <v/>
      </c>
    </row>
    <row r="1365">
      <c r="A1365" s="7" t="n"/>
      <c r="B1365" s="4" t="n"/>
      <c r="C1365" s="4" t="n"/>
      <c r="D1365" s="4" t="n"/>
      <c r="E1365" s="4" t="n"/>
      <c r="F1365" s="4" t="n"/>
      <c r="G1365">
        <f>IF(B1365="","",IFERROR(INDEX(Products!$B:$B,MATCH(B1365,Products!$A:$A,0)),"SKU not found"))</f>
        <v/>
      </c>
    </row>
    <row r="1366">
      <c r="A1366" s="7" t="n"/>
      <c r="B1366" s="4" t="n"/>
      <c r="C1366" s="4" t="n"/>
      <c r="D1366" s="4" t="n"/>
      <c r="E1366" s="4" t="n"/>
      <c r="F1366" s="4" t="n"/>
      <c r="G1366">
        <f>IF(B1366="","",IFERROR(INDEX(Products!$B:$B,MATCH(B1366,Products!$A:$A,0)),"SKU not found"))</f>
        <v/>
      </c>
    </row>
    <row r="1367">
      <c r="A1367" s="7" t="n"/>
      <c r="B1367" s="4" t="n"/>
      <c r="C1367" s="4" t="n"/>
      <c r="D1367" s="4" t="n"/>
      <c r="E1367" s="4" t="n"/>
      <c r="F1367" s="4" t="n"/>
      <c r="G1367">
        <f>IF(B1367="","",IFERROR(INDEX(Products!$B:$B,MATCH(B1367,Products!$A:$A,0)),"SKU not found"))</f>
        <v/>
      </c>
    </row>
    <row r="1368">
      <c r="A1368" s="7" t="n"/>
      <c r="B1368" s="4" t="n"/>
      <c r="C1368" s="4" t="n"/>
      <c r="D1368" s="4" t="n"/>
      <c r="E1368" s="4" t="n"/>
      <c r="F1368" s="4" t="n"/>
      <c r="G1368">
        <f>IF(B1368="","",IFERROR(INDEX(Products!$B:$B,MATCH(B1368,Products!$A:$A,0)),"SKU not found"))</f>
        <v/>
      </c>
    </row>
    <row r="1369">
      <c r="A1369" s="7" t="n"/>
      <c r="B1369" s="4" t="n"/>
      <c r="C1369" s="4" t="n"/>
      <c r="D1369" s="4" t="n"/>
      <c r="E1369" s="4" t="n"/>
      <c r="F1369" s="4" t="n"/>
      <c r="G1369">
        <f>IF(B1369="","",IFERROR(INDEX(Products!$B:$B,MATCH(B1369,Products!$A:$A,0)),"SKU not found"))</f>
        <v/>
      </c>
    </row>
    <row r="1370">
      <c r="A1370" s="7" t="n"/>
      <c r="B1370" s="4" t="n"/>
      <c r="C1370" s="4" t="n"/>
      <c r="D1370" s="4" t="n"/>
      <c r="E1370" s="4" t="n"/>
      <c r="F1370" s="4" t="n"/>
      <c r="G1370">
        <f>IF(B1370="","",IFERROR(INDEX(Products!$B:$B,MATCH(B1370,Products!$A:$A,0)),"SKU not found"))</f>
        <v/>
      </c>
    </row>
    <row r="1371">
      <c r="A1371" s="7" t="n"/>
      <c r="B1371" s="4" t="n"/>
      <c r="C1371" s="4" t="n"/>
      <c r="D1371" s="4" t="n"/>
      <c r="E1371" s="4" t="n"/>
      <c r="F1371" s="4" t="n"/>
      <c r="G1371">
        <f>IF(B1371="","",IFERROR(INDEX(Products!$B:$B,MATCH(B1371,Products!$A:$A,0)),"SKU not found"))</f>
        <v/>
      </c>
    </row>
    <row r="1372">
      <c r="A1372" s="7" t="n"/>
      <c r="B1372" s="4" t="n"/>
      <c r="C1372" s="4" t="n"/>
      <c r="D1372" s="4" t="n"/>
      <c r="E1372" s="4" t="n"/>
      <c r="F1372" s="4" t="n"/>
      <c r="G1372">
        <f>IF(B1372="","",IFERROR(INDEX(Products!$B:$B,MATCH(B1372,Products!$A:$A,0)),"SKU not found"))</f>
        <v/>
      </c>
    </row>
    <row r="1373">
      <c r="A1373" s="7" t="n"/>
      <c r="B1373" s="4" t="n"/>
      <c r="C1373" s="4" t="n"/>
      <c r="D1373" s="4" t="n"/>
      <c r="E1373" s="4" t="n"/>
      <c r="F1373" s="4" t="n"/>
      <c r="G1373">
        <f>IF(B1373="","",IFERROR(INDEX(Products!$B:$B,MATCH(B1373,Products!$A:$A,0)),"SKU not found"))</f>
        <v/>
      </c>
    </row>
    <row r="1374">
      <c r="A1374" s="7" t="n"/>
      <c r="B1374" s="4" t="n"/>
      <c r="C1374" s="4" t="n"/>
      <c r="D1374" s="4" t="n"/>
      <c r="E1374" s="4" t="n"/>
      <c r="F1374" s="4" t="n"/>
      <c r="G1374">
        <f>IF(B1374="","",IFERROR(INDEX(Products!$B:$B,MATCH(B1374,Products!$A:$A,0)),"SKU not found"))</f>
        <v/>
      </c>
    </row>
    <row r="1375">
      <c r="A1375" s="7" t="n"/>
      <c r="B1375" s="4" t="n"/>
      <c r="C1375" s="4" t="n"/>
      <c r="D1375" s="4" t="n"/>
      <c r="E1375" s="4" t="n"/>
      <c r="F1375" s="4" t="n"/>
      <c r="G1375">
        <f>IF(B1375="","",IFERROR(INDEX(Products!$B:$B,MATCH(B1375,Products!$A:$A,0)),"SKU not found"))</f>
        <v/>
      </c>
    </row>
    <row r="1376">
      <c r="A1376" s="7" t="n"/>
      <c r="B1376" s="4" t="n"/>
      <c r="C1376" s="4" t="n"/>
      <c r="D1376" s="4" t="n"/>
      <c r="E1376" s="4" t="n"/>
      <c r="F1376" s="4" t="n"/>
      <c r="G1376">
        <f>IF(B1376="","",IFERROR(INDEX(Products!$B:$B,MATCH(B1376,Products!$A:$A,0)),"SKU not found"))</f>
        <v/>
      </c>
    </row>
    <row r="1377">
      <c r="A1377" s="7" t="n"/>
      <c r="B1377" s="4" t="n"/>
      <c r="C1377" s="4" t="n"/>
      <c r="D1377" s="4" t="n"/>
      <c r="E1377" s="4" t="n"/>
      <c r="F1377" s="4" t="n"/>
      <c r="G1377">
        <f>IF(B1377="","",IFERROR(INDEX(Products!$B:$B,MATCH(B1377,Products!$A:$A,0)),"SKU not found"))</f>
        <v/>
      </c>
    </row>
    <row r="1378">
      <c r="A1378" s="7" t="n"/>
      <c r="B1378" s="4" t="n"/>
      <c r="C1378" s="4" t="n"/>
      <c r="D1378" s="4" t="n"/>
      <c r="E1378" s="4" t="n"/>
      <c r="F1378" s="4" t="n"/>
      <c r="G1378">
        <f>IF(B1378="","",IFERROR(INDEX(Products!$B:$B,MATCH(B1378,Products!$A:$A,0)),"SKU not found"))</f>
        <v/>
      </c>
    </row>
    <row r="1379">
      <c r="A1379" s="7" t="n"/>
      <c r="B1379" s="4" t="n"/>
      <c r="C1379" s="4" t="n"/>
      <c r="D1379" s="4" t="n"/>
      <c r="E1379" s="4" t="n"/>
      <c r="F1379" s="4" t="n"/>
      <c r="G1379">
        <f>IF(B1379="","",IFERROR(INDEX(Products!$B:$B,MATCH(B1379,Products!$A:$A,0)),"SKU not found"))</f>
        <v/>
      </c>
    </row>
    <row r="1380">
      <c r="A1380" s="7" t="n"/>
      <c r="B1380" s="4" t="n"/>
      <c r="C1380" s="4" t="n"/>
      <c r="D1380" s="4" t="n"/>
      <c r="E1380" s="4" t="n"/>
      <c r="F1380" s="4" t="n"/>
      <c r="G1380">
        <f>IF(B1380="","",IFERROR(INDEX(Products!$B:$B,MATCH(B1380,Products!$A:$A,0)),"SKU not found"))</f>
        <v/>
      </c>
    </row>
    <row r="1381">
      <c r="A1381" s="7" t="n"/>
      <c r="B1381" s="4" t="n"/>
      <c r="C1381" s="4" t="n"/>
      <c r="D1381" s="4" t="n"/>
      <c r="E1381" s="4" t="n"/>
      <c r="F1381" s="4" t="n"/>
      <c r="G1381">
        <f>IF(B1381="","",IFERROR(INDEX(Products!$B:$B,MATCH(B1381,Products!$A:$A,0)),"SKU not found"))</f>
        <v/>
      </c>
    </row>
    <row r="1382">
      <c r="A1382" s="7" t="n"/>
      <c r="B1382" s="4" t="n"/>
      <c r="C1382" s="4" t="n"/>
      <c r="D1382" s="4" t="n"/>
      <c r="E1382" s="4" t="n"/>
      <c r="F1382" s="4" t="n"/>
      <c r="G1382">
        <f>IF(B1382="","",IFERROR(INDEX(Products!$B:$B,MATCH(B1382,Products!$A:$A,0)),"SKU not found"))</f>
        <v/>
      </c>
    </row>
    <row r="1383">
      <c r="A1383" s="7" t="n"/>
      <c r="B1383" s="4" t="n"/>
      <c r="C1383" s="4" t="n"/>
      <c r="D1383" s="4" t="n"/>
      <c r="E1383" s="4" t="n"/>
      <c r="F1383" s="4" t="n"/>
      <c r="G1383">
        <f>IF(B1383="","",IFERROR(INDEX(Products!$B:$B,MATCH(B1383,Products!$A:$A,0)),"SKU not found"))</f>
        <v/>
      </c>
    </row>
    <row r="1384">
      <c r="A1384" s="7" t="n"/>
      <c r="B1384" s="4" t="n"/>
      <c r="C1384" s="4" t="n"/>
      <c r="D1384" s="4" t="n"/>
      <c r="E1384" s="4" t="n"/>
      <c r="F1384" s="4" t="n"/>
      <c r="G1384">
        <f>IF(B1384="","",IFERROR(INDEX(Products!$B:$B,MATCH(B1384,Products!$A:$A,0)),"SKU not found"))</f>
        <v/>
      </c>
    </row>
    <row r="1385">
      <c r="A1385" s="7" t="n"/>
      <c r="B1385" s="4" t="n"/>
      <c r="C1385" s="4" t="n"/>
      <c r="D1385" s="4" t="n"/>
      <c r="E1385" s="4" t="n"/>
      <c r="F1385" s="4" t="n"/>
      <c r="G1385">
        <f>IF(B1385="","",IFERROR(INDEX(Products!$B:$B,MATCH(B1385,Products!$A:$A,0)),"SKU not found"))</f>
        <v/>
      </c>
    </row>
    <row r="1386">
      <c r="A1386" s="7" t="n"/>
      <c r="B1386" s="4" t="n"/>
      <c r="C1386" s="4" t="n"/>
      <c r="D1386" s="4" t="n"/>
      <c r="E1386" s="4" t="n"/>
      <c r="F1386" s="4" t="n"/>
      <c r="G1386">
        <f>IF(B1386="","",IFERROR(INDEX(Products!$B:$B,MATCH(B1386,Products!$A:$A,0)),"SKU not found"))</f>
        <v/>
      </c>
    </row>
    <row r="1387">
      <c r="A1387" s="7" t="n"/>
      <c r="B1387" s="4" t="n"/>
      <c r="C1387" s="4" t="n"/>
      <c r="D1387" s="4" t="n"/>
      <c r="E1387" s="4" t="n"/>
      <c r="F1387" s="4" t="n"/>
      <c r="G1387">
        <f>IF(B1387="","",IFERROR(INDEX(Products!$B:$B,MATCH(B1387,Products!$A:$A,0)),"SKU not found"))</f>
        <v/>
      </c>
    </row>
    <row r="1388">
      <c r="A1388" s="7" t="n"/>
      <c r="B1388" s="4" t="n"/>
      <c r="C1388" s="4" t="n"/>
      <c r="D1388" s="4" t="n"/>
      <c r="E1388" s="4" t="n"/>
      <c r="F1388" s="4" t="n"/>
      <c r="G1388">
        <f>IF(B1388="","",IFERROR(INDEX(Products!$B:$B,MATCH(B1388,Products!$A:$A,0)),"SKU not found"))</f>
        <v/>
      </c>
    </row>
    <row r="1389">
      <c r="A1389" s="7" t="n"/>
      <c r="B1389" s="4" t="n"/>
      <c r="C1389" s="4" t="n"/>
      <c r="D1389" s="4" t="n"/>
      <c r="E1389" s="4" t="n"/>
      <c r="F1389" s="4" t="n"/>
      <c r="G1389">
        <f>IF(B1389="","",IFERROR(INDEX(Products!$B:$B,MATCH(B1389,Products!$A:$A,0)),"SKU not found"))</f>
        <v/>
      </c>
    </row>
    <row r="1390">
      <c r="A1390" s="7" t="n"/>
      <c r="B1390" s="4" t="n"/>
      <c r="C1390" s="4" t="n"/>
      <c r="D1390" s="4" t="n"/>
      <c r="E1390" s="4" t="n"/>
      <c r="F1390" s="4" t="n"/>
      <c r="G1390">
        <f>IF(B1390="","",IFERROR(INDEX(Products!$B:$B,MATCH(B1390,Products!$A:$A,0)),"SKU not found"))</f>
        <v/>
      </c>
    </row>
    <row r="1391">
      <c r="A1391" s="7" t="n"/>
      <c r="B1391" s="4" t="n"/>
      <c r="C1391" s="4" t="n"/>
      <c r="D1391" s="4" t="n"/>
      <c r="E1391" s="4" t="n"/>
      <c r="F1391" s="4" t="n"/>
      <c r="G1391">
        <f>IF(B1391="","",IFERROR(INDEX(Products!$B:$B,MATCH(B1391,Products!$A:$A,0)),"SKU not found"))</f>
        <v/>
      </c>
    </row>
    <row r="1392">
      <c r="A1392" s="7" t="n"/>
      <c r="B1392" s="4" t="n"/>
      <c r="C1392" s="4" t="n"/>
      <c r="D1392" s="4" t="n"/>
      <c r="E1392" s="4" t="n"/>
      <c r="F1392" s="4" t="n"/>
      <c r="G1392">
        <f>IF(B1392="","",IFERROR(INDEX(Products!$B:$B,MATCH(B1392,Products!$A:$A,0)),"SKU not found"))</f>
        <v/>
      </c>
    </row>
    <row r="1393">
      <c r="A1393" s="7" t="n"/>
      <c r="B1393" s="4" t="n"/>
      <c r="C1393" s="4" t="n"/>
      <c r="D1393" s="4" t="n"/>
      <c r="E1393" s="4" t="n"/>
      <c r="F1393" s="4" t="n"/>
      <c r="G1393">
        <f>IF(B1393="","",IFERROR(INDEX(Products!$B:$B,MATCH(B1393,Products!$A:$A,0)),"SKU not found"))</f>
        <v/>
      </c>
    </row>
    <row r="1394">
      <c r="A1394" s="7" t="n"/>
      <c r="B1394" s="4" t="n"/>
      <c r="C1394" s="4" t="n"/>
      <c r="D1394" s="4" t="n"/>
      <c r="E1394" s="4" t="n"/>
      <c r="F1394" s="4" t="n"/>
      <c r="G1394">
        <f>IF(B1394="","",IFERROR(INDEX(Products!$B:$B,MATCH(B1394,Products!$A:$A,0)),"SKU not found"))</f>
        <v/>
      </c>
    </row>
    <row r="1395">
      <c r="A1395" s="7" t="n"/>
      <c r="B1395" s="4" t="n"/>
      <c r="C1395" s="4" t="n"/>
      <c r="D1395" s="4" t="n"/>
      <c r="E1395" s="4" t="n"/>
      <c r="F1395" s="4" t="n"/>
      <c r="G1395">
        <f>IF(B1395="","",IFERROR(INDEX(Products!$B:$B,MATCH(B1395,Products!$A:$A,0)),"SKU not found"))</f>
        <v/>
      </c>
    </row>
    <row r="1396">
      <c r="A1396" s="7" t="n"/>
      <c r="B1396" s="4" t="n"/>
      <c r="C1396" s="4" t="n"/>
      <c r="D1396" s="4" t="n"/>
      <c r="E1396" s="4" t="n"/>
      <c r="F1396" s="4" t="n"/>
      <c r="G1396">
        <f>IF(B1396="","",IFERROR(INDEX(Products!$B:$B,MATCH(B1396,Products!$A:$A,0)),"SKU not found"))</f>
        <v/>
      </c>
    </row>
    <row r="1397">
      <c r="A1397" s="7" t="n"/>
      <c r="B1397" s="4" t="n"/>
      <c r="C1397" s="4" t="n"/>
      <c r="D1397" s="4" t="n"/>
      <c r="E1397" s="4" t="n"/>
      <c r="F1397" s="4" t="n"/>
      <c r="G1397">
        <f>IF(B1397="","",IFERROR(INDEX(Products!$B:$B,MATCH(B1397,Products!$A:$A,0)),"SKU not found"))</f>
        <v/>
      </c>
    </row>
    <row r="1398">
      <c r="A1398" s="7" t="n"/>
      <c r="B1398" s="4" t="n"/>
      <c r="C1398" s="4" t="n"/>
      <c r="D1398" s="4" t="n"/>
      <c r="E1398" s="4" t="n"/>
      <c r="F1398" s="4" t="n"/>
      <c r="G1398">
        <f>IF(B1398="","",IFERROR(INDEX(Products!$B:$B,MATCH(B1398,Products!$A:$A,0)),"SKU not found"))</f>
        <v/>
      </c>
    </row>
    <row r="1399">
      <c r="A1399" s="7" t="n"/>
      <c r="B1399" s="4" t="n"/>
      <c r="C1399" s="4" t="n"/>
      <c r="D1399" s="4" t="n"/>
      <c r="E1399" s="4" t="n"/>
      <c r="F1399" s="4" t="n"/>
      <c r="G1399">
        <f>IF(B1399="","",IFERROR(INDEX(Products!$B:$B,MATCH(B1399,Products!$A:$A,0)),"SKU not found"))</f>
        <v/>
      </c>
    </row>
    <row r="1400">
      <c r="A1400" s="7" t="n"/>
      <c r="B1400" s="4" t="n"/>
      <c r="C1400" s="4" t="n"/>
      <c r="D1400" s="4" t="n"/>
      <c r="E1400" s="4" t="n"/>
      <c r="F1400" s="4" t="n"/>
      <c r="G1400">
        <f>IF(B1400="","",IFERROR(INDEX(Products!$B:$B,MATCH(B1400,Products!$A:$A,0)),"SKU not found"))</f>
        <v/>
      </c>
    </row>
    <row r="1401">
      <c r="A1401" s="7" t="n"/>
      <c r="B1401" s="4" t="n"/>
      <c r="C1401" s="4" t="n"/>
      <c r="D1401" s="4" t="n"/>
      <c r="E1401" s="4" t="n"/>
      <c r="F1401" s="4" t="n"/>
      <c r="G1401">
        <f>IF(B1401="","",IFERROR(INDEX(Products!$B:$B,MATCH(B1401,Products!$A:$A,0)),"SKU not found"))</f>
        <v/>
      </c>
    </row>
    <row r="1402">
      <c r="A1402" s="7" t="n"/>
      <c r="B1402" s="4" t="n"/>
      <c r="C1402" s="4" t="n"/>
      <c r="D1402" s="4" t="n"/>
      <c r="E1402" s="4" t="n"/>
      <c r="F1402" s="4" t="n"/>
      <c r="G1402">
        <f>IF(B1402="","",IFERROR(INDEX(Products!$B:$B,MATCH(B1402,Products!$A:$A,0)),"SKU not found"))</f>
        <v/>
      </c>
    </row>
    <row r="1403">
      <c r="A1403" s="7" t="n"/>
      <c r="B1403" s="4" t="n"/>
      <c r="C1403" s="4" t="n"/>
      <c r="D1403" s="4" t="n"/>
      <c r="E1403" s="4" t="n"/>
      <c r="F1403" s="4" t="n"/>
      <c r="G1403">
        <f>IF(B1403="","",IFERROR(INDEX(Products!$B:$B,MATCH(B1403,Products!$A:$A,0)),"SKU not found"))</f>
        <v/>
      </c>
    </row>
    <row r="1404">
      <c r="A1404" s="7" t="n"/>
      <c r="B1404" s="4" t="n"/>
      <c r="C1404" s="4" t="n"/>
      <c r="D1404" s="4" t="n"/>
      <c r="E1404" s="4" t="n"/>
      <c r="F1404" s="4" t="n"/>
      <c r="G1404">
        <f>IF(B1404="","",IFERROR(INDEX(Products!$B:$B,MATCH(B1404,Products!$A:$A,0)),"SKU not found"))</f>
        <v/>
      </c>
    </row>
    <row r="1405">
      <c r="A1405" s="7" t="n"/>
      <c r="B1405" s="4" t="n"/>
      <c r="C1405" s="4" t="n"/>
      <c r="D1405" s="4" t="n"/>
      <c r="E1405" s="4" t="n"/>
      <c r="F1405" s="4" t="n"/>
      <c r="G1405">
        <f>IF(B1405="","",IFERROR(INDEX(Products!$B:$B,MATCH(B1405,Products!$A:$A,0)),"SKU not found"))</f>
        <v/>
      </c>
    </row>
    <row r="1406">
      <c r="A1406" s="7" t="n"/>
      <c r="B1406" s="4" t="n"/>
      <c r="C1406" s="4" t="n"/>
      <c r="D1406" s="4" t="n"/>
      <c r="E1406" s="4" t="n"/>
      <c r="F1406" s="4" t="n"/>
      <c r="G1406">
        <f>IF(B1406="","",IFERROR(INDEX(Products!$B:$B,MATCH(B1406,Products!$A:$A,0)),"SKU not found"))</f>
        <v/>
      </c>
    </row>
    <row r="1407">
      <c r="A1407" s="7" t="n"/>
      <c r="B1407" s="4" t="n"/>
      <c r="C1407" s="4" t="n"/>
      <c r="D1407" s="4" t="n"/>
      <c r="E1407" s="4" t="n"/>
      <c r="F1407" s="4" t="n"/>
      <c r="G1407">
        <f>IF(B1407="","",IFERROR(INDEX(Products!$B:$B,MATCH(B1407,Products!$A:$A,0)),"SKU not found"))</f>
        <v/>
      </c>
    </row>
    <row r="1408">
      <c r="A1408" s="7" t="n"/>
      <c r="B1408" s="4" t="n"/>
      <c r="C1408" s="4" t="n"/>
      <c r="D1408" s="4" t="n"/>
      <c r="E1408" s="4" t="n"/>
      <c r="F1408" s="4" t="n"/>
      <c r="G1408">
        <f>IF(B1408="","",IFERROR(INDEX(Products!$B:$B,MATCH(B1408,Products!$A:$A,0)),"SKU not found"))</f>
        <v/>
      </c>
    </row>
    <row r="1409">
      <c r="A1409" s="7" t="n"/>
      <c r="B1409" s="4" t="n"/>
      <c r="C1409" s="4" t="n"/>
      <c r="D1409" s="4" t="n"/>
      <c r="E1409" s="4" t="n"/>
      <c r="F1409" s="4" t="n"/>
      <c r="G1409">
        <f>IF(B1409="","",IFERROR(INDEX(Products!$B:$B,MATCH(B1409,Products!$A:$A,0)),"SKU not found"))</f>
        <v/>
      </c>
    </row>
    <row r="1410">
      <c r="A1410" s="7" t="n"/>
      <c r="B1410" s="4" t="n"/>
      <c r="C1410" s="4" t="n"/>
      <c r="D1410" s="4" t="n"/>
      <c r="E1410" s="4" t="n"/>
      <c r="F1410" s="4" t="n"/>
      <c r="G1410">
        <f>IF(B1410="","",IFERROR(INDEX(Products!$B:$B,MATCH(B1410,Products!$A:$A,0)),"SKU not found"))</f>
        <v/>
      </c>
    </row>
    <row r="1411">
      <c r="A1411" s="7" t="n"/>
      <c r="B1411" s="4" t="n"/>
      <c r="C1411" s="4" t="n"/>
      <c r="D1411" s="4" t="n"/>
      <c r="E1411" s="4" t="n"/>
      <c r="F1411" s="4" t="n"/>
      <c r="G1411">
        <f>IF(B1411="","",IFERROR(INDEX(Products!$B:$B,MATCH(B1411,Products!$A:$A,0)),"SKU not found"))</f>
        <v/>
      </c>
    </row>
    <row r="1412">
      <c r="A1412" s="7" t="n"/>
      <c r="B1412" s="4" t="n"/>
      <c r="C1412" s="4" t="n"/>
      <c r="D1412" s="4" t="n"/>
      <c r="E1412" s="4" t="n"/>
      <c r="F1412" s="4" t="n"/>
      <c r="G1412">
        <f>IF(B1412="","",IFERROR(INDEX(Products!$B:$B,MATCH(B1412,Products!$A:$A,0)),"SKU not found"))</f>
        <v/>
      </c>
    </row>
    <row r="1413">
      <c r="A1413" s="7" t="n"/>
      <c r="B1413" s="4" t="n"/>
      <c r="C1413" s="4" t="n"/>
      <c r="D1413" s="4" t="n"/>
      <c r="E1413" s="4" t="n"/>
      <c r="F1413" s="4" t="n"/>
      <c r="G1413">
        <f>IF(B1413="","",IFERROR(INDEX(Products!$B:$B,MATCH(B1413,Products!$A:$A,0)),"SKU not found"))</f>
        <v/>
      </c>
    </row>
    <row r="1414">
      <c r="A1414" s="7" t="n"/>
      <c r="B1414" s="4" t="n"/>
      <c r="C1414" s="4" t="n"/>
      <c r="D1414" s="4" t="n"/>
      <c r="E1414" s="4" t="n"/>
      <c r="F1414" s="4" t="n"/>
      <c r="G1414">
        <f>IF(B1414="","",IFERROR(INDEX(Products!$B:$B,MATCH(B1414,Products!$A:$A,0)),"SKU not found"))</f>
        <v/>
      </c>
    </row>
    <row r="1415">
      <c r="A1415" s="7" t="n"/>
      <c r="B1415" s="4" t="n"/>
      <c r="C1415" s="4" t="n"/>
      <c r="D1415" s="4" t="n"/>
      <c r="E1415" s="4" t="n"/>
      <c r="F1415" s="4" t="n"/>
      <c r="G1415">
        <f>IF(B1415="","",IFERROR(INDEX(Products!$B:$B,MATCH(B1415,Products!$A:$A,0)),"SKU not found"))</f>
        <v/>
      </c>
    </row>
    <row r="1416">
      <c r="A1416" s="7" t="n"/>
      <c r="B1416" s="4" t="n"/>
      <c r="C1416" s="4" t="n"/>
      <c r="D1416" s="4" t="n"/>
      <c r="E1416" s="4" t="n"/>
      <c r="F1416" s="4" t="n"/>
      <c r="G1416">
        <f>IF(B1416="","",IFERROR(INDEX(Products!$B:$B,MATCH(B1416,Products!$A:$A,0)),"SKU not found"))</f>
        <v/>
      </c>
    </row>
    <row r="1417">
      <c r="A1417" s="7" t="n"/>
      <c r="B1417" s="4" t="n"/>
      <c r="C1417" s="4" t="n"/>
      <c r="D1417" s="4" t="n"/>
      <c r="E1417" s="4" t="n"/>
      <c r="F1417" s="4" t="n"/>
      <c r="G1417">
        <f>IF(B1417="","",IFERROR(INDEX(Products!$B:$B,MATCH(B1417,Products!$A:$A,0)),"SKU not found"))</f>
        <v/>
      </c>
    </row>
    <row r="1418">
      <c r="A1418" s="7" t="n"/>
      <c r="B1418" s="4" t="n"/>
      <c r="C1418" s="4" t="n"/>
      <c r="D1418" s="4" t="n"/>
      <c r="E1418" s="4" t="n"/>
      <c r="F1418" s="4" t="n"/>
      <c r="G1418">
        <f>IF(B1418="","",IFERROR(INDEX(Products!$B:$B,MATCH(B1418,Products!$A:$A,0)),"SKU not found"))</f>
        <v/>
      </c>
    </row>
    <row r="1419">
      <c r="A1419" s="7" t="n"/>
      <c r="B1419" s="4" t="n"/>
      <c r="C1419" s="4" t="n"/>
      <c r="D1419" s="4" t="n"/>
      <c r="E1419" s="4" t="n"/>
      <c r="F1419" s="4" t="n"/>
      <c r="G1419">
        <f>IF(B1419="","",IFERROR(INDEX(Products!$B:$B,MATCH(B1419,Products!$A:$A,0)),"SKU not found"))</f>
        <v/>
      </c>
    </row>
    <row r="1420">
      <c r="A1420" s="7" t="n"/>
      <c r="B1420" s="4" t="n"/>
      <c r="C1420" s="4" t="n"/>
      <c r="D1420" s="4" t="n"/>
      <c r="E1420" s="4" t="n"/>
      <c r="F1420" s="4" t="n"/>
      <c r="G1420">
        <f>IF(B1420="","",IFERROR(INDEX(Products!$B:$B,MATCH(B1420,Products!$A:$A,0)),"SKU not found"))</f>
        <v/>
      </c>
    </row>
    <row r="1421">
      <c r="A1421" s="7" t="n"/>
      <c r="B1421" s="4" t="n"/>
      <c r="C1421" s="4" t="n"/>
      <c r="D1421" s="4" t="n"/>
      <c r="E1421" s="4" t="n"/>
      <c r="F1421" s="4" t="n"/>
      <c r="G1421">
        <f>IF(B1421="","",IFERROR(INDEX(Products!$B:$B,MATCH(B1421,Products!$A:$A,0)),"SKU not found"))</f>
        <v/>
      </c>
    </row>
    <row r="1422">
      <c r="A1422" s="7" t="n"/>
      <c r="B1422" s="4" t="n"/>
      <c r="C1422" s="4" t="n"/>
      <c r="D1422" s="4" t="n"/>
      <c r="E1422" s="4" t="n"/>
      <c r="F1422" s="4" t="n"/>
      <c r="G1422">
        <f>IF(B1422="","",IFERROR(INDEX(Products!$B:$B,MATCH(B1422,Products!$A:$A,0)),"SKU not found"))</f>
        <v/>
      </c>
    </row>
    <row r="1423">
      <c r="A1423" s="7" t="n"/>
      <c r="B1423" s="4" t="n"/>
      <c r="C1423" s="4" t="n"/>
      <c r="D1423" s="4" t="n"/>
      <c r="E1423" s="4" t="n"/>
      <c r="F1423" s="4" t="n"/>
      <c r="G1423">
        <f>IF(B1423="","",IFERROR(INDEX(Products!$B:$B,MATCH(B1423,Products!$A:$A,0)),"SKU not found"))</f>
        <v/>
      </c>
    </row>
    <row r="1424">
      <c r="A1424" s="7" t="n"/>
      <c r="B1424" s="4" t="n"/>
      <c r="C1424" s="4" t="n"/>
      <c r="D1424" s="4" t="n"/>
      <c r="E1424" s="4" t="n"/>
      <c r="F1424" s="4" t="n"/>
      <c r="G1424">
        <f>IF(B1424="","",IFERROR(INDEX(Products!$B:$B,MATCH(B1424,Products!$A:$A,0)),"SKU not found"))</f>
        <v/>
      </c>
    </row>
    <row r="1425">
      <c r="A1425" s="7" t="n"/>
      <c r="B1425" s="4" t="n"/>
      <c r="C1425" s="4" t="n"/>
      <c r="D1425" s="4" t="n"/>
      <c r="E1425" s="4" t="n"/>
      <c r="F1425" s="4" t="n"/>
      <c r="G1425">
        <f>IF(B1425="","",IFERROR(INDEX(Products!$B:$B,MATCH(B1425,Products!$A:$A,0)),"SKU not found"))</f>
        <v/>
      </c>
    </row>
    <row r="1426">
      <c r="A1426" s="7" t="n"/>
      <c r="B1426" s="4" t="n"/>
      <c r="C1426" s="4" t="n"/>
      <c r="D1426" s="4" t="n"/>
      <c r="E1426" s="4" t="n"/>
      <c r="F1426" s="4" t="n"/>
      <c r="G1426">
        <f>IF(B1426="","",IFERROR(INDEX(Products!$B:$B,MATCH(B1426,Products!$A:$A,0)),"SKU not found"))</f>
        <v/>
      </c>
    </row>
    <row r="1427">
      <c r="A1427" s="7" t="n"/>
      <c r="B1427" s="4" t="n"/>
      <c r="C1427" s="4" t="n"/>
      <c r="D1427" s="4" t="n"/>
      <c r="E1427" s="4" t="n"/>
      <c r="F1427" s="4" t="n"/>
      <c r="G1427">
        <f>IF(B1427="","",IFERROR(INDEX(Products!$B:$B,MATCH(B1427,Products!$A:$A,0)),"SKU not found"))</f>
        <v/>
      </c>
    </row>
    <row r="1428">
      <c r="A1428" s="7" t="n"/>
      <c r="B1428" s="4" t="n"/>
      <c r="C1428" s="4" t="n"/>
      <c r="D1428" s="4" t="n"/>
      <c r="E1428" s="4" t="n"/>
      <c r="F1428" s="4" t="n"/>
      <c r="G1428">
        <f>IF(B1428="","",IFERROR(INDEX(Products!$B:$B,MATCH(B1428,Products!$A:$A,0)),"SKU not found"))</f>
        <v/>
      </c>
    </row>
    <row r="1429">
      <c r="A1429" s="7" t="n"/>
      <c r="B1429" s="4" t="n"/>
      <c r="C1429" s="4" t="n"/>
      <c r="D1429" s="4" t="n"/>
      <c r="E1429" s="4" t="n"/>
      <c r="F1429" s="4" t="n"/>
      <c r="G1429">
        <f>IF(B1429="","",IFERROR(INDEX(Products!$B:$B,MATCH(B1429,Products!$A:$A,0)),"SKU not found"))</f>
        <v/>
      </c>
    </row>
    <row r="1430">
      <c r="A1430" s="7" t="n"/>
      <c r="B1430" s="4" t="n"/>
      <c r="C1430" s="4" t="n"/>
      <c r="D1430" s="4" t="n"/>
      <c r="E1430" s="4" t="n"/>
      <c r="F1430" s="4" t="n"/>
      <c r="G1430">
        <f>IF(B1430="","",IFERROR(INDEX(Products!$B:$B,MATCH(B1430,Products!$A:$A,0)),"SKU not found"))</f>
        <v/>
      </c>
    </row>
    <row r="1431">
      <c r="A1431" s="7" t="n"/>
      <c r="B1431" s="4" t="n"/>
      <c r="C1431" s="4" t="n"/>
      <c r="D1431" s="4" t="n"/>
      <c r="E1431" s="4" t="n"/>
      <c r="F1431" s="4" t="n"/>
      <c r="G1431">
        <f>IF(B1431="","",IFERROR(INDEX(Products!$B:$B,MATCH(B1431,Products!$A:$A,0)),"SKU not found"))</f>
        <v/>
      </c>
    </row>
    <row r="1432">
      <c r="A1432" s="7" t="n"/>
      <c r="B1432" s="4" t="n"/>
      <c r="C1432" s="4" t="n"/>
      <c r="D1432" s="4" t="n"/>
      <c r="E1432" s="4" t="n"/>
      <c r="F1432" s="4" t="n"/>
      <c r="G1432">
        <f>IF(B1432="","",IFERROR(INDEX(Products!$B:$B,MATCH(B1432,Products!$A:$A,0)),"SKU not found"))</f>
        <v/>
      </c>
    </row>
    <row r="1433">
      <c r="A1433" s="7" t="n"/>
      <c r="B1433" s="4" t="n"/>
      <c r="C1433" s="4" t="n"/>
      <c r="D1433" s="4" t="n"/>
      <c r="E1433" s="4" t="n"/>
      <c r="F1433" s="4" t="n"/>
      <c r="G1433">
        <f>IF(B1433="","",IFERROR(INDEX(Products!$B:$B,MATCH(B1433,Products!$A:$A,0)),"SKU not found"))</f>
        <v/>
      </c>
    </row>
    <row r="1434">
      <c r="A1434" s="7" t="n"/>
      <c r="B1434" s="4" t="n"/>
      <c r="C1434" s="4" t="n"/>
      <c r="D1434" s="4" t="n"/>
      <c r="E1434" s="4" t="n"/>
      <c r="F1434" s="4" t="n"/>
      <c r="G1434">
        <f>IF(B1434="","",IFERROR(INDEX(Products!$B:$B,MATCH(B1434,Products!$A:$A,0)),"SKU not found"))</f>
        <v/>
      </c>
    </row>
    <row r="1435">
      <c r="A1435" s="7" t="n"/>
      <c r="B1435" s="4" t="n"/>
      <c r="C1435" s="4" t="n"/>
      <c r="D1435" s="4" t="n"/>
      <c r="E1435" s="4" t="n"/>
      <c r="F1435" s="4" t="n"/>
      <c r="G1435">
        <f>IF(B1435="","",IFERROR(INDEX(Products!$B:$B,MATCH(B1435,Products!$A:$A,0)),"SKU not found"))</f>
        <v/>
      </c>
    </row>
    <row r="1436">
      <c r="A1436" s="7" t="n"/>
      <c r="B1436" s="4" t="n"/>
      <c r="C1436" s="4" t="n"/>
      <c r="D1436" s="4" t="n"/>
      <c r="E1436" s="4" t="n"/>
      <c r="F1436" s="4" t="n"/>
      <c r="G1436">
        <f>IF(B1436="","",IFERROR(INDEX(Products!$B:$B,MATCH(B1436,Products!$A:$A,0)),"SKU not found"))</f>
        <v/>
      </c>
    </row>
    <row r="1437">
      <c r="A1437" s="7" t="n"/>
      <c r="B1437" s="4" t="n"/>
      <c r="C1437" s="4" t="n"/>
      <c r="D1437" s="4" t="n"/>
      <c r="E1437" s="4" t="n"/>
      <c r="F1437" s="4" t="n"/>
      <c r="G1437">
        <f>IF(B1437="","",IFERROR(INDEX(Products!$B:$B,MATCH(B1437,Products!$A:$A,0)),"SKU not found"))</f>
        <v/>
      </c>
    </row>
    <row r="1438">
      <c r="A1438" s="7" t="n"/>
      <c r="B1438" s="4" t="n"/>
      <c r="C1438" s="4" t="n"/>
      <c r="D1438" s="4" t="n"/>
      <c r="E1438" s="4" t="n"/>
      <c r="F1438" s="4" t="n"/>
      <c r="G1438">
        <f>IF(B1438="","",IFERROR(INDEX(Products!$B:$B,MATCH(B1438,Products!$A:$A,0)),"SKU not found"))</f>
        <v/>
      </c>
    </row>
    <row r="1439">
      <c r="A1439" s="7" t="n"/>
      <c r="B1439" s="4" t="n"/>
      <c r="C1439" s="4" t="n"/>
      <c r="D1439" s="4" t="n"/>
      <c r="E1439" s="4" t="n"/>
      <c r="F1439" s="4" t="n"/>
      <c r="G1439">
        <f>IF(B1439="","",IFERROR(INDEX(Products!$B:$B,MATCH(B1439,Products!$A:$A,0)),"SKU not found"))</f>
        <v/>
      </c>
    </row>
    <row r="1440">
      <c r="A1440" s="7" t="n"/>
      <c r="B1440" s="4" t="n"/>
      <c r="C1440" s="4" t="n"/>
      <c r="D1440" s="4" t="n"/>
      <c r="E1440" s="4" t="n"/>
      <c r="F1440" s="4" t="n"/>
      <c r="G1440">
        <f>IF(B1440="","",IFERROR(INDEX(Products!$B:$B,MATCH(B1440,Products!$A:$A,0)),"SKU not found"))</f>
        <v/>
      </c>
    </row>
    <row r="1441">
      <c r="A1441" s="7" t="n"/>
      <c r="B1441" s="4" t="n"/>
      <c r="C1441" s="4" t="n"/>
      <c r="D1441" s="4" t="n"/>
      <c r="E1441" s="4" t="n"/>
      <c r="F1441" s="4" t="n"/>
      <c r="G1441">
        <f>IF(B1441="","",IFERROR(INDEX(Products!$B:$B,MATCH(B1441,Products!$A:$A,0)),"SKU not found"))</f>
        <v/>
      </c>
    </row>
    <row r="1442">
      <c r="A1442" s="7" t="n"/>
      <c r="B1442" s="4" t="n"/>
      <c r="C1442" s="4" t="n"/>
      <c r="D1442" s="4" t="n"/>
      <c r="E1442" s="4" t="n"/>
      <c r="F1442" s="4" t="n"/>
      <c r="G1442">
        <f>IF(B1442="","",IFERROR(INDEX(Products!$B:$B,MATCH(B1442,Products!$A:$A,0)),"SKU not found"))</f>
        <v/>
      </c>
    </row>
    <row r="1443">
      <c r="A1443" s="7" t="n"/>
      <c r="B1443" s="4" t="n"/>
      <c r="C1443" s="4" t="n"/>
      <c r="D1443" s="4" t="n"/>
      <c r="E1443" s="4" t="n"/>
      <c r="F1443" s="4" t="n"/>
      <c r="G1443">
        <f>IF(B1443="","",IFERROR(INDEX(Products!$B:$B,MATCH(B1443,Products!$A:$A,0)),"SKU not found"))</f>
        <v/>
      </c>
    </row>
    <row r="1444">
      <c r="A1444" s="7" t="n"/>
      <c r="B1444" s="4" t="n"/>
      <c r="C1444" s="4" t="n"/>
      <c r="D1444" s="4" t="n"/>
      <c r="E1444" s="4" t="n"/>
      <c r="F1444" s="4" t="n"/>
      <c r="G1444">
        <f>IF(B1444="","",IFERROR(INDEX(Products!$B:$B,MATCH(B1444,Products!$A:$A,0)),"SKU not found"))</f>
        <v/>
      </c>
    </row>
    <row r="1445">
      <c r="A1445" s="7" t="n"/>
      <c r="B1445" s="4" t="n"/>
      <c r="C1445" s="4" t="n"/>
      <c r="D1445" s="4" t="n"/>
      <c r="E1445" s="4" t="n"/>
      <c r="F1445" s="4" t="n"/>
      <c r="G1445">
        <f>IF(B1445="","",IFERROR(INDEX(Products!$B:$B,MATCH(B1445,Products!$A:$A,0)),"SKU not found"))</f>
        <v/>
      </c>
    </row>
    <row r="1446">
      <c r="A1446" s="7" t="n"/>
      <c r="B1446" s="4" t="n"/>
      <c r="C1446" s="4" t="n"/>
      <c r="D1446" s="4" t="n"/>
      <c r="E1446" s="4" t="n"/>
      <c r="F1446" s="4" t="n"/>
      <c r="G1446">
        <f>IF(B1446="","",IFERROR(INDEX(Products!$B:$B,MATCH(B1446,Products!$A:$A,0)),"SKU not found"))</f>
        <v/>
      </c>
    </row>
    <row r="1447">
      <c r="A1447" s="7" t="n"/>
      <c r="B1447" s="4" t="n"/>
      <c r="C1447" s="4" t="n"/>
      <c r="D1447" s="4" t="n"/>
      <c r="E1447" s="4" t="n"/>
      <c r="F1447" s="4" t="n"/>
      <c r="G1447">
        <f>IF(B1447="","",IFERROR(INDEX(Products!$B:$B,MATCH(B1447,Products!$A:$A,0)),"SKU not found"))</f>
        <v/>
      </c>
    </row>
    <row r="1448">
      <c r="A1448" s="7" t="n"/>
      <c r="B1448" s="4" t="n"/>
      <c r="C1448" s="4" t="n"/>
      <c r="D1448" s="4" t="n"/>
      <c r="E1448" s="4" t="n"/>
      <c r="F1448" s="4" t="n"/>
      <c r="G1448">
        <f>IF(B1448="","",IFERROR(INDEX(Products!$B:$B,MATCH(B1448,Products!$A:$A,0)),"SKU not found"))</f>
        <v/>
      </c>
    </row>
    <row r="1449">
      <c r="A1449" s="7" t="n"/>
      <c r="B1449" s="4" t="n"/>
      <c r="C1449" s="4" t="n"/>
      <c r="D1449" s="4" t="n"/>
      <c r="E1449" s="4" t="n"/>
      <c r="F1449" s="4" t="n"/>
      <c r="G1449">
        <f>IF(B1449="","",IFERROR(INDEX(Products!$B:$B,MATCH(B1449,Products!$A:$A,0)),"SKU not found"))</f>
        <v/>
      </c>
    </row>
    <row r="1450">
      <c r="A1450" s="7" t="n"/>
      <c r="B1450" s="4" t="n"/>
      <c r="C1450" s="4" t="n"/>
      <c r="D1450" s="4" t="n"/>
      <c r="E1450" s="4" t="n"/>
      <c r="F1450" s="4" t="n"/>
      <c r="G1450">
        <f>IF(B1450="","",IFERROR(INDEX(Products!$B:$B,MATCH(B1450,Products!$A:$A,0)),"SKU not found"))</f>
        <v/>
      </c>
    </row>
    <row r="1451">
      <c r="A1451" s="7" t="n"/>
      <c r="B1451" s="4" t="n"/>
      <c r="C1451" s="4" t="n"/>
      <c r="D1451" s="4" t="n"/>
      <c r="E1451" s="4" t="n"/>
      <c r="F1451" s="4" t="n"/>
      <c r="G1451">
        <f>IF(B1451="","",IFERROR(INDEX(Products!$B:$B,MATCH(B1451,Products!$A:$A,0)),"SKU not found"))</f>
        <v/>
      </c>
    </row>
    <row r="1452">
      <c r="A1452" s="7" t="n"/>
      <c r="B1452" s="4" t="n"/>
      <c r="C1452" s="4" t="n"/>
      <c r="D1452" s="4" t="n"/>
      <c r="E1452" s="4" t="n"/>
      <c r="F1452" s="4" t="n"/>
      <c r="G1452">
        <f>IF(B1452="","",IFERROR(INDEX(Products!$B:$B,MATCH(B1452,Products!$A:$A,0)),"SKU not found"))</f>
        <v/>
      </c>
    </row>
    <row r="1453">
      <c r="A1453" s="7" t="n"/>
      <c r="B1453" s="4" t="n"/>
      <c r="C1453" s="4" t="n"/>
      <c r="D1453" s="4" t="n"/>
      <c r="E1453" s="4" t="n"/>
      <c r="F1453" s="4" t="n"/>
      <c r="G1453">
        <f>IF(B1453="","",IFERROR(INDEX(Products!$B:$B,MATCH(B1453,Products!$A:$A,0)),"SKU not found"))</f>
        <v/>
      </c>
    </row>
    <row r="1454">
      <c r="A1454" s="7" t="n"/>
      <c r="B1454" s="4" t="n"/>
      <c r="C1454" s="4" t="n"/>
      <c r="D1454" s="4" t="n"/>
      <c r="E1454" s="4" t="n"/>
      <c r="F1454" s="4" t="n"/>
      <c r="G1454">
        <f>IF(B1454="","",IFERROR(INDEX(Products!$B:$B,MATCH(B1454,Products!$A:$A,0)),"SKU not found"))</f>
        <v/>
      </c>
    </row>
    <row r="1455">
      <c r="A1455" s="7" t="n"/>
      <c r="B1455" s="4" t="n"/>
      <c r="C1455" s="4" t="n"/>
      <c r="D1455" s="4" t="n"/>
      <c r="E1455" s="4" t="n"/>
      <c r="F1455" s="4" t="n"/>
      <c r="G1455">
        <f>IF(B1455="","",IFERROR(INDEX(Products!$B:$B,MATCH(B1455,Products!$A:$A,0)),"SKU not found"))</f>
        <v/>
      </c>
    </row>
    <row r="1456">
      <c r="A1456" s="7" t="n"/>
      <c r="B1456" s="4" t="n"/>
      <c r="C1456" s="4" t="n"/>
      <c r="D1456" s="4" t="n"/>
      <c r="E1456" s="4" t="n"/>
      <c r="F1456" s="4" t="n"/>
      <c r="G1456">
        <f>IF(B1456="","",IFERROR(INDEX(Products!$B:$B,MATCH(B1456,Products!$A:$A,0)),"SKU not found"))</f>
        <v/>
      </c>
    </row>
    <row r="1457">
      <c r="A1457" s="7" t="n"/>
      <c r="B1457" s="4" t="n"/>
      <c r="C1457" s="4" t="n"/>
      <c r="D1457" s="4" t="n"/>
      <c r="E1457" s="4" t="n"/>
      <c r="F1457" s="4" t="n"/>
      <c r="G1457">
        <f>IF(B1457="","",IFERROR(INDEX(Products!$B:$B,MATCH(B1457,Products!$A:$A,0)),"SKU not found"))</f>
        <v/>
      </c>
    </row>
    <row r="1458">
      <c r="A1458" s="7" t="n"/>
      <c r="B1458" s="4" t="n"/>
      <c r="C1458" s="4" t="n"/>
      <c r="D1458" s="4" t="n"/>
      <c r="E1458" s="4" t="n"/>
      <c r="F1458" s="4" t="n"/>
      <c r="G1458">
        <f>IF(B1458="","",IFERROR(INDEX(Products!$B:$B,MATCH(B1458,Products!$A:$A,0)),"SKU not found"))</f>
        <v/>
      </c>
    </row>
    <row r="1459">
      <c r="A1459" s="7" t="n"/>
      <c r="B1459" s="4" t="n"/>
      <c r="C1459" s="4" t="n"/>
      <c r="D1459" s="4" t="n"/>
      <c r="E1459" s="4" t="n"/>
      <c r="F1459" s="4" t="n"/>
      <c r="G1459">
        <f>IF(B1459="","",IFERROR(INDEX(Products!$B:$B,MATCH(B1459,Products!$A:$A,0)),"SKU not found"))</f>
        <v/>
      </c>
    </row>
    <row r="1460">
      <c r="A1460" s="7" t="n"/>
      <c r="B1460" s="4" t="n"/>
      <c r="C1460" s="4" t="n"/>
      <c r="D1460" s="4" t="n"/>
      <c r="E1460" s="4" t="n"/>
      <c r="F1460" s="4" t="n"/>
      <c r="G1460">
        <f>IF(B1460="","",IFERROR(INDEX(Products!$B:$B,MATCH(B1460,Products!$A:$A,0)),"SKU not found"))</f>
        <v/>
      </c>
    </row>
    <row r="1461">
      <c r="A1461" s="7" t="n"/>
      <c r="B1461" s="4" t="n"/>
      <c r="C1461" s="4" t="n"/>
      <c r="D1461" s="4" t="n"/>
      <c r="E1461" s="4" t="n"/>
      <c r="F1461" s="4" t="n"/>
      <c r="G1461">
        <f>IF(B1461="","",IFERROR(INDEX(Products!$B:$B,MATCH(B1461,Products!$A:$A,0)),"SKU not found"))</f>
        <v/>
      </c>
    </row>
    <row r="1462">
      <c r="A1462" s="7" t="n"/>
      <c r="B1462" s="4" t="n"/>
      <c r="C1462" s="4" t="n"/>
      <c r="D1462" s="4" t="n"/>
      <c r="E1462" s="4" t="n"/>
      <c r="F1462" s="4" t="n"/>
      <c r="G1462">
        <f>IF(B1462="","",IFERROR(INDEX(Products!$B:$B,MATCH(B1462,Products!$A:$A,0)),"SKU not found"))</f>
        <v/>
      </c>
    </row>
    <row r="1463">
      <c r="A1463" s="7" t="n"/>
      <c r="B1463" s="4" t="n"/>
      <c r="C1463" s="4" t="n"/>
      <c r="D1463" s="4" t="n"/>
      <c r="E1463" s="4" t="n"/>
      <c r="F1463" s="4" t="n"/>
      <c r="G1463">
        <f>IF(B1463="","",IFERROR(INDEX(Products!$B:$B,MATCH(B1463,Products!$A:$A,0)),"SKU not found"))</f>
        <v/>
      </c>
    </row>
    <row r="1464">
      <c r="A1464" s="7" t="n"/>
      <c r="B1464" s="4" t="n"/>
      <c r="C1464" s="4" t="n"/>
      <c r="D1464" s="4" t="n"/>
      <c r="E1464" s="4" t="n"/>
      <c r="F1464" s="4" t="n"/>
      <c r="G1464">
        <f>IF(B1464="","",IFERROR(INDEX(Products!$B:$B,MATCH(B1464,Products!$A:$A,0)),"SKU not found"))</f>
        <v/>
      </c>
    </row>
    <row r="1465">
      <c r="A1465" s="7" t="n"/>
      <c r="B1465" s="4" t="n"/>
      <c r="C1465" s="4" t="n"/>
      <c r="D1465" s="4" t="n"/>
      <c r="E1465" s="4" t="n"/>
      <c r="F1465" s="4" t="n"/>
      <c r="G1465">
        <f>IF(B1465="","",IFERROR(INDEX(Products!$B:$B,MATCH(B1465,Products!$A:$A,0)),"SKU not found"))</f>
        <v/>
      </c>
    </row>
    <row r="1466">
      <c r="A1466" s="7" t="n"/>
      <c r="B1466" s="4" t="n"/>
      <c r="C1466" s="4" t="n"/>
      <c r="D1466" s="4" t="n"/>
      <c r="E1466" s="4" t="n"/>
      <c r="F1466" s="4" t="n"/>
      <c r="G1466">
        <f>IF(B1466="","",IFERROR(INDEX(Products!$B:$B,MATCH(B1466,Products!$A:$A,0)),"SKU not found"))</f>
        <v/>
      </c>
    </row>
    <row r="1467">
      <c r="A1467" s="7" t="n"/>
      <c r="B1467" s="4" t="n"/>
      <c r="C1467" s="4" t="n"/>
      <c r="D1467" s="4" t="n"/>
      <c r="E1467" s="4" t="n"/>
      <c r="F1467" s="4" t="n"/>
      <c r="G1467">
        <f>IF(B1467="","",IFERROR(INDEX(Products!$B:$B,MATCH(B1467,Products!$A:$A,0)),"SKU not found"))</f>
        <v/>
      </c>
    </row>
    <row r="1468">
      <c r="A1468" s="7" t="n"/>
      <c r="B1468" s="4" t="n"/>
      <c r="C1468" s="4" t="n"/>
      <c r="D1468" s="4" t="n"/>
      <c r="E1468" s="4" t="n"/>
      <c r="F1468" s="4" t="n"/>
      <c r="G1468">
        <f>IF(B1468="","",IFERROR(INDEX(Products!$B:$B,MATCH(B1468,Products!$A:$A,0)),"SKU not found"))</f>
        <v/>
      </c>
    </row>
    <row r="1469">
      <c r="A1469" s="7" t="n"/>
      <c r="B1469" s="4" t="n"/>
      <c r="C1469" s="4" t="n"/>
      <c r="D1469" s="4" t="n"/>
      <c r="E1469" s="4" t="n"/>
      <c r="F1469" s="4" t="n"/>
      <c r="G1469">
        <f>IF(B1469="","",IFERROR(INDEX(Products!$B:$B,MATCH(B1469,Products!$A:$A,0)),"SKU not found"))</f>
        <v/>
      </c>
    </row>
    <row r="1470">
      <c r="A1470" s="7" t="n"/>
      <c r="B1470" s="4" t="n"/>
      <c r="C1470" s="4" t="n"/>
      <c r="D1470" s="4" t="n"/>
      <c r="E1470" s="4" t="n"/>
      <c r="F1470" s="4" t="n"/>
      <c r="G1470">
        <f>IF(B1470="","",IFERROR(INDEX(Products!$B:$B,MATCH(B1470,Products!$A:$A,0)),"SKU not found"))</f>
        <v/>
      </c>
    </row>
    <row r="1471">
      <c r="A1471" s="7" t="n"/>
      <c r="B1471" s="4" t="n"/>
      <c r="C1471" s="4" t="n"/>
      <c r="D1471" s="4" t="n"/>
      <c r="E1471" s="4" t="n"/>
      <c r="F1471" s="4" t="n"/>
      <c r="G1471">
        <f>IF(B1471="","",IFERROR(INDEX(Products!$B:$B,MATCH(B1471,Products!$A:$A,0)),"SKU not found"))</f>
        <v/>
      </c>
    </row>
    <row r="1472">
      <c r="A1472" s="7" t="n"/>
      <c r="B1472" s="4" t="n"/>
      <c r="C1472" s="4" t="n"/>
      <c r="D1472" s="4" t="n"/>
      <c r="E1472" s="4" t="n"/>
      <c r="F1472" s="4" t="n"/>
      <c r="G1472">
        <f>IF(B1472="","",IFERROR(INDEX(Products!$B:$B,MATCH(B1472,Products!$A:$A,0)),"SKU not found"))</f>
        <v/>
      </c>
    </row>
    <row r="1473">
      <c r="A1473" s="7" t="n"/>
      <c r="B1473" s="4" t="n"/>
      <c r="C1473" s="4" t="n"/>
      <c r="D1473" s="4" t="n"/>
      <c r="E1473" s="4" t="n"/>
      <c r="F1473" s="4" t="n"/>
      <c r="G1473">
        <f>IF(B1473="","",IFERROR(INDEX(Products!$B:$B,MATCH(B1473,Products!$A:$A,0)),"SKU not found"))</f>
        <v/>
      </c>
    </row>
    <row r="1474">
      <c r="A1474" s="7" t="n"/>
      <c r="B1474" s="4" t="n"/>
      <c r="C1474" s="4" t="n"/>
      <c r="D1474" s="4" t="n"/>
      <c r="E1474" s="4" t="n"/>
      <c r="F1474" s="4" t="n"/>
      <c r="G1474">
        <f>IF(B1474="","",IFERROR(INDEX(Products!$B:$B,MATCH(B1474,Products!$A:$A,0)),"SKU not found"))</f>
        <v/>
      </c>
    </row>
    <row r="1475">
      <c r="A1475" s="7" t="n"/>
      <c r="B1475" s="4" t="n"/>
      <c r="C1475" s="4" t="n"/>
      <c r="D1475" s="4" t="n"/>
      <c r="E1475" s="4" t="n"/>
      <c r="F1475" s="4" t="n"/>
      <c r="G1475">
        <f>IF(B1475="","",IFERROR(INDEX(Products!$B:$B,MATCH(B1475,Products!$A:$A,0)),"SKU not found"))</f>
        <v/>
      </c>
    </row>
    <row r="1476">
      <c r="A1476" s="7" t="n"/>
      <c r="B1476" s="4" t="n"/>
      <c r="C1476" s="4" t="n"/>
      <c r="D1476" s="4" t="n"/>
      <c r="E1476" s="4" t="n"/>
      <c r="F1476" s="4" t="n"/>
      <c r="G1476">
        <f>IF(B1476="","",IFERROR(INDEX(Products!$B:$B,MATCH(B1476,Products!$A:$A,0)),"SKU not found"))</f>
        <v/>
      </c>
    </row>
    <row r="1477">
      <c r="A1477" s="7" t="n"/>
      <c r="B1477" s="4" t="n"/>
      <c r="C1477" s="4" t="n"/>
      <c r="D1477" s="4" t="n"/>
      <c r="E1477" s="4" t="n"/>
      <c r="F1477" s="4" t="n"/>
      <c r="G1477">
        <f>IF(B1477="","",IFERROR(INDEX(Products!$B:$B,MATCH(B1477,Products!$A:$A,0)),"SKU not found"))</f>
        <v/>
      </c>
    </row>
    <row r="1478">
      <c r="A1478" s="7" t="n"/>
      <c r="B1478" s="4" t="n"/>
      <c r="C1478" s="4" t="n"/>
      <c r="D1478" s="4" t="n"/>
      <c r="E1478" s="4" t="n"/>
      <c r="F1478" s="4" t="n"/>
      <c r="G1478">
        <f>IF(B1478="","",IFERROR(INDEX(Products!$B:$B,MATCH(B1478,Products!$A:$A,0)),"SKU not found"))</f>
        <v/>
      </c>
    </row>
    <row r="1479">
      <c r="A1479" s="7" t="n"/>
      <c r="B1479" s="4" t="n"/>
      <c r="C1479" s="4" t="n"/>
      <c r="D1479" s="4" t="n"/>
      <c r="E1479" s="4" t="n"/>
      <c r="F1479" s="4" t="n"/>
      <c r="G1479">
        <f>IF(B1479="","",IFERROR(INDEX(Products!$B:$B,MATCH(B1479,Products!$A:$A,0)),"SKU not found"))</f>
        <v/>
      </c>
    </row>
    <row r="1480">
      <c r="A1480" s="7" t="n"/>
      <c r="B1480" s="4" t="n"/>
      <c r="C1480" s="4" t="n"/>
      <c r="D1480" s="4" t="n"/>
      <c r="E1480" s="4" t="n"/>
      <c r="F1480" s="4" t="n"/>
      <c r="G1480">
        <f>IF(B1480="","",IFERROR(INDEX(Products!$B:$B,MATCH(B1480,Products!$A:$A,0)),"SKU not found"))</f>
        <v/>
      </c>
    </row>
    <row r="1481">
      <c r="A1481" s="7" t="n"/>
      <c r="B1481" s="4" t="n"/>
      <c r="C1481" s="4" t="n"/>
      <c r="D1481" s="4" t="n"/>
      <c r="E1481" s="4" t="n"/>
      <c r="F1481" s="4" t="n"/>
      <c r="G1481">
        <f>IF(B1481="","",IFERROR(INDEX(Products!$B:$B,MATCH(B1481,Products!$A:$A,0)),"SKU not found"))</f>
        <v/>
      </c>
    </row>
    <row r="1482">
      <c r="A1482" s="7" t="n"/>
      <c r="B1482" s="4" t="n"/>
      <c r="C1482" s="4" t="n"/>
      <c r="D1482" s="4" t="n"/>
      <c r="E1482" s="4" t="n"/>
      <c r="F1482" s="4" t="n"/>
      <c r="G1482">
        <f>IF(B1482="","",IFERROR(INDEX(Products!$B:$B,MATCH(B1482,Products!$A:$A,0)),"SKU not found"))</f>
        <v/>
      </c>
    </row>
    <row r="1483">
      <c r="A1483" s="7" t="n"/>
      <c r="B1483" s="4" t="n"/>
      <c r="C1483" s="4" t="n"/>
      <c r="D1483" s="4" t="n"/>
      <c r="E1483" s="4" t="n"/>
      <c r="F1483" s="4" t="n"/>
      <c r="G1483">
        <f>IF(B1483="","",IFERROR(INDEX(Products!$B:$B,MATCH(B1483,Products!$A:$A,0)),"SKU not found"))</f>
        <v/>
      </c>
    </row>
    <row r="1484">
      <c r="A1484" s="7" t="n"/>
      <c r="B1484" s="4" t="n"/>
      <c r="C1484" s="4" t="n"/>
      <c r="D1484" s="4" t="n"/>
      <c r="E1484" s="4" t="n"/>
      <c r="F1484" s="4" t="n"/>
      <c r="G1484">
        <f>IF(B1484="","",IFERROR(INDEX(Products!$B:$B,MATCH(B1484,Products!$A:$A,0)),"SKU not found"))</f>
        <v/>
      </c>
    </row>
    <row r="1485">
      <c r="A1485" s="7" t="n"/>
      <c r="B1485" s="4" t="n"/>
      <c r="C1485" s="4" t="n"/>
      <c r="D1485" s="4" t="n"/>
      <c r="E1485" s="4" t="n"/>
      <c r="F1485" s="4" t="n"/>
      <c r="G1485">
        <f>IF(B1485="","",IFERROR(INDEX(Products!$B:$B,MATCH(B1485,Products!$A:$A,0)),"SKU not found"))</f>
        <v/>
      </c>
    </row>
    <row r="1486">
      <c r="A1486" s="7" t="n"/>
      <c r="B1486" s="4" t="n"/>
      <c r="C1486" s="4" t="n"/>
      <c r="D1486" s="4" t="n"/>
      <c r="E1486" s="4" t="n"/>
      <c r="F1486" s="4" t="n"/>
      <c r="G1486">
        <f>IF(B1486="","",IFERROR(INDEX(Products!$B:$B,MATCH(B1486,Products!$A:$A,0)),"SKU not found"))</f>
        <v/>
      </c>
    </row>
    <row r="1487">
      <c r="A1487" s="7" t="n"/>
      <c r="B1487" s="4" t="n"/>
      <c r="C1487" s="4" t="n"/>
      <c r="D1487" s="4" t="n"/>
      <c r="E1487" s="4" t="n"/>
      <c r="F1487" s="4" t="n"/>
      <c r="G1487">
        <f>IF(B1487="","",IFERROR(INDEX(Products!$B:$B,MATCH(B1487,Products!$A:$A,0)),"SKU not found"))</f>
        <v/>
      </c>
    </row>
    <row r="1488">
      <c r="A1488" s="7" t="n"/>
      <c r="B1488" s="4" t="n"/>
      <c r="C1488" s="4" t="n"/>
      <c r="D1488" s="4" t="n"/>
      <c r="E1488" s="4" t="n"/>
      <c r="F1488" s="4" t="n"/>
      <c r="G1488">
        <f>IF(B1488="","",IFERROR(INDEX(Products!$B:$B,MATCH(B1488,Products!$A:$A,0)),"SKU not found"))</f>
        <v/>
      </c>
    </row>
    <row r="1489">
      <c r="A1489" s="7" t="n"/>
      <c r="B1489" s="4" t="n"/>
      <c r="C1489" s="4" t="n"/>
      <c r="D1489" s="4" t="n"/>
      <c r="E1489" s="4" t="n"/>
      <c r="F1489" s="4" t="n"/>
      <c r="G1489">
        <f>IF(B1489="","",IFERROR(INDEX(Products!$B:$B,MATCH(B1489,Products!$A:$A,0)),"SKU not found"))</f>
        <v/>
      </c>
    </row>
    <row r="1490">
      <c r="A1490" s="7" t="n"/>
      <c r="B1490" s="4" t="n"/>
      <c r="C1490" s="4" t="n"/>
      <c r="D1490" s="4" t="n"/>
      <c r="E1490" s="4" t="n"/>
      <c r="F1490" s="4" t="n"/>
      <c r="G1490">
        <f>IF(B1490="","",IFERROR(INDEX(Products!$B:$B,MATCH(B1490,Products!$A:$A,0)),"SKU not found"))</f>
        <v/>
      </c>
    </row>
    <row r="1491">
      <c r="A1491" s="7" t="n"/>
      <c r="B1491" s="4" t="n"/>
      <c r="C1491" s="4" t="n"/>
      <c r="D1491" s="4" t="n"/>
      <c r="E1491" s="4" t="n"/>
      <c r="F1491" s="4" t="n"/>
      <c r="G1491">
        <f>IF(B1491="","",IFERROR(INDEX(Products!$B:$B,MATCH(B1491,Products!$A:$A,0)),"SKU not found"))</f>
        <v/>
      </c>
    </row>
    <row r="1492">
      <c r="A1492" s="7" t="n"/>
      <c r="B1492" s="4" t="n"/>
      <c r="C1492" s="4" t="n"/>
      <c r="D1492" s="4" t="n"/>
      <c r="E1492" s="4" t="n"/>
      <c r="F1492" s="4" t="n"/>
      <c r="G1492">
        <f>IF(B1492="","",IFERROR(INDEX(Products!$B:$B,MATCH(B1492,Products!$A:$A,0)),"SKU not found"))</f>
        <v/>
      </c>
    </row>
    <row r="1493">
      <c r="A1493" s="7" t="n"/>
      <c r="B1493" s="4" t="n"/>
      <c r="C1493" s="4" t="n"/>
      <c r="D1493" s="4" t="n"/>
      <c r="E1493" s="4" t="n"/>
      <c r="F1493" s="4" t="n"/>
      <c r="G1493">
        <f>IF(B1493="","",IFERROR(INDEX(Products!$B:$B,MATCH(B1493,Products!$A:$A,0)),"SKU not found"))</f>
        <v/>
      </c>
    </row>
    <row r="1494">
      <c r="A1494" s="7" t="n"/>
      <c r="B1494" s="4" t="n"/>
      <c r="C1494" s="4" t="n"/>
      <c r="D1494" s="4" t="n"/>
      <c r="E1494" s="4" t="n"/>
      <c r="F1494" s="4" t="n"/>
      <c r="G1494">
        <f>IF(B1494="","",IFERROR(INDEX(Products!$B:$B,MATCH(B1494,Products!$A:$A,0)),"SKU not found"))</f>
        <v/>
      </c>
    </row>
    <row r="1495">
      <c r="A1495" s="7" t="n"/>
      <c r="B1495" s="4" t="n"/>
      <c r="C1495" s="4" t="n"/>
      <c r="D1495" s="4" t="n"/>
      <c r="E1495" s="4" t="n"/>
      <c r="F1495" s="4" t="n"/>
      <c r="G1495">
        <f>IF(B1495="","",IFERROR(INDEX(Products!$B:$B,MATCH(B1495,Products!$A:$A,0)),"SKU not found"))</f>
        <v/>
      </c>
    </row>
    <row r="1496">
      <c r="A1496" s="7" t="n"/>
      <c r="B1496" s="4" t="n"/>
      <c r="C1496" s="4" t="n"/>
      <c r="D1496" s="4" t="n"/>
      <c r="E1496" s="4" t="n"/>
      <c r="F1496" s="4" t="n"/>
      <c r="G1496">
        <f>IF(B1496="","",IFERROR(INDEX(Products!$B:$B,MATCH(B1496,Products!$A:$A,0)),"SKU not found"))</f>
        <v/>
      </c>
    </row>
    <row r="1497">
      <c r="A1497" s="7" t="n"/>
      <c r="B1497" s="4" t="n"/>
      <c r="C1497" s="4" t="n"/>
      <c r="D1497" s="4" t="n"/>
      <c r="E1497" s="4" t="n"/>
      <c r="F1497" s="4" t="n"/>
      <c r="G1497">
        <f>IF(B1497="","",IFERROR(INDEX(Products!$B:$B,MATCH(B1497,Products!$A:$A,0)),"SKU not found"))</f>
        <v/>
      </c>
    </row>
    <row r="1498">
      <c r="A1498" s="7" t="n"/>
      <c r="B1498" s="4" t="n"/>
      <c r="C1498" s="4" t="n"/>
      <c r="D1498" s="4" t="n"/>
      <c r="E1498" s="4" t="n"/>
      <c r="F1498" s="4" t="n"/>
      <c r="G1498">
        <f>IF(B1498="","",IFERROR(INDEX(Products!$B:$B,MATCH(B1498,Products!$A:$A,0)),"SKU not found"))</f>
        <v/>
      </c>
    </row>
    <row r="1499">
      <c r="A1499" s="7" t="n"/>
      <c r="B1499" s="4" t="n"/>
      <c r="C1499" s="4" t="n"/>
      <c r="D1499" s="4" t="n"/>
      <c r="E1499" s="4" t="n"/>
      <c r="F1499" s="4" t="n"/>
      <c r="G1499">
        <f>IF(B1499="","",IFERROR(INDEX(Products!$B:$B,MATCH(B1499,Products!$A:$A,0)),"SKU not found"))</f>
        <v/>
      </c>
    </row>
    <row r="1500">
      <c r="A1500" s="7" t="n"/>
      <c r="B1500" s="4" t="n"/>
      <c r="C1500" s="4" t="n"/>
      <c r="D1500" s="4" t="n"/>
      <c r="E1500" s="4" t="n"/>
      <c r="F1500" s="4" t="n"/>
      <c r="G1500">
        <f>IF(B1500="","",IFERROR(INDEX(Products!$B:$B,MATCH(B1500,Products!$A:$A,0)),"SKU not found"))</f>
        <v/>
      </c>
    </row>
    <row r="1501">
      <c r="A1501" s="7" t="n"/>
      <c r="B1501" s="4" t="n"/>
      <c r="C1501" s="4" t="n"/>
      <c r="D1501" s="4" t="n"/>
      <c r="E1501" s="4" t="n"/>
      <c r="F1501" s="4" t="n"/>
      <c r="G1501">
        <f>IF(B1501="","",IFERROR(INDEX(Products!$B:$B,MATCH(B1501,Products!$A:$A,0)),"SKU not found"))</f>
        <v/>
      </c>
    </row>
    <row r="1502">
      <c r="A1502" s="7" t="n"/>
      <c r="B1502" s="4" t="n"/>
      <c r="C1502" s="4" t="n"/>
      <c r="D1502" s="4" t="n"/>
      <c r="E1502" s="4" t="n"/>
      <c r="F1502" s="4" t="n"/>
      <c r="G1502">
        <f>IF(B1502="","",IFERROR(INDEX(Products!$B:$B,MATCH(B1502,Products!$A:$A,0)),"SKU not found"))</f>
        <v/>
      </c>
    </row>
    <row r="1503">
      <c r="A1503" s="7" t="n"/>
      <c r="B1503" s="4" t="n"/>
      <c r="C1503" s="4" t="n"/>
      <c r="D1503" s="4" t="n"/>
      <c r="E1503" s="4" t="n"/>
      <c r="F1503" s="4" t="n"/>
      <c r="G1503">
        <f>IF(B1503="","",IFERROR(INDEX(Products!$B:$B,MATCH(B1503,Products!$A:$A,0)),"SKU not found"))</f>
        <v/>
      </c>
    </row>
    <row r="1504">
      <c r="A1504" s="7" t="n"/>
      <c r="B1504" s="4" t="n"/>
      <c r="C1504" s="4" t="n"/>
      <c r="D1504" s="4" t="n"/>
      <c r="E1504" s="4" t="n"/>
      <c r="F1504" s="4" t="n"/>
      <c r="G1504">
        <f>IF(B1504="","",IFERROR(INDEX(Products!$B:$B,MATCH(B1504,Products!$A:$A,0)),"SKU not found"))</f>
        <v/>
      </c>
    </row>
    <row r="1505">
      <c r="A1505" s="7" t="n"/>
      <c r="B1505" s="4" t="n"/>
      <c r="C1505" s="4" t="n"/>
      <c r="D1505" s="4" t="n"/>
      <c r="E1505" s="4" t="n"/>
      <c r="F1505" s="4" t="n"/>
      <c r="G1505">
        <f>IF(B1505="","",IFERROR(INDEX(Products!$B:$B,MATCH(B1505,Products!$A:$A,0)),"SKU not found"))</f>
        <v/>
      </c>
    </row>
    <row r="1506">
      <c r="A1506" s="7" t="n"/>
      <c r="B1506" s="4" t="n"/>
      <c r="C1506" s="4" t="n"/>
      <c r="D1506" s="4" t="n"/>
      <c r="E1506" s="4" t="n"/>
      <c r="F1506" s="4" t="n"/>
      <c r="G1506">
        <f>IF(B1506="","",IFERROR(INDEX(Products!$B:$B,MATCH(B1506,Products!$A:$A,0)),"SKU not found"))</f>
        <v/>
      </c>
    </row>
    <row r="1507">
      <c r="A1507" s="7" t="n"/>
      <c r="B1507" s="4" t="n"/>
      <c r="C1507" s="4" t="n"/>
      <c r="D1507" s="4" t="n"/>
      <c r="E1507" s="4" t="n"/>
      <c r="F1507" s="4" t="n"/>
      <c r="G1507">
        <f>IF(B1507="","",IFERROR(INDEX(Products!$B:$B,MATCH(B1507,Products!$A:$A,0)),"SKU not found"))</f>
        <v/>
      </c>
    </row>
    <row r="1508">
      <c r="A1508" s="7" t="n"/>
      <c r="B1508" s="4" t="n"/>
      <c r="C1508" s="4" t="n"/>
      <c r="D1508" s="4" t="n"/>
      <c r="E1508" s="4" t="n"/>
      <c r="F1508" s="4" t="n"/>
      <c r="G1508">
        <f>IF(B1508="","",IFERROR(INDEX(Products!$B:$B,MATCH(B1508,Products!$A:$A,0)),"SKU not found"))</f>
        <v/>
      </c>
    </row>
    <row r="1509">
      <c r="A1509" s="7" t="n"/>
      <c r="B1509" s="4" t="n"/>
      <c r="C1509" s="4" t="n"/>
      <c r="D1509" s="4" t="n"/>
      <c r="E1509" s="4" t="n"/>
      <c r="F1509" s="4" t="n"/>
      <c r="G1509">
        <f>IF(B1509="","",IFERROR(INDEX(Products!$B:$B,MATCH(B1509,Products!$A:$A,0)),"SKU not found"))</f>
        <v/>
      </c>
    </row>
    <row r="1510">
      <c r="A1510" s="7" t="n"/>
      <c r="B1510" s="4" t="n"/>
      <c r="C1510" s="4" t="n"/>
      <c r="D1510" s="4" t="n"/>
      <c r="E1510" s="4" t="n"/>
      <c r="F1510" s="4" t="n"/>
      <c r="G1510">
        <f>IF(B1510="","",IFERROR(INDEX(Products!$B:$B,MATCH(B1510,Products!$A:$A,0)),"SKU not found"))</f>
        <v/>
      </c>
    </row>
    <row r="1511">
      <c r="A1511" s="7" t="n"/>
      <c r="B1511" s="4" t="n"/>
      <c r="C1511" s="4" t="n"/>
      <c r="D1511" s="4" t="n"/>
      <c r="E1511" s="4" t="n"/>
      <c r="F1511" s="4" t="n"/>
      <c r="G1511">
        <f>IF(B1511="","",IFERROR(INDEX(Products!$B:$B,MATCH(B1511,Products!$A:$A,0)),"SKU not found"))</f>
        <v/>
      </c>
    </row>
    <row r="1512">
      <c r="A1512" s="7" t="n"/>
      <c r="B1512" s="4" t="n"/>
      <c r="C1512" s="4" t="n"/>
      <c r="D1512" s="4" t="n"/>
      <c r="E1512" s="4" t="n"/>
      <c r="F1512" s="4" t="n"/>
      <c r="G1512">
        <f>IF(B1512="","",IFERROR(INDEX(Products!$B:$B,MATCH(B1512,Products!$A:$A,0)),"SKU not found"))</f>
        <v/>
      </c>
    </row>
    <row r="1513">
      <c r="A1513" s="7" t="n"/>
      <c r="B1513" s="4" t="n"/>
      <c r="C1513" s="4" t="n"/>
      <c r="D1513" s="4" t="n"/>
      <c r="E1513" s="4" t="n"/>
      <c r="F1513" s="4" t="n"/>
      <c r="G1513">
        <f>IF(B1513="","",IFERROR(INDEX(Products!$B:$B,MATCH(B1513,Products!$A:$A,0)),"SKU not found"))</f>
        <v/>
      </c>
    </row>
    <row r="1514">
      <c r="A1514" s="7" t="n"/>
      <c r="B1514" s="4" t="n"/>
      <c r="C1514" s="4" t="n"/>
      <c r="D1514" s="4" t="n"/>
      <c r="E1514" s="4" t="n"/>
      <c r="F1514" s="4" t="n"/>
      <c r="G1514">
        <f>IF(B1514="","",IFERROR(INDEX(Products!$B:$B,MATCH(B1514,Products!$A:$A,0)),"SKU not found"))</f>
        <v/>
      </c>
    </row>
    <row r="1515">
      <c r="A1515" s="7" t="n"/>
      <c r="B1515" s="4" t="n"/>
      <c r="C1515" s="4" t="n"/>
      <c r="D1515" s="4" t="n"/>
      <c r="E1515" s="4" t="n"/>
      <c r="F1515" s="4" t="n"/>
      <c r="G1515">
        <f>IF(B1515="","",IFERROR(INDEX(Products!$B:$B,MATCH(B1515,Products!$A:$A,0)),"SKU not found"))</f>
        <v/>
      </c>
    </row>
    <row r="1516">
      <c r="A1516" s="7" t="n"/>
      <c r="B1516" s="4" t="n"/>
      <c r="C1516" s="4" t="n"/>
      <c r="D1516" s="4" t="n"/>
      <c r="E1516" s="4" t="n"/>
      <c r="F1516" s="4" t="n"/>
      <c r="G1516">
        <f>IF(B1516="","",IFERROR(INDEX(Products!$B:$B,MATCH(B1516,Products!$A:$A,0)),"SKU not found"))</f>
        <v/>
      </c>
    </row>
    <row r="1517">
      <c r="A1517" s="7" t="n"/>
      <c r="B1517" s="4" t="n"/>
      <c r="C1517" s="4" t="n"/>
      <c r="D1517" s="4" t="n"/>
      <c r="E1517" s="4" t="n"/>
      <c r="F1517" s="4" t="n"/>
      <c r="G1517">
        <f>IF(B1517="","",IFERROR(INDEX(Products!$B:$B,MATCH(B1517,Products!$A:$A,0)),"SKU not found"))</f>
        <v/>
      </c>
    </row>
    <row r="1518">
      <c r="A1518" s="7" t="n"/>
      <c r="B1518" s="4" t="n"/>
      <c r="C1518" s="4" t="n"/>
      <c r="D1518" s="4" t="n"/>
      <c r="E1518" s="4" t="n"/>
      <c r="F1518" s="4" t="n"/>
      <c r="G1518">
        <f>IF(B1518="","",IFERROR(INDEX(Products!$B:$B,MATCH(B1518,Products!$A:$A,0)),"SKU not found"))</f>
        <v/>
      </c>
    </row>
    <row r="1519">
      <c r="A1519" s="7" t="n"/>
      <c r="B1519" s="4" t="n"/>
      <c r="C1519" s="4" t="n"/>
      <c r="D1519" s="4" t="n"/>
      <c r="E1519" s="4" t="n"/>
      <c r="F1519" s="4" t="n"/>
      <c r="G1519">
        <f>IF(B1519="","",IFERROR(INDEX(Products!$B:$B,MATCH(B1519,Products!$A:$A,0)),"SKU not found"))</f>
        <v/>
      </c>
    </row>
    <row r="1520">
      <c r="A1520" s="7" t="n"/>
      <c r="B1520" s="4" t="n"/>
      <c r="C1520" s="4" t="n"/>
      <c r="D1520" s="4" t="n"/>
      <c r="E1520" s="4" t="n"/>
      <c r="F1520" s="4" t="n"/>
      <c r="G1520">
        <f>IF(B1520="","",IFERROR(INDEX(Products!$B:$B,MATCH(B1520,Products!$A:$A,0)),"SKU not found"))</f>
        <v/>
      </c>
    </row>
    <row r="1521">
      <c r="A1521" s="7" t="n"/>
      <c r="B1521" s="4" t="n"/>
      <c r="C1521" s="4" t="n"/>
      <c r="D1521" s="4" t="n"/>
      <c r="E1521" s="4" t="n"/>
      <c r="F1521" s="4" t="n"/>
      <c r="G1521">
        <f>IF(B1521="","",IFERROR(INDEX(Products!$B:$B,MATCH(B1521,Products!$A:$A,0)),"SKU not found"))</f>
        <v/>
      </c>
    </row>
    <row r="1522">
      <c r="A1522" s="7" t="n"/>
      <c r="B1522" s="4" t="n"/>
      <c r="C1522" s="4" t="n"/>
      <c r="D1522" s="4" t="n"/>
      <c r="E1522" s="4" t="n"/>
      <c r="F1522" s="4" t="n"/>
      <c r="G1522">
        <f>IF(B1522="","",IFERROR(INDEX(Products!$B:$B,MATCH(B1522,Products!$A:$A,0)),"SKU not found"))</f>
        <v/>
      </c>
    </row>
    <row r="1523">
      <c r="A1523" s="7" t="n"/>
      <c r="B1523" s="4" t="n"/>
      <c r="C1523" s="4" t="n"/>
      <c r="D1523" s="4" t="n"/>
      <c r="E1523" s="4" t="n"/>
      <c r="F1523" s="4" t="n"/>
      <c r="G1523">
        <f>IF(B1523="","",IFERROR(INDEX(Products!$B:$B,MATCH(B1523,Products!$A:$A,0)),"SKU not found"))</f>
        <v/>
      </c>
    </row>
    <row r="1524">
      <c r="A1524" s="7" t="n"/>
      <c r="B1524" s="4" t="n"/>
      <c r="C1524" s="4" t="n"/>
      <c r="D1524" s="4" t="n"/>
      <c r="E1524" s="4" t="n"/>
      <c r="F1524" s="4" t="n"/>
      <c r="G1524">
        <f>IF(B1524="","",IFERROR(INDEX(Products!$B:$B,MATCH(B1524,Products!$A:$A,0)),"SKU not found"))</f>
        <v/>
      </c>
    </row>
    <row r="1525">
      <c r="A1525" s="7" t="n"/>
      <c r="B1525" s="4" t="n"/>
      <c r="C1525" s="4" t="n"/>
      <c r="D1525" s="4" t="n"/>
      <c r="E1525" s="4" t="n"/>
      <c r="F1525" s="4" t="n"/>
      <c r="G1525">
        <f>IF(B1525="","",IFERROR(INDEX(Products!$B:$B,MATCH(B1525,Products!$A:$A,0)),"SKU not found"))</f>
        <v/>
      </c>
    </row>
    <row r="1526">
      <c r="A1526" s="7" t="n"/>
      <c r="B1526" s="4" t="n"/>
      <c r="C1526" s="4" t="n"/>
      <c r="D1526" s="4" t="n"/>
      <c r="E1526" s="4" t="n"/>
      <c r="F1526" s="4" t="n"/>
      <c r="G1526">
        <f>IF(B1526="","",IFERROR(INDEX(Products!$B:$B,MATCH(B1526,Products!$A:$A,0)),"SKU not found"))</f>
        <v/>
      </c>
    </row>
    <row r="1527">
      <c r="A1527" s="7" t="n"/>
      <c r="B1527" s="4" t="n"/>
      <c r="C1527" s="4" t="n"/>
      <c r="D1527" s="4" t="n"/>
      <c r="E1527" s="4" t="n"/>
      <c r="F1527" s="4" t="n"/>
      <c r="G1527">
        <f>IF(B1527="","",IFERROR(INDEX(Products!$B:$B,MATCH(B1527,Products!$A:$A,0)),"SKU not found"))</f>
        <v/>
      </c>
    </row>
    <row r="1528">
      <c r="A1528" s="7" t="n"/>
      <c r="B1528" s="4" t="n"/>
      <c r="C1528" s="4" t="n"/>
      <c r="D1528" s="4" t="n"/>
      <c r="E1528" s="4" t="n"/>
      <c r="F1528" s="4" t="n"/>
      <c r="G1528">
        <f>IF(B1528="","",IFERROR(INDEX(Products!$B:$B,MATCH(B1528,Products!$A:$A,0)),"SKU not found"))</f>
        <v/>
      </c>
    </row>
    <row r="1529">
      <c r="A1529" s="7" t="n"/>
      <c r="B1529" s="4" t="n"/>
      <c r="C1529" s="4" t="n"/>
      <c r="D1529" s="4" t="n"/>
      <c r="E1529" s="4" t="n"/>
      <c r="F1529" s="4" t="n"/>
      <c r="G1529">
        <f>IF(B1529="","",IFERROR(INDEX(Products!$B:$B,MATCH(B1529,Products!$A:$A,0)),"SKU not found"))</f>
        <v/>
      </c>
    </row>
    <row r="1530">
      <c r="A1530" s="7" t="n"/>
      <c r="B1530" s="4" t="n"/>
      <c r="C1530" s="4" t="n"/>
      <c r="D1530" s="4" t="n"/>
      <c r="E1530" s="4" t="n"/>
      <c r="F1530" s="4" t="n"/>
      <c r="G1530">
        <f>IF(B1530="","",IFERROR(INDEX(Products!$B:$B,MATCH(B1530,Products!$A:$A,0)),"SKU not found"))</f>
        <v/>
      </c>
    </row>
    <row r="1531">
      <c r="A1531" s="7" t="n"/>
      <c r="B1531" s="4" t="n"/>
      <c r="C1531" s="4" t="n"/>
      <c r="D1531" s="4" t="n"/>
      <c r="E1531" s="4" t="n"/>
      <c r="F1531" s="4" t="n"/>
      <c r="G1531">
        <f>IF(B1531="","",IFERROR(INDEX(Products!$B:$B,MATCH(B1531,Products!$A:$A,0)),"SKU not found"))</f>
        <v/>
      </c>
    </row>
    <row r="1532">
      <c r="A1532" s="7" t="n"/>
      <c r="B1532" s="4" t="n"/>
      <c r="C1532" s="4" t="n"/>
      <c r="D1532" s="4" t="n"/>
      <c r="E1532" s="4" t="n"/>
      <c r="F1532" s="4" t="n"/>
      <c r="G1532">
        <f>IF(B1532="","",IFERROR(INDEX(Products!$B:$B,MATCH(B1532,Products!$A:$A,0)),"SKU not found"))</f>
        <v/>
      </c>
    </row>
    <row r="1533">
      <c r="A1533" s="7" t="n"/>
      <c r="B1533" s="4" t="n"/>
      <c r="C1533" s="4" t="n"/>
      <c r="D1533" s="4" t="n"/>
      <c r="E1533" s="4" t="n"/>
      <c r="F1533" s="4" t="n"/>
      <c r="G1533">
        <f>IF(B1533="","",IFERROR(INDEX(Products!$B:$B,MATCH(B1533,Products!$A:$A,0)),"SKU not found"))</f>
        <v/>
      </c>
    </row>
    <row r="1534">
      <c r="A1534" s="7" t="n"/>
      <c r="B1534" s="4" t="n"/>
      <c r="C1534" s="4" t="n"/>
      <c r="D1534" s="4" t="n"/>
      <c r="E1534" s="4" t="n"/>
      <c r="F1534" s="4" t="n"/>
      <c r="G1534">
        <f>IF(B1534="","",IFERROR(INDEX(Products!$B:$B,MATCH(B1534,Products!$A:$A,0)),"SKU not found"))</f>
        <v/>
      </c>
    </row>
    <row r="1535">
      <c r="A1535" s="7" t="n"/>
      <c r="B1535" s="4" t="n"/>
      <c r="C1535" s="4" t="n"/>
      <c r="D1535" s="4" t="n"/>
      <c r="E1535" s="4" t="n"/>
      <c r="F1535" s="4" t="n"/>
      <c r="G1535">
        <f>IF(B1535="","",IFERROR(INDEX(Products!$B:$B,MATCH(B1535,Products!$A:$A,0)),"SKU not found"))</f>
        <v/>
      </c>
    </row>
    <row r="1536">
      <c r="A1536" s="7" t="n"/>
      <c r="B1536" s="4" t="n"/>
      <c r="C1536" s="4" t="n"/>
      <c r="D1536" s="4" t="n"/>
      <c r="E1536" s="4" t="n"/>
      <c r="F1536" s="4" t="n"/>
      <c r="G1536">
        <f>IF(B1536="","",IFERROR(INDEX(Products!$B:$B,MATCH(B1536,Products!$A:$A,0)),"SKU not found"))</f>
        <v/>
      </c>
    </row>
    <row r="1537">
      <c r="A1537" s="7" t="n"/>
      <c r="B1537" s="4" t="n"/>
      <c r="C1537" s="4" t="n"/>
      <c r="D1537" s="4" t="n"/>
      <c r="E1537" s="4" t="n"/>
      <c r="F1537" s="4" t="n"/>
      <c r="G1537">
        <f>IF(B1537="","",IFERROR(INDEX(Products!$B:$B,MATCH(B1537,Products!$A:$A,0)),"SKU not found"))</f>
        <v/>
      </c>
    </row>
    <row r="1538">
      <c r="A1538" s="7" t="n"/>
      <c r="B1538" s="4" t="n"/>
      <c r="C1538" s="4" t="n"/>
      <c r="D1538" s="4" t="n"/>
      <c r="E1538" s="4" t="n"/>
      <c r="F1538" s="4" t="n"/>
      <c r="G1538">
        <f>IF(B1538="","",IFERROR(INDEX(Products!$B:$B,MATCH(B1538,Products!$A:$A,0)),"SKU not found"))</f>
        <v/>
      </c>
    </row>
    <row r="1539">
      <c r="A1539" s="7" t="n"/>
      <c r="B1539" s="4" t="n"/>
      <c r="C1539" s="4" t="n"/>
      <c r="D1539" s="4" t="n"/>
      <c r="E1539" s="4" t="n"/>
      <c r="F1539" s="4" t="n"/>
      <c r="G1539">
        <f>IF(B1539="","",IFERROR(INDEX(Products!$B:$B,MATCH(B1539,Products!$A:$A,0)),"SKU not found"))</f>
        <v/>
      </c>
    </row>
    <row r="1540">
      <c r="A1540" s="7" t="n"/>
      <c r="B1540" s="4" t="n"/>
      <c r="C1540" s="4" t="n"/>
      <c r="D1540" s="4" t="n"/>
      <c r="E1540" s="4" t="n"/>
      <c r="F1540" s="4" t="n"/>
      <c r="G1540">
        <f>IF(B1540="","",IFERROR(INDEX(Products!$B:$B,MATCH(B1540,Products!$A:$A,0)),"SKU not found"))</f>
        <v/>
      </c>
    </row>
    <row r="1541">
      <c r="A1541" s="7" t="n"/>
      <c r="B1541" s="4" t="n"/>
      <c r="C1541" s="4" t="n"/>
      <c r="D1541" s="4" t="n"/>
      <c r="E1541" s="4" t="n"/>
      <c r="F1541" s="4" t="n"/>
      <c r="G1541">
        <f>IF(B1541="","",IFERROR(INDEX(Products!$B:$B,MATCH(B1541,Products!$A:$A,0)),"SKU not found"))</f>
        <v/>
      </c>
    </row>
    <row r="1542">
      <c r="A1542" s="7" t="n"/>
      <c r="B1542" s="4" t="n"/>
      <c r="C1542" s="4" t="n"/>
      <c r="D1542" s="4" t="n"/>
      <c r="E1542" s="4" t="n"/>
      <c r="F1542" s="4" t="n"/>
      <c r="G1542">
        <f>IF(B1542="","",IFERROR(INDEX(Products!$B:$B,MATCH(B1542,Products!$A:$A,0)),"SKU not found"))</f>
        <v/>
      </c>
    </row>
    <row r="1543">
      <c r="A1543" s="7" t="n"/>
      <c r="B1543" s="4" t="n"/>
      <c r="C1543" s="4" t="n"/>
      <c r="D1543" s="4" t="n"/>
      <c r="E1543" s="4" t="n"/>
      <c r="F1543" s="4" t="n"/>
      <c r="G1543">
        <f>IF(B1543="","",IFERROR(INDEX(Products!$B:$B,MATCH(B1543,Products!$A:$A,0)),"SKU not found"))</f>
        <v/>
      </c>
    </row>
    <row r="1544">
      <c r="A1544" s="7" t="n"/>
      <c r="B1544" s="4" t="n"/>
      <c r="C1544" s="4" t="n"/>
      <c r="D1544" s="4" t="n"/>
      <c r="E1544" s="4" t="n"/>
      <c r="F1544" s="4" t="n"/>
      <c r="G1544">
        <f>IF(B1544="","",IFERROR(INDEX(Products!$B:$B,MATCH(B1544,Products!$A:$A,0)),"SKU not found"))</f>
        <v/>
      </c>
    </row>
    <row r="1545">
      <c r="A1545" s="7" t="n"/>
      <c r="B1545" s="4" t="n"/>
      <c r="C1545" s="4" t="n"/>
      <c r="D1545" s="4" t="n"/>
      <c r="E1545" s="4" t="n"/>
      <c r="F1545" s="4" t="n"/>
      <c r="G1545">
        <f>IF(B1545="","",IFERROR(INDEX(Products!$B:$B,MATCH(B1545,Products!$A:$A,0)),"SKU not found"))</f>
        <v/>
      </c>
    </row>
    <row r="1546">
      <c r="A1546" s="7" t="n"/>
      <c r="B1546" s="4" t="n"/>
      <c r="C1546" s="4" t="n"/>
      <c r="D1546" s="4" t="n"/>
      <c r="E1546" s="4" t="n"/>
      <c r="F1546" s="4" t="n"/>
      <c r="G1546">
        <f>IF(B1546="","",IFERROR(INDEX(Products!$B:$B,MATCH(B1546,Products!$A:$A,0)),"SKU not found"))</f>
        <v/>
      </c>
    </row>
    <row r="1547">
      <c r="A1547" s="7" t="n"/>
      <c r="B1547" s="4" t="n"/>
      <c r="C1547" s="4" t="n"/>
      <c r="D1547" s="4" t="n"/>
      <c r="E1547" s="4" t="n"/>
      <c r="F1547" s="4" t="n"/>
      <c r="G1547">
        <f>IF(B1547="","",IFERROR(INDEX(Products!$B:$B,MATCH(B1547,Products!$A:$A,0)),"SKU not found"))</f>
        <v/>
      </c>
    </row>
    <row r="1548">
      <c r="A1548" s="7" t="n"/>
      <c r="B1548" s="4" t="n"/>
      <c r="C1548" s="4" t="n"/>
      <c r="D1548" s="4" t="n"/>
      <c r="E1548" s="4" t="n"/>
      <c r="F1548" s="4" t="n"/>
      <c r="G1548">
        <f>IF(B1548="","",IFERROR(INDEX(Products!$B:$B,MATCH(B1548,Products!$A:$A,0)),"SKU not found"))</f>
        <v/>
      </c>
    </row>
    <row r="1549">
      <c r="A1549" s="7" t="n"/>
      <c r="B1549" s="4" t="n"/>
      <c r="C1549" s="4" t="n"/>
      <c r="D1549" s="4" t="n"/>
      <c r="E1549" s="4" t="n"/>
      <c r="F1549" s="4" t="n"/>
      <c r="G1549">
        <f>IF(B1549="","",IFERROR(INDEX(Products!$B:$B,MATCH(B1549,Products!$A:$A,0)),"SKU not found"))</f>
        <v/>
      </c>
    </row>
    <row r="1550">
      <c r="A1550" s="7" t="n"/>
      <c r="B1550" s="4" t="n"/>
      <c r="C1550" s="4" t="n"/>
      <c r="D1550" s="4" t="n"/>
      <c r="E1550" s="4" t="n"/>
      <c r="F1550" s="4" t="n"/>
      <c r="G1550">
        <f>IF(B1550="","",IFERROR(INDEX(Products!$B:$B,MATCH(B1550,Products!$A:$A,0)),"SKU not found"))</f>
        <v/>
      </c>
    </row>
    <row r="1551">
      <c r="A1551" s="7" t="n"/>
      <c r="B1551" s="4" t="n"/>
      <c r="C1551" s="4" t="n"/>
      <c r="D1551" s="4" t="n"/>
      <c r="E1551" s="4" t="n"/>
      <c r="F1551" s="4" t="n"/>
      <c r="G1551">
        <f>IF(B1551="","",IFERROR(INDEX(Products!$B:$B,MATCH(B1551,Products!$A:$A,0)),"SKU not found"))</f>
        <v/>
      </c>
    </row>
    <row r="1552">
      <c r="A1552" s="7" t="n"/>
      <c r="B1552" s="4" t="n"/>
      <c r="C1552" s="4" t="n"/>
      <c r="D1552" s="4" t="n"/>
      <c r="E1552" s="4" t="n"/>
      <c r="F1552" s="4" t="n"/>
      <c r="G1552">
        <f>IF(B1552="","",IFERROR(INDEX(Products!$B:$B,MATCH(B1552,Products!$A:$A,0)),"SKU not found"))</f>
        <v/>
      </c>
    </row>
    <row r="1553">
      <c r="A1553" s="7" t="n"/>
      <c r="B1553" s="4" t="n"/>
      <c r="C1553" s="4" t="n"/>
      <c r="D1553" s="4" t="n"/>
      <c r="E1553" s="4" t="n"/>
      <c r="F1553" s="4" t="n"/>
      <c r="G1553">
        <f>IF(B1553="","",IFERROR(INDEX(Products!$B:$B,MATCH(B1553,Products!$A:$A,0)),"SKU not found"))</f>
        <v/>
      </c>
    </row>
    <row r="1554">
      <c r="A1554" s="7" t="n"/>
      <c r="B1554" s="4" t="n"/>
      <c r="C1554" s="4" t="n"/>
      <c r="D1554" s="4" t="n"/>
      <c r="E1554" s="4" t="n"/>
      <c r="F1554" s="4" t="n"/>
      <c r="G1554">
        <f>IF(B1554="","",IFERROR(INDEX(Products!$B:$B,MATCH(B1554,Products!$A:$A,0)),"SKU not found"))</f>
        <v/>
      </c>
    </row>
    <row r="1555">
      <c r="A1555" s="7" t="n"/>
      <c r="B1555" s="4" t="n"/>
      <c r="C1555" s="4" t="n"/>
      <c r="D1555" s="4" t="n"/>
      <c r="E1555" s="4" t="n"/>
      <c r="F1555" s="4" t="n"/>
      <c r="G1555">
        <f>IF(B1555="","",IFERROR(INDEX(Products!$B:$B,MATCH(B1555,Products!$A:$A,0)),"SKU not found"))</f>
        <v/>
      </c>
    </row>
    <row r="1556">
      <c r="A1556" s="7" t="n"/>
      <c r="B1556" s="4" t="n"/>
      <c r="C1556" s="4" t="n"/>
      <c r="D1556" s="4" t="n"/>
      <c r="E1556" s="4" t="n"/>
      <c r="F1556" s="4" t="n"/>
      <c r="G1556">
        <f>IF(B1556="","",IFERROR(INDEX(Products!$B:$B,MATCH(B1556,Products!$A:$A,0)),"SKU not found"))</f>
        <v/>
      </c>
    </row>
    <row r="1557">
      <c r="A1557" s="7" t="n"/>
      <c r="B1557" s="4" t="n"/>
      <c r="C1557" s="4" t="n"/>
      <c r="D1557" s="4" t="n"/>
      <c r="E1557" s="4" t="n"/>
      <c r="F1557" s="4" t="n"/>
      <c r="G1557">
        <f>IF(B1557="","",IFERROR(INDEX(Products!$B:$B,MATCH(B1557,Products!$A:$A,0)),"SKU not found"))</f>
        <v/>
      </c>
    </row>
    <row r="1558">
      <c r="A1558" s="7" t="n"/>
      <c r="B1558" s="4" t="n"/>
      <c r="C1558" s="4" t="n"/>
      <c r="D1558" s="4" t="n"/>
      <c r="E1558" s="4" t="n"/>
      <c r="F1558" s="4" t="n"/>
      <c r="G1558">
        <f>IF(B1558="","",IFERROR(INDEX(Products!$B:$B,MATCH(B1558,Products!$A:$A,0)),"SKU not found"))</f>
        <v/>
      </c>
    </row>
    <row r="1559">
      <c r="A1559" s="7" t="n"/>
      <c r="B1559" s="4" t="n"/>
      <c r="C1559" s="4" t="n"/>
      <c r="D1559" s="4" t="n"/>
      <c r="E1559" s="4" t="n"/>
      <c r="F1559" s="4" t="n"/>
      <c r="G1559">
        <f>IF(B1559="","",IFERROR(INDEX(Products!$B:$B,MATCH(B1559,Products!$A:$A,0)),"SKU not found"))</f>
        <v/>
      </c>
    </row>
    <row r="1560">
      <c r="A1560" s="7" t="n"/>
      <c r="B1560" s="4" t="n"/>
      <c r="C1560" s="4" t="n"/>
      <c r="D1560" s="4" t="n"/>
      <c r="E1560" s="4" t="n"/>
      <c r="F1560" s="4" t="n"/>
      <c r="G1560">
        <f>IF(B1560="","",IFERROR(INDEX(Products!$B:$B,MATCH(B1560,Products!$A:$A,0)),"SKU not found"))</f>
        <v/>
      </c>
    </row>
    <row r="1561">
      <c r="A1561" s="7" t="n"/>
      <c r="B1561" s="4" t="n"/>
      <c r="C1561" s="4" t="n"/>
      <c r="D1561" s="4" t="n"/>
      <c r="E1561" s="4" t="n"/>
      <c r="F1561" s="4" t="n"/>
      <c r="G1561">
        <f>IF(B1561="","",IFERROR(INDEX(Products!$B:$B,MATCH(B1561,Products!$A:$A,0)),"SKU not found"))</f>
        <v/>
      </c>
    </row>
    <row r="1562">
      <c r="A1562" s="7" t="n"/>
      <c r="B1562" s="4" t="n"/>
      <c r="C1562" s="4" t="n"/>
      <c r="D1562" s="4" t="n"/>
      <c r="E1562" s="4" t="n"/>
      <c r="F1562" s="4" t="n"/>
      <c r="G1562">
        <f>IF(B1562="","",IFERROR(INDEX(Products!$B:$B,MATCH(B1562,Products!$A:$A,0)),"SKU not found"))</f>
        <v/>
      </c>
    </row>
    <row r="1563">
      <c r="A1563" s="7" t="n"/>
      <c r="B1563" s="4" t="n"/>
      <c r="C1563" s="4" t="n"/>
      <c r="D1563" s="4" t="n"/>
      <c r="E1563" s="4" t="n"/>
      <c r="F1563" s="4" t="n"/>
      <c r="G1563">
        <f>IF(B1563="","",IFERROR(INDEX(Products!$B:$B,MATCH(B1563,Products!$A:$A,0)),"SKU not found"))</f>
        <v/>
      </c>
    </row>
    <row r="1564">
      <c r="A1564" s="7" t="n"/>
      <c r="B1564" s="4" t="n"/>
      <c r="C1564" s="4" t="n"/>
      <c r="D1564" s="4" t="n"/>
      <c r="E1564" s="4" t="n"/>
      <c r="F1564" s="4" t="n"/>
      <c r="G1564">
        <f>IF(B1564="","",IFERROR(INDEX(Products!$B:$B,MATCH(B1564,Products!$A:$A,0)),"SKU not found"))</f>
        <v/>
      </c>
    </row>
    <row r="1565">
      <c r="A1565" s="7" t="n"/>
      <c r="B1565" s="4" t="n"/>
      <c r="C1565" s="4" t="n"/>
      <c r="D1565" s="4" t="n"/>
      <c r="E1565" s="4" t="n"/>
      <c r="F1565" s="4" t="n"/>
      <c r="G1565">
        <f>IF(B1565="","",IFERROR(INDEX(Products!$B:$B,MATCH(B1565,Products!$A:$A,0)),"SKU not found"))</f>
        <v/>
      </c>
    </row>
    <row r="1566">
      <c r="A1566" s="7" t="n"/>
      <c r="B1566" s="4" t="n"/>
      <c r="C1566" s="4" t="n"/>
      <c r="D1566" s="4" t="n"/>
      <c r="E1566" s="4" t="n"/>
      <c r="F1566" s="4" t="n"/>
      <c r="G1566">
        <f>IF(B1566="","",IFERROR(INDEX(Products!$B:$B,MATCH(B1566,Products!$A:$A,0)),"SKU not found"))</f>
        <v/>
      </c>
    </row>
    <row r="1567">
      <c r="A1567" s="7" t="n"/>
      <c r="B1567" s="4" t="n"/>
      <c r="C1567" s="4" t="n"/>
      <c r="D1567" s="4" t="n"/>
      <c r="E1567" s="4" t="n"/>
      <c r="F1567" s="4" t="n"/>
      <c r="G1567">
        <f>IF(B1567="","",IFERROR(INDEX(Products!$B:$B,MATCH(B1567,Products!$A:$A,0)),"SKU not found"))</f>
        <v/>
      </c>
    </row>
    <row r="1568">
      <c r="A1568" s="7" t="n"/>
      <c r="B1568" s="4" t="n"/>
      <c r="C1568" s="4" t="n"/>
      <c r="D1568" s="4" t="n"/>
      <c r="E1568" s="4" t="n"/>
      <c r="F1568" s="4" t="n"/>
      <c r="G1568">
        <f>IF(B1568="","",IFERROR(INDEX(Products!$B:$B,MATCH(B1568,Products!$A:$A,0)),"SKU not found"))</f>
        <v/>
      </c>
    </row>
    <row r="1569">
      <c r="A1569" s="7" t="n"/>
      <c r="B1569" s="4" t="n"/>
      <c r="C1569" s="4" t="n"/>
      <c r="D1569" s="4" t="n"/>
      <c r="E1569" s="4" t="n"/>
      <c r="F1569" s="4" t="n"/>
      <c r="G1569">
        <f>IF(B1569="","",IFERROR(INDEX(Products!$B:$B,MATCH(B1569,Products!$A:$A,0)),"SKU not found"))</f>
        <v/>
      </c>
    </row>
    <row r="1570">
      <c r="A1570" s="7" t="n"/>
      <c r="B1570" s="4" t="n"/>
      <c r="C1570" s="4" t="n"/>
      <c r="D1570" s="4" t="n"/>
      <c r="E1570" s="4" t="n"/>
      <c r="F1570" s="4" t="n"/>
      <c r="G1570">
        <f>IF(B1570="","",IFERROR(INDEX(Products!$B:$B,MATCH(B1570,Products!$A:$A,0)),"SKU not found"))</f>
        <v/>
      </c>
    </row>
    <row r="1571">
      <c r="A1571" s="7" t="n"/>
      <c r="B1571" s="4" t="n"/>
      <c r="C1571" s="4" t="n"/>
      <c r="D1571" s="4" t="n"/>
      <c r="E1571" s="4" t="n"/>
      <c r="F1571" s="4" t="n"/>
      <c r="G1571">
        <f>IF(B1571="","",IFERROR(INDEX(Products!$B:$B,MATCH(B1571,Products!$A:$A,0)),"SKU not found"))</f>
        <v/>
      </c>
    </row>
    <row r="1572">
      <c r="A1572" s="7" t="n"/>
      <c r="B1572" s="4" t="n"/>
      <c r="C1572" s="4" t="n"/>
      <c r="D1572" s="4" t="n"/>
      <c r="E1572" s="4" t="n"/>
      <c r="F1572" s="4" t="n"/>
      <c r="G1572">
        <f>IF(B1572="","",IFERROR(INDEX(Products!$B:$B,MATCH(B1572,Products!$A:$A,0)),"SKU not found"))</f>
        <v/>
      </c>
    </row>
    <row r="1573">
      <c r="A1573" s="7" t="n"/>
      <c r="B1573" s="4" t="n"/>
      <c r="C1573" s="4" t="n"/>
      <c r="D1573" s="4" t="n"/>
      <c r="E1573" s="4" t="n"/>
      <c r="F1573" s="4" t="n"/>
      <c r="G1573">
        <f>IF(B1573="","",IFERROR(INDEX(Products!$B:$B,MATCH(B1573,Products!$A:$A,0)),"SKU not found"))</f>
        <v/>
      </c>
    </row>
    <row r="1574">
      <c r="A1574" s="7" t="n"/>
      <c r="B1574" s="4" t="n"/>
      <c r="C1574" s="4" t="n"/>
      <c r="D1574" s="4" t="n"/>
      <c r="E1574" s="4" t="n"/>
      <c r="F1574" s="4" t="n"/>
      <c r="G1574">
        <f>IF(B1574="","",IFERROR(INDEX(Products!$B:$B,MATCH(B1574,Products!$A:$A,0)),"SKU not found"))</f>
        <v/>
      </c>
    </row>
    <row r="1575">
      <c r="A1575" s="7" t="n"/>
      <c r="B1575" s="4" t="n"/>
      <c r="C1575" s="4" t="n"/>
      <c r="D1575" s="4" t="n"/>
      <c r="E1575" s="4" t="n"/>
      <c r="F1575" s="4" t="n"/>
      <c r="G1575">
        <f>IF(B1575="","",IFERROR(INDEX(Products!$B:$B,MATCH(B1575,Products!$A:$A,0)),"SKU not found"))</f>
        <v/>
      </c>
    </row>
    <row r="1576">
      <c r="A1576" s="7" t="n"/>
      <c r="B1576" s="4" t="n"/>
      <c r="C1576" s="4" t="n"/>
      <c r="D1576" s="4" t="n"/>
      <c r="E1576" s="4" t="n"/>
      <c r="F1576" s="4" t="n"/>
      <c r="G1576">
        <f>IF(B1576="","",IFERROR(INDEX(Products!$B:$B,MATCH(B1576,Products!$A:$A,0)),"SKU not found"))</f>
        <v/>
      </c>
    </row>
    <row r="1577">
      <c r="A1577" s="7" t="n"/>
      <c r="B1577" s="4" t="n"/>
      <c r="C1577" s="4" t="n"/>
      <c r="D1577" s="4" t="n"/>
      <c r="E1577" s="4" t="n"/>
      <c r="F1577" s="4" t="n"/>
      <c r="G1577">
        <f>IF(B1577="","",IFERROR(INDEX(Products!$B:$B,MATCH(B1577,Products!$A:$A,0)),"SKU not found"))</f>
        <v/>
      </c>
    </row>
    <row r="1578">
      <c r="A1578" s="7" t="n"/>
      <c r="B1578" s="4" t="n"/>
      <c r="C1578" s="4" t="n"/>
      <c r="D1578" s="4" t="n"/>
      <c r="E1578" s="4" t="n"/>
      <c r="F1578" s="4" t="n"/>
      <c r="G1578">
        <f>IF(B1578="","",IFERROR(INDEX(Products!$B:$B,MATCH(B1578,Products!$A:$A,0)),"SKU not found"))</f>
        <v/>
      </c>
    </row>
    <row r="1579">
      <c r="A1579" s="7" t="n"/>
      <c r="B1579" s="4" t="n"/>
      <c r="C1579" s="4" t="n"/>
      <c r="D1579" s="4" t="n"/>
      <c r="E1579" s="4" t="n"/>
      <c r="F1579" s="4" t="n"/>
      <c r="G1579">
        <f>IF(B1579="","",IFERROR(INDEX(Products!$B:$B,MATCH(B1579,Products!$A:$A,0)),"SKU not found"))</f>
        <v/>
      </c>
    </row>
    <row r="1580">
      <c r="A1580" s="7" t="n"/>
      <c r="B1580" s="4" t="n"/>
      <c r="C1580" s="4" t="n"/>
      <c r="D1580" s="4" t="n"/>
      <c r="E1580" s="4" t="n"/>
      <c r="F1580" s="4" t="n"/>
      <c r="G1580">
        <f>IF(B1580="","",IFERROR(INDEX(Products!$B:$B,MATCH(B1580,Products!$A:$A,0)),"SKU not found"))</f>
        <v/>
      </c>
    </row>
    <row r="1581">
      <c r="A1581" s="7" t="n"/>
      <c r="B1581" s="4" t="n"/>
      <c r="C1581" s="4" t="n"/>
      <c r="D1581" s="4" t="n"/>
      <c r="E1581" s="4" t="n"/>
      <c r="F1581" s="4" t="n"/>
      <c r="G1581">
        <f>IF(B1581="","",IFERROR(INDEX(Products!$B:$B,MATCH(B1581,Products!$A:$A,0)),"SKU not found"))</f>
        <v/>
      </c>
    </row>
    <row r="1582">
      <c r="A1582" s="7" t="n"/>
      <c r="B1582" s="4" t="n"/>
      <c r="C1582" s="4" t="n"/>
      <c r="D1582" s="4" t="n"/>
      <c r="E1582" s="4" t="n"/>
      <c r="F1582" s="4" t="n"/>
      <c r="G1582">
        <f>IF(B1582="","",IFERROR(INDEX(Products!$B:$B,MATCH(B1582,Products!$A:$A,0)),"SKU not found"))</f>
        <v/>
      </c>
    </row>
    <row r="1583">
      <c r="A1583" s="7" t="n"/>
      <c r="B1583" s="4" t="n"/>
      <c r="C1583" s="4" t="n"/>
      <c r="D1583" s="4" t="n"/>
      <c r="E1583" s="4" t="n"/>
      <c r="F1583" s="4" t="n"/>
      <c r="G1583">
        <f>IF(B1583="","",IFERROR(INDEX(Products!$B:$B,MATCH(B1583,Products!$A:$A,0)),"SKU not found"))</f>
        <v/>
      </c>
    </row>
    <row r="1584">
      <c r="A1584" s="7" t="n"/>
      <c r="B1584" s="4" t="n"/>
      <c r="C1584" s="4" t="n"/>
      <c r="D1584" s="4" t="n"/>
      <c r="E1584" s="4" t="n"/>
      <c r="F1584" s="4" t="n"/>
      <c r="G1584">
        <f>IF(B1584="","",IFERROR(INDEX(Products!$B:$B,MATCH(B1584,Products!$A:$A,0)),"SKU not found"))</f>
        <v/>
      </c>
    </row>
    <row r="1585">
      <c r="A1585" s="7" t="n"/>
      <c r="B1585" s="4" t="n"/>
      <c r="C1585" s="4" t="n"/>
      <c r="D1585" s="4" t="n"/>
      <c r="E1585" s="4" t="n"/>
      <c r="F1585" s="4" t="n"/>
      <c r="G1585">
        <f>IF(B1585="","",IFERROR(INDEX(Products!$B:$B,MATCH(B1585,Products!$A:$A,0)),"SKU not found"))</f>
        <v/>
      </c>
    </row>
    <row r="1586">
      <c r="A1586" s="7" t="n"/>
      <c r="B1586" s="4" t="n"/>
      <c r="C1586" s="4" t="n"/>
      <c r="D1586" s="4" t="n"/>
      <c r="E1586" s="4" t="n"/>
      <c r="F1586" s="4" t="n"/>
      <c r="G1586">
        <f>IF(B1586="","",IFERROR(INDEX(Products!$B:$B,MATCH(B1586,Products!$A:$A,0)),"SKU not found"))</f>
        <v/>
      </c>
    </row>
    <row r="1587">
      <c r="A1587" s="7" t="n"/>
      <c r="B1587" s="4" t="n"/>
      <c r="C1587" s="4" t="n"/>
      <c r="D1587" s="4" t="n"/>
      <c r="E1587" s="4" t="n"/>
      <c r="F1587" s="4" t="n"/>
      <c r="G1587">
        <f>IF(B1587="","",IFERROR(INDEX(Products!$B:$B,MATCH(B1587,Products!$A:$A,0)),"SKU not found"))</f>
        <v/>
      </c>
    </row>
    <row r="1588">
      <c r="A1588" s="7" t="n"/>
      <c r="B1588" s="4" t="n"/>
      <c r="C1588" s="4" t="n"/>
      <c r="D1588" s="4" t="n"/>
      <c r="E1588" s="4" t="n"/>
      <c r="F1588" s="4" t="n"/>
      <c r="G1588">
        <f>IF(B1588="","",IFERROR(INDEX(Products!$B:$B,MATCH(B1588,Products!$A:$A,0)),"SKU not found"))</f>
        <v/>
      </c>
    </row>
    <row r="1589">
      <c r="A1589" s="7" t="n"/>
      <c r="B1589" s="4" t="n"/>
      <c r="C1589" s="4" t="n"/>
      <c r="D1589" s="4" t="n"/>
      <c r="E1589" s="4" t="n"/>
      <c r="F1589" s="4" t="n"/>
      <c r="G1589">
        <f>IF(B1589="","",IFERROR(INDEX(Products!$B:$B,MATCH(B1589,Products!$A:$A,0)),"SKU not found"))</f>
        <v/>
      </c>
    </row>
    <row r="1590">
      <c r="A1590" s="7" t="n"/>
      <c r="B1590" s="4" t="n"/>
      <c r="C1590" s="4" t="n"/>
      <c r="D1590" s="4" t="n"/>
      <c r="E1590" s="4" t="n"/>
      <c r="F1590" s="4" t="n"/>
      <c r="G1590">
        <f>IF(B1590="","",IFERROR(INDEX(Products!$B:$B,MATCH(B1590,Products!$A:$A,0)),"SKU not found"))</f>
        <v/>
      </c>
    </row>
    <row r="1591">
      <c r="A1591" s="7" t="n"/>
      <c r="B1591" s="4" t="n"/>
      <c r="C1591" s="4" t="n"/>
      <c r="D1591" s="4" t="n"/>
      <c r="E1591" s="4" t="n"/>
      <c r="F1591" s="4" t="n"/>
      <c r="G1591">
        <f>IF(B1591="","",IFERROR(INDEX(Products!$B:$B,MATCH(B1591,Products!$A:$A,0)),"SKU not found"))</f>
        <v/>
      </c>
    </row>
    <row r="1592">
      <c r="A1592" s="7" t="n"/>
      <c r="B1592" s="4" t="n"/>
      <c r="C1592" s="4" t="n"/>
      <c r="D1592" s="4" t="n"/>
      <c r="E1592" s="4" t="n"/>
      <c r="F1592" s="4" t="n"/>
      <c r="G1592">
        <f>IF(B1592="","",IFERROR(INDEX(Products!$B:$B,MATCH(B1592,Products!$A:$A,0)),"SKU not found"))</f>
        <v/>
      </c>
    </row>
    <row r="1593">
      <c r="A1593" s="7" t="n"/>
      <c r="B1593" s="4" t="n"/>
      <c r="C1593" s="4" t="n"/>
      <c r="D1593" s="4" t="n"/>
      <c r="E1593" s="4" t="n"/>
      <c r="F1593" s="4" t="n"/>
      <c r="G1593">
        <f>IF(B1593="","",IFERROR(INDEX(Products!$B:$B,MATCH(B1593,Products!$A:$A,0)),"SKU not found"))</f>
        <v/>
      </c>
    </row>
    <row r="1594">
      <c r="A1594" s="7" t="n"/>
      <c r="B1594" s="4" t="n"/>
      <c r="C1594" s="4" t="n"/>
      <c r="D1594" s="4" t="n"/>
      <c r="E1594" s="4" t="n"/>
      <c r="F1594" s="4" t="n"/>
      <c r="G1594">
        <f>IF(B1594="","",IFERROR(INDEX(Products!$B:$B,MATCH(B1594,Products!$A:$A,0)),"SKU not found"))</f>
        <v/>
      </c>
    </row>
    <row r="1595">
      <c r="A1595" s="7" t="n"/>
      <c r="B1595" s="4" t="n"/>
      <c r="C1595" s="4" t="n"/>
      <c r="D1595" s="4" t="n"/>
      <c r="E1595" s="4" t="n"/>
      <c r="F1595" s="4" t="n"/>
      <c r="G1595">
        <f>IF(B1595="","",IFERROR(INDEX(Products!$B:$B,MATCH(B1595,Products!$A:$A,0)),"SKU not found"))</f>
        <v/>
      </c>
    </row>
    <row r="1596">
      <c r="A1596" s="7" t="n"/>
      <c r="B1596" s="4" t="n"/>
      <c r="C1596" s="4" t="n"/>
      <c r="D1596" s="4" t="n"/>
      <c r="E1596" s="4" t="n"/>
      <c r="F1596" s="4" t="n"/>
      <c r="G1596">
        <f>IF(B1596="","",IFERROR(INDEX(Products!$B:$B,MATCH(B1596,Products!$A:$A,0)),"SKU not found"))</f>
        <v/>
      </c>
    </row>
    <row r="1597">
      <c r="A1597" s="7" t="n"/>
      <c r="B1597" s="4" t="n"/>
      <c r="C1597" s="4" t="n"/>
      <c r="D1597" s="4" t="n"/>
      <c r="E1597" s="4" t="n"/>
      <c r="F1597" s="4" t="n"/>
      <c r="G1597">
        <f>IF(B1597="","",IFERROR(INDEX(Products!$B:$B,MATCH(B1597,Products!$A:$A,0)),"SKU not found"))</f>
        <v/>
      </c>
    </row>
    <row r="1598">
      <c r="A1598" s="7" t="n"/>
      <c r="B1598" s="4" t="n"/>
      <c r="C1598" s="4" t="n"/>
      <c r="D1598" s="4" t="n"/>
      <c r="E1598" s="4" t="n"/>
      <c r="F1598" s="4" t="n"/>
      <c r="G1598">
        <f>IF(B1598="","",IFERROR(INDEX(Products!$B:$B,MATCH(B1598,Products!$A:$A,0)),"SKU not found"))</f>
        <v/>
      </c>
    </row>
    <row r="1599">
      <c r="A1599" s="7" t="n"/>
      <c r="B1599" s="4" t="n"/>
      <c r="C1599" s="4" t="n"/>
      <c r="D1599" s="4" t="n"/>
      <c r="E1599" s="4" t="n"/>
      <c r="F1599" s="4" t="n"/>
      <c r="G1599">
        <f>IF(B1599="","",IFERROR(INDEX(Products!$B:$B,MATCH(B1599,Products!$A:$A,0)),"SKU not found"))</f>
        <v/>
      </c>
    </row>
    <row r="1600">
      <c r="A1600" s="7" t="n"/>
      <c r="B1600" s="4" t="n"/>
      <c r="C1600" s="4" t="n"/>
      <c r="D1600" s="4" t="n"/>
      <c r="E1600" s="4" t="n"/>
      <c r="F1600" s="4" t="n"/>
      <c r="G1600">
        <f>IF(B1600="","",IFERROR(INDEX(Products!$B:$B,MATCH(B1600,Products!$A:$A,0)),"SKU not found"))</f>
        <v/>
      </c>
    </row>
    <row r="1601">
      <c r="A1601" s="7" t="n"/>
      <c r="B1601" s="4" t="n"/>
      <c r="C1601" s="4" t="n"/>
      <c r="D1601" s="4" t="n"/>
      <c r="E1601" s="4" t="n"/>
      <c r="F1601" s="4" t="n"/>
      <c r="G1601">
        <f>IF(B1601="","",IFERROR(INDEX(Products!$B:$B,MATCH(B1601,Products!$A:$A,0)),"SKU not found"))</f>
        <v/>
      </c>
    </row>
    <row r="1602">
      <c r="A1602" s="7" t="n"/>
      <c r="B1602" s="4" t="n"/>
      <c r="C1602" s="4" t="n"/>
      <c r="D1602" s="4" t="n"/>
      <c r="E1602" s="4" t="n"/>
      <c r="F1602" s="4" t="n"/>
      <c r="G1602">
        <f>IF(B1602="","",IFERROR(INDEX(Products!$B:$B,MATCH(B1602,Products!$A:$A,0)),"SKU not found"))</f>
        <v/>
      </c>
    </row>
    <row r="1603">
      <c r="A1603" s="7" t="n"/>
      <c r="B1603" s="4" t="n"/>
      <c r="C1603" s="4" t="n"/>
      <c r="D1603" s="4" t="n"/>
      <c r="E1603" s="4" t="n"/>
      <c r="F1603" s="4" t="n"/>
      <c r="G1603">
        <f>IF(B1603="","",IFERROR(INDEX(Products!$B:$B,MATCH(B1603,Products!$A:$A,0)),"SKU not found"))</f>
        <v/>
      </c>
    </row>
    <row r="1604">
      <c r="A1604" s="7" t="n"/>
      <c r="B1604" s="4" t="n"/>
      <c r="C1604" s="4" t="n"/>
      <c r="D1604" s="4" t="n"/>
      <c r="E1604" s="4" t="n"/>
      <c r="F1604" s="4" t="n"/>
      <c r="G1604">
        <f>IF(B1604="","",IFERROR(INDEX(Products!$B:$B,MATCH(B1604,Products!$A:$A,0)),"SKU not found"))</f>
        <v/>
      </c>
    </row>
    <row r="1605">
      <c r="A1605" s="7" t="n"/>
      <c r="B1605" s="4" t="n"/>
      <c r="C1605" s="4" t="n"/>
      <c r="D1605" s="4" t="n"/>
      <c r="E1605" s="4" t="n"/>
      <c r="F1605" s="4" t="n"/>
      <c r="G1605">
        <f>IF(B1605="","",IFERROR(INDEX(Products!$B:$B,MATCH(B1605,Products!$A:$A,0)),"SKU not found"))</f>
        <v/>
      </c>
    </row>
    <row r="1606">
      <c r="A1606" s="7" t="n"/>
      <c r="B1606" s="4" t="n"/>
      <c r="C1606" s="4" t="n"/>
      <c r="D1606" s="4" t="n"/>
      <c r="E1606" s="4" t="n"/>
      <c r="F1606" s="4" t="n"/>
      <c r="G1606">
        <f>IF(B1606="","",IFERROR(INDEX(Products!$B:$B,MATCH(B1606,Products!$A:$A,0)),"SKU not found"))</f>
        <v/>
      </c>
    </row>
    <row r="1607">
      <c r="A1607" s="7" t="n"/>
      <c r="B1607" s="4" t="n"/>
      <c r="C1607" s="4" t="n"/>
      <c r="D1607" s="4" t="n"/>
      <c r="E1607" s="4" t="n"/>
      <c r="F1607" s="4" t="n"/>
      <c r="G1607">
        <f>IF(B1607="","",IFERROR(INDEX(Products!$B:$B,MATCH(B1607,Products!$A:$A,0)),"SKU not found"))</f>
        <v/>
      </c>
    </row>
    <row r="1608">
      <c r="A1608" s="7" t="n"/>
      <c r="B1608" s="4" t="n"/>
      <c r="C1608" s="4" t="n"/>
      <c r="D1608" s="4" t="n"/>
      <c r="E1608" s="4" t="n"/>
      <c r="F1608" s="4" t="n"/>
      <c r="G1608">
        <f>IF(B1608="","",IFERROR(INDEX(Products!$B:$B,MATCH(B1608,Products!$A:$A,0)),"SKU not found"))</f>
        <v/>
      </c>
    </row>
    <row r="1609">
      <c r="A1609" s="7" t="n"/>
      <c r="B1609" s="4" t="n"/>
      <c r="C1609" s="4" t="n"/>
      <c r="D1609" s="4" t="n"/>
      <c r="E1609" s="4" t="n"/>
      <c r="F1609" s="4" t="n"/>
      <c r="G1609">
        <f>IF(B1609="","",IFERROR(INDEX(Products!$B:$B,MATCH(B1609,Products!$A:$A,0)),"SKU not found"))</f>
        <v/>
      </c>
    </row>
    <row r="1610">
      <c r="A1610" s="7" t="n"/>
      <c r="B1610" s="4" t="n"/>
      <c r="C1610" s="4" t="n"/>
      <c r="D1610" s="4" t="n"/>
      <c r="E1610" s="4" t="n"/>
      <c r="F1610" s="4" t="n"/>
      <c r="G1610">
        <f>IF(B1610="","",IFERROR(INDEX(Products!$B:$B,MATCH(B1610,Products!$A:$A,0)),"SKU not found"))</f>
        <v/>
      </c>
    </row>
    <row r="1611">
      <c r="A1611" s="7" t="n"/>
      <c r="B1611" s="4" t="n"/>
      <c r="C1611" s="4" t="n"/>
      <c r="D1611" s="4" t="n"/>
      <c r="E1611" s="4" t="n"/>
      <c r="F1611" s="4" t="n"/>
      <c r="G1611">
        <f>IF(B1611="","",IFERROR(INDEX(Products!$B:$B,MATCH(B1611,Products!$A:$A,0)),"SKU not found"))</f>
        <v/>
      </c>
    </row>
    <row r="1612">
      <c r="A1612" s="7" t="n"/>
      <c r="B1612" s="4" t="n"/>
      <c r="C1612" s="4" t="n"/>
      <c r="D1612" s="4" t="n"/>
      <c r="E1612" s="4" t="n"/>
      <c r="F1612" s="4" t="n"/>
      <c r="G1612">
        <f>IF(B1612="","",IFERROR(INDEX(Products!$B:$B,MATCH(B1612,Products!$A:$A,0)),"SKU not found"))</f>
        <v/>
      </c>
    </row>
    <row r="1613">
      <c r="A1613" s="7" t="n"/>
      <c r="B1613" s="4" t="n"/>
      <c r="C1613" s="4" t="n"/>
      <c r="D1613" s="4" t="n"/>
      <c r="E1613" s="4" t="n"/>
      <c r="F1613" s="4" t="n"/>
      <c r="G1613">
        <f>IF(B1613="","",IFERROR(INDEX(Products!$B:$B,MATCH(B1613,Products!$A:$A,0)),"SKU not found"))</f>
        <v/>
      </c>
    </row>
    <row r="1614">
      <c r="A1614" s="7" t="n"/>
      <c r="B1614" s="4" t="n"/>
      <c r="C1614" s="4" t="n"/>
      <c r="D1614" s="4" t="n"/>
      <c r="E1614" s="4" t="n"/>
      <c r="F1614" s="4" t="n"/>
      <c r="G1614">
        <f>IF(B1614="","",IFERROR(INDEX(Products!$B:$B,MATCH(B1614,Products!$A:$A,0)),"SKU not found"))</f>
        <v/>
      </c>
    </row>
    <row r="1615">
      <c r="A1615" s="7" t="n"/>
      <c r="B1615" s="4" t="n"/>
      <c r="C1615" s="4" t="n"/>
      <c r="D1615" s="4" t="n"/>
      <c r="E1615" s="4" t="n"/>
      <c r="F1615" s="4" t="n"/>
      <c r="G1615">
        <f>IF(B1615="","",IFERROR(INDEX(Products!$B:$B,MATCH(B1615,Products!$A:$A,0)),"SKU not found"))</f>
        <v/>
      </c>
    </row>
    <row r="1616">
      <c r="A1616" s="7" t="n"/>
      <c r="B1616" s="4" t="n"/>
      <c r="C1616" s="4" t="n"/>
      <c r="D1616" s="4" t="n"/>
      <c r="E1616" s="4" t="n"/>
      <c r="F1616" s="4" t="n"/>
      <c r="G1616">
        <f>IF(B1616="","",IFERROR(INDEX(Products!$B:$B,MATCH(B1616,Products!$A:$A,0)),"SKU not found"))</f>
        <v/>
      </c>
    </row>
    <row r="1617">
      <c r="A1617" s="7" t="n"/>
      <c r="B1617" s="4" t="n"/>
      <c r="C1617" s="4" t="n"/>
      <c r="D1617" s="4" t="n"/>
      <c r="E1617" s="4" t="n"/>
      <c r="F1617" s="4" t="n"/>
      <c r="G1617">
        <f>IF(B1617="","",IFERROR(INDEX(Products!$B:$B,MATCH(B1617,Products!$A:$A,0)),"SKU not found"))</f>
        <v/>
      </c>
    </row>
    <row r="1618">
      <c r="A1618" s="7" t="n"/>
      <c r="B1618" s="4" t="n"/>
      <c r="C1618" s="4" t="n"/>
      <c r="D1618" s="4" t="n"/>
      <c r="E1618" s="4" t="n"/>
      <c r="F1618" s="4" t="n"/>
      <c r="G1618">
        <f>IF(B1618="","",IFERROR(INDEX(Products!$B:$B,MATCH(B1618,Products!$A:$A,0)),"SKU not found"))</f>
        <v/>
      </c>
    </row>
    <row r="1619">
      <c r="A1619" s="7" t="n"/>
      <c r="B1619" s="4" t="n"/>
      <c r="C1619" s="4" t="n"/>
      <c r="D1619" s="4" t="n"/>
      <c r="E1619" s="4" t="n"/>
      <c r="F1619" s="4" t="n"/>
      <c r="G1619">
        <f>IF(B1619="","",IFERROR(INDEX(Products!$B:$B,MATCH(B1619,Products!$A:$A,0)),"SKU not found"))</f>
        <v/>
      </c>
    </row>
    <row r="1620">
      <c r="A1620" s="7" t="n"/>
      <c r="B1620" s="4" t="n"/>
      <c r="C1620" s="4" t="n"/>
      <c r="D1620" s="4" t="n"/>
      <c r="E1620" s="4" t="n"/>
      <c r="F1620" s="4" t="n"/>
      <c r="G1620">
        <f>IF(B1620="","",IFERROR(INDEX(Products!$B:$B,MATCH(B1620,Products!$A:$A,0)),"SKU not found"))</f>
        <v/>
      </c>
    </row>
    <row r="1621">
      <c r="A1621" s="7" t="n"/>
      <c r="B1621" s="4" t="n"/>
      <c r="C1621" s="4" t="n"/>
      <c r="D1621" s="4" t="n"/>
      <c r="E1621" s="4" t="n"/>
      <c r="F1621" s="4" t="n"/>
      <c r="G1621">
        <f>IF(B1621="","",IFERROR(INDEX(Products!$B:$B,MATCH(B1621,Products!$A:$A,0)),"SKU not found"))</f>
        <v/>
      </c>
    </row>
    <row r="1622">
      <c r="A1622" s="7" t="n"/>
      <c r="B1622" s="4" t="n"/>
      <c r="C1622" s="4" t="n"/>
      <c r="D1622" s="4" t="n"/>
      <c r="E1622" s="4" t="n"/>
      <c r="F1622" s="4" t="n"/>
      <c r="G1622">
        <f>IF(B1622="","",IFERROR(INDEX(Products!$B:$B,MATCH(B1622,Products!$A:$A,0)),"SKU not found"))</f>
        <v/>
      </c>
    </row>
    <row r="1623">
      <c r="A1623" s="7" t="n"/>
      <c r="B1623" s="4" t="n"/>
      <c r="C1623" s="4" t="n"/>
      <c r="D1623" s="4" t="n"/>
      <c r="E1623" s="4" t="n"/>
      <c r="F1623" s="4" t="n"/>
      <c r="G1623">
        <f>IF(B1623="","",IFERROR(INDEX(Products!$B:$B,MATCH(B1623,Products!$A:$A,0)),"SKU not found"))</f>
        <v/>
      </c>
    </row>
    <row r="1624">
      <c r="A1624" s="7" t="n"/>
      <c r="B1624" s="4" t="n"/>
      <c r="C1624" s="4" t="n"/>
      <c r="D1624" s="4" t="n"/>
      <c r="E1624" s="4" t="n"/>
      <c r="F1624" s="4" t="n"/>
      <c r="G1624">
        <f>IF(B1624="","",IFERROR(INDEX(Products!$B:$B,MATCH(B1624,Products!$A:$A,0)),"SKU not found"))</f>
        <v/>
      </c>
    </row>
    <row r="1625">
      <c r="A1625" s="7" t="n"/>
      <c r="B1625" s="4" t="n"/>
      <c r="C1625" s="4" t="n"/>
      <c r="D1625" s="4" t="n"/>
      <c r="E1625" s="4" t="n"/>
      <c r="F1625" s="4" t="n"/>
      <c r="G1625">
        <f>IF(B1625="","",IFERROR(INDEX(Products!$B:$B,MATCH(B1625,Products!$A:$A,0)),"SKU not found"))</f>
        <v/>
      </c>
    </row>
    <row r="1626">
      <c r="A1626" s="7" t="n"/>
      <c r="B1626" s="4" t="n"/>
      <c r="C1626" s="4" t="n"/>
      <c r="D1626" s="4" t="n"/>
      <c r="E1626" s="4" t="n"/>
      <c r="F1626" s="4" t="n"/>
      <c r="G1626">
        <f>IF(B1626="","",IFERROR(INDEX(Products!$B:$B,MATCH(B1626,Products!$A:$A,0)),"SKU not found"))</f>
        <v/>
      </c>
    </row>
    <row r="1627">
      <c r="A1627" s="7" t="n"/>
      <c r="B1627" s="4" t="n"/>
      <c r="C1627" s="4" t="n"/>
      <c r="D1627" s="4" t="n"/>
      <c r="E1627" s="4" t="n"/>
      <c r="F1627" s="4" t="n"/>
      <c r="G1627">
        <f>IF(B1627="","",IFERROR(INDEX(Products!$B:$B,MATCH(B1627,Products!$A:$A,0)),"SKU not found"))</f>
        <v/>
      </c>
    </row>
    <row r="1628">
      <c r="A1628" s="7" t="n"/>
      <c r="B1628" s="4" t="n"/>
      <c r="C1628" s="4" t="n"/>
      <c r="D1628" s="4" t="n"/>
      <c r="E1628" s="4" t="n"/>
      <c r="F1628" s="4" t="n"/>
      <c r="G1628">
        <f>IF(B1628="","",IFERROR(INDEX(Products!$B:$B,MATCH(B1628,Products!$A:$A,0)),"SKU not found"))</f>
        <v/>
      </c>
    </row>
    <row r="1629">
      <c r="A1629" s="7" t="n"/>
      <c r="B1629" s="4" t="n"/>
      <c r="C1629" s="4" t="n"/>
      <c r="D1629" s="4" t="n"/>
      <c r="E1629" s="4" t="n"/>
      <c r="F1629" s="4" t="n"/>
      <c r="G1629">
        <f>IF(B1629="","",IFERROR(INDEX(Products!$B:$B,MATCH(B1629,Products!$A:$A,0)),"SKU not found"))</f>
        <v/>
      </c>
    </row>
    <row r="1630">
      <c r="A1630" s="7" t="n"/>
      <c r="B1630" s="4" t="n"/>
      <c r="C1630" s="4" t="n"/>
      <c r="D1630" s="4" t="n"/>
      <c r="E1630" s="4" t="n"/>
      <c r="F1630" s="4" t="n"/>
      <c r="G1630">
        <f>IF(B1630="","",IFERROR(INDEX(Products!$B:$B,MATCH(B1630,Products!$A:$A,0)),"SKU not found"))</f>
        <v/>
      </c>
    </row>
    <row r="1631">
      <c r="A1631" s="7" t="n"/>
      <c r="B1631" s="4" t="n"/>
      <c r="C1631" s="4" t="n"/>
      <c r="D1631" s="4" t="n"/>
      <c r="E1631" s="4" t="n"/>
      <c r="F1631" s="4" t="n"/>
      <c r="G1631">
        <f>IF(B1631="","",IFERROR(INDEX(Products!$B:$B,MATCH(B1631,Products!$A:$A,0)),"SKU not found"))</f>
        <v/>
      </c>
    </row>
    <row r="1632">
      <c r="A1632" s="7" t="n"/>
      <c r="B1632" s="4" t="n"/>
      <c r="C1632" s="4" t="n"/>
      <c r="D1632" s="4" t="n"/>
      <c r="E1632" s="4" t="n"/>
      <c r="F1632" s="4" t="n"/>
      <c r="G1632">
        <f>IF(B1632="","",IFERROR(INDEX(Products!$B:$B,MATCH(B1632,Products!$A:$A,0)),"SKU not found"))</f>
        <v/>
      </c>
    </row>
    <row r="1633">
      <c r="A1633" s="7" t="n"/>
      <c r="B1633" s="4" t="n"/>
      <c r="C1633" s="4" t="n"/>
      <c r="D1633" s="4" t="n"/>
      <c r="E1633" s="4" t="n"/>
      <c r="F1633" s="4" t="n"/>
      <c r="G1633">
        <f>IF(B1633="","",IFERROR(INDEX(Products!$B:$B,MATCH(B1633,Products!$A:$A,0)),"SKU not found"))</f>
        <v/>
      </c>
    </row>
    <row r="1634">
      <c r="A1634" s="7" t="n"/>
      <c r="B1634" s="4" t="n"/>
      <c r="C1634" s="4" t="n"/>
      <c r="D1634" s="4" t="n"/>
      <c r="E1634" s="4" t="n"/>
      <c r="F1634" s="4" t="n"/>
      <c r="G1634">
        <f>IF(B1634="","",IFERROR(INDEX(Products!$B:$B,MATCH(B1634,Products!$A:$A,0)),"SKU not found"))</f>
        <v/>
      </c>
    </row>
    <row r="1635">
      <c r="A1635" s="7" t="n"/>
      <c r="B1635" s="4" t="n"/>
      <c r="C1635" s="4" t="n"/>
      <c r="D1635" s="4" t="n"/>
      <c r="E1635" s="4" t="n"/>
      <c r="F1635" s="4" t="n"/>
      <c r="G1635">
        <f>IF(B1635="","",IFERROR(INDEX(Products!$B:$B,MATCH(B1635,Products!$A:$A,0)),"SKU not found"))</f>
        <v/>
      </c>
    </row>
    <row r="1636">
      <c r="A1636" s="7" t="n"/>
      <c r="B1636" s="4" t="n"/>
      <c r="C1636" s="4" t="n"/>
      <c r="D1636" s="4" t="n"/>
      <c r="E1636" s="4" t="n"/>
      <c r="F1636" s="4" t="n"/>
      <c r="G1636">
        <f>IF(B1636="","",IFERROR(INDEX(Products!$B:$B,MATCH(B1636,Products!$A:$A,0)),"SKU not found"))</f>
        <v/>
      </c>
    </row>
    <row r="1637">
      <c r="A1637" s="7" t="n"/>
      <c r="B1637" s="4" t="n"/>
      <c r="C1637" s="4" t="n"/>
      <c r="D1637" s="4" t="n"/>
      <c r="E1637" s="4" t="n"/>
      <c r="F1637" s="4" t="n"/>
      <c r="G1637">
        <f>IF(B1637="","",IFERROR(INDEX(Products!$B:$B,MATCH(B1637,Products!$A:$A,0)),"SKU not found"))</f>
        <v/>
      </c>
    </row>
    <row r="1638">
      <c r="A1638" s="7" t="n"/>
      <c r="B1638" s="4" t="n"/>
      <c r="C1638" s="4" t="n"/>
      <c r="D1638" s="4" t="n"/>
      <c r="E1638" s="4" t="n"/>
      <c r="F1638" s="4" t="n"/>
      <c r="G1638">
        <f>IF(B1638="","",IFERROR(INDEX(Products!$B:$B,MATCH(B1638,Products!$A:$A,0)),"SKU not found"))</f>
        <v/>
      </c>
    </row>
    <row r="1639">
      <c r="A1639" s="7" t="n"/>
      <c r="B1639" s="4" t="n"/>
      <c r="C1639" s="4" t="n"/>
      <c r="D1639" s="4" t="n"/>
      <c r="E1639" s="4" t="n"/>
      <c r="F1639" s="4" t="n"/>
      <c r="G1639">
        <f>IF(B1639="","",IFERROR(INDEX(Products!$B:$B,MATCH(B1639,Products!$A:$A,0)),"SKU not found"))</f>
        <v/>
      </c>
    </row>
    <row r="1640">
      <c r="A1640" s="7" t="n"/>
      <c r="B1640" s="4" t="n"/>
      <c r="C1640" s="4" t="n"/>
      <c r="D1640" s="4" t="n"/>
      <c r="E1640" s="4" t="n"/>
      <c r="F1640" s="4" t="n"/>
      <c r="G1640">
        <f>IF(B1640="","",IFERROR(INDEX(Products!$B:$B,MATCH(B1640,Products!$A:$A,0)),"SKU not found"))</f>
        <v/>
      </c>
    </row>
    <row r="1641">
      <c r="A1641" s="7" t="n"/>
      <c r="B1641" s="4" t="n"/>
      <c r="C1641" s="4" t="n"/>
      <c r="D1641" s="4" t="n"/>
      <c r="E1641" s="4" t="n"/>
      <c r="F1641" s="4" t="n"/>
      <c r="G1641">
        <f>IF(B1641="","",IFERROR(INDEX(Products!$B:$B,MATCH(B1641,Products!$A:$A,0)),"SKU not found"))</f>
        <v/>
      </c>
    </row>
    <row r="1642">
      <c r="A1642" s="7" t="n"/>
      <c r="B1642" s="4" t="n"/>
      <c r="C1642" s="4" t="n"/>
      <c r="D1642" s="4" t="n"/>
      <c r="E1642" s="4" t="n"/>
      <c r="F1642" s="4" t="n"/>
      <c r="G1642">
        <f>IF(B1642="","",IFERROR(INDEX(Products!$B:$B,MATCH(B1642,Products!$A:$A,0)),"SKU not found"))</f>
        <v/>
      </c>
    </row>
    <row r="1643">
      <c r="A1643" s="7" t="n"/>
      <c r="B1643" s="4" t="n"/>
      <c r="C1643" s="4" t="n"/>
      <c r="D1643" s="4" t="n"/>
      <c r="E1643" s="4" t="n"/>
      <c r="F1643" s="4" t="n"/>
      <c r="G1643">
        <f>IF(B1643="","",IFERROR(INDEX(Products!$B:$B,MATCH(B1643,Products!$A:$A,0)),"SKU not found"))</f>
        <v/>
      </c>
    </row>
    <row r="1644">
      <c r="A1644" s="7" t="n"/>
      <c r="B1644" s="4" t="n"/>
      <c r="C1644" s="4" t="n"/>
      <c r="D1644" s="4" t="n"/>
      <c r="E1644" s="4" t="n"/>
      <c r="F1644" s="4" t="n"/>
      <c r="G1644">
        <f>IF(B1644="","",IFERROR(INDEX(Products!$B:$B,MATCH(B1644,Products!$A:$A,0)),"SKU not found"))</f>
        <v/>
      </c>
    </row>
    <row r="1645">
      <c r="A1645" s="7" t="n"/>
      <c r="B1645" s="4" t="n"/>
      <c r="C1645" s="4" t="n"/>
      <c r="D1645" s="4" t="n"/>
      <c r="E1645" s="4" t="n"/>
      <c r="F1645" s="4" t="n"/>
      <c r="G1645">
        <f>IF(B1645="","",IFERROR(INDEX(Products!$B:$B,MATCH(B1645,Products!$A:$A,0)),"SKU not found"))</f>
        <v/>
      </c>
    </row>
    <row r="1646">
      <c r="A1646" s="7" t="n"/>
      <c r="B1646" s="4" t="n"/>
      <c r="C1646" s="4" t="n"/>
      <c r="D1646" s="4" t="n"/>
      <c r="E1646" s="4" t="n"/>
      <c r="F1646" s="4" t="n"/>
      <c r="G1646">
        <f>IF(B1646="","",IFERROR(INDEX(Products!$B:$B,MATCH(B1646,Products!$A:$A,0)),"SKU not found"))</f>
        <v/>
      </c>
    </row>
    <row r="1647">
      <c r="A1647" s="7" t="n"/>
      <c r="B1647" s="4" t="n"/>
      <c r="C1647" s="4" t="n"/>
      <c r="D1647" s="4" t="n"/>
      <c r="E1647" s="4" t="n"/>
      <c r="F1647" s="4" t="n"/>
      <c r="G1647">
        <f>IF(B1647="","",IFERROR(INDEX(Products!$B:$B,MATCH(B1647,Products!$A:$A,0)),"SKU not found"))</f>
        <v/>
      </c>
    </row>
    <row r="1648">
      <c r="A1648" s="7" t="n"/>
      <c r="B1648" s="4" t="n"/>
      <c r="C1648" s="4" t="n"/>
      <c r="D1648" s="4" t="n"/>
      <c r="E1648" s="4" t="n"/>
      <c r="F1648" s="4" t="n"/>
      <c r="G1648">
        <f>IF(B1648="","",IFERROR(INDEX(Products!$B:$B,MATCH(B1648,Products!$A:$A,0)),"SKU not found"))</f>
        <v/>
      </c>
    </row>
    <row r="1649">
      <c r="A1649" s="7" t="n"/>
      <c r="B1649" s="4" t="n"/>
      <c r="C1649" s="4" t="n"/>
      <c r="D1649" s="4" t="n"/>
      <c r="E1649" s="4" t="n"/>
      <c r="F1649" s="4" t="n"/>
      <c r="G1649">
        <f>IF(B1649="","",IFERROR(INDEX(Products!$B:$B,MATCH(B1649,Products!$A:$A,0)),"SKU not found"))</f>
        <v/>
      </c>
    </row>
    <row r="1650">
      <c r="A1650" s="7" t="n"/>
      <c r="B1650" s="4" t="n"/>
      <c r="C1650" s="4" t="n"/>
      <c r="D1650" s="4" t="n"/>
      <c r="E1650" s="4" t="n"/>
      <c r="F1650" s="4" t="n"/>
      <c r="G1650">
        <f>IF(B1650="","",IFERROR(INDEX(Products!$B:$B,MATCH(B1650,Products!$A:$A,0)),"SKU not found"))</f>
        <v/>
      </c>
    </row>
    <row r="1651">
      <c r="A1651" s="7" t="n"/>
      <c r="B1651" s="4" t="n"/>
      <c r="C1651" s="4" t="n"/>
      <c r="D1651" s="4" t="n"/>
      <c r="E1651" s="4" t="n"/>
      <c r="F1651" s="4" t="n"/>
      <c r="G1651">
        <f>IF(B1651="","",IFERROR(INDEX(Products!$B:$B,MATCH(B1651,Products!$A:$A,0)),"SKU not found"))</f>
        <v/>
      </c>
    </row>
    <row r="1652">
      <c r="A1652" s="7" t="n"/>
      <c r="B1652" s="4" t="n"/>
      <c r="C1652" s="4" t="n"/>
      <c r="D1652" s="4" t="n"/>
      <c r="E1652" s="4" t="n"/>
      <c r="F1652" s="4" t="n"/>
      <c r="G1652">
        <f>IF(B1652="","",IFERROR(INDEX(Products!$B:$B,MATCH(B1652,Products!$A:$A,0)),"SKU not found"))</f>
        <v/>
      </c>
    </row>
    <row r="1653">
      <c r="A1653" s="7" t="n"/>
      <c r="B1653" s="4" t="n"/>
      <c r="C1653" s="4" t="n"/>
      <c r="D1653" s="4" t="n"/>
      <c r="E1653" s="4" t="n"/>
      <c r="F1653" s="4" t="n"/>
      <c r="G1653">
        <f>IF(B1653="","",IFERROR(INDEX(Products!$B:$B,MATCH(B1653,Products!$A:$A,0)),"SKU not found"))</f>
        <v/>
      </c>
    </row>
    <row r="1654">
      <c r="A1654" s="7" t="n"/>
      <c r="B1654" s="4" t="n"/>
      <c r="C1654" s="4" t="n"/>
      <c r="D1654" s="4" t="n"/>
      <c r="E1654" s="4" t="n"/>
      <c r="F1654" s="4" t="n"/>
      <c r="G1654">
        <f>IF(B1654="","",IFERROR(INDEX(Products!$B:$B,MATCH(B1654,Products!$A:$A,0)),"SKU not found"))</f>
        <v/>
      </c>
    </row>
    <row r="1655">
      <c r="A1655" s="7" t="n"/>
      <c r="B1655" s="4" t="n"/>
      <c r="C1655" s="4" t="n"/>
      <c r="D1655" s="4" t="n"/>
      <c r="E1655" s="4" t="n"/>
      <c r="F1655" s="4" t="n"/>
      <c r="G1655">
        <f>IF(B1655="","",IFERROR(INDEX(Products!$B:$B,MATCH(B1655,Products!$A:$A,0)),"SKU not found"))</f>
        <v/>
      </c>
    </row>
    <row r="1656">
      <c r="A1656" s="7" t="n"/>
      <c r="B1656" s="4" t="n"/>
      <c r="C1656" s="4" t="n"/>
      <c r="D1656" s="4" t="n"/>
      <c r="E1656" s="4" t="n"/>
      <c r="F1656" s="4" t="n"/>
      <c r="G1656">
        <f>IF(B1656="","",IFERROR(INDEX(Products!$B:$B,MATCH(B1656,Products!$A:$A,0)),"SKU not found"))</f>
        <v/>
      </c>
    </row>
    <row r="1657">
      <c r="A1657" s="7" t="n"/>
      <c r="B1657" s="4" t="n"/>
      <c r="C1657" s="4" t="n"/>
      <c r="D1657" s="4" t="n"/>
      <c r="E1657" s="4" t="n"/>
      <c r="F1657" s="4" t="n"/>
      <c r="G1657">
        <f>IF(B1657="","",IFERROR(INDEX(Products!$B:$B,MATCH(B1657,Products!$A:$A,0)),"SKU not found"))</f>
        <v/>
      </c>
    </row>
    <row r="1658">
      <c r="A1658" s="7" t="n"/>
      <c r="B1658" s="4" t="n"/>
      <c r="C1658" s="4" t="n"/>
      <c r="D1658" s="4" t="n"/>
      <c r="E1658" s="4" t="n"/>
      <c r="F1658" s="4" t="n"/>
      <c r="G1658">
        <f>IF(B1658="","",IFERROR(INDEX(Products!$B:$B,MATCH(B1658,Products!$A:$A,0)),"SKU not found"))</f>
        <v/>
      </c>
    </row>
    <row r="1659">
      <c r="A1659" s="7" t="n"/>
      <c r="B1659" s="4" t="n"/>
      <c r="C1659" s="4" t="n"/>
      <c r="D1659" s="4" t="n"/>
      <c r="E1659" s="4" t="n"/>
      <c r="F1659" s="4" t="n"/>
      <c r="G1659">
        <f>IF(B1659="","",IFERROR(INDEX(Products!$B:$B,MATCH(B1659,Products!$A:$A,0)),"SKU not found"))</f>
        <v/>
      </c>
    </row>
    <row r="1660">
      <c r="A1660" s="7" t="n"/>
      <c r="B1660" s="4" t="n"/>
      <c r="C1660" s="4" t="n"/>
      <c r="D1660" s="4" t="n"/>
      <c r="E1660" s="4" t="n"/>
      <c r="F1660" s="4" t="n"/>
      <c r="G1660">
        <f>IF(B1660="","",IFERROR(INDEX(Products!$B:$B,MATCH(B1660,Products!$A:$A,0)),"SKU not found"))</f>
        <v/>
      </c>
    </row>
    <row r="1661">
      <c r="A1661" s="7" t="n"/>
      <c r="B1661" s="4" t="n"/>
      <c r="C1661" s="4" t="n"/>
      <c r="D1661" s="4" t="n"/>
      <c r="E1661" s="4" t="n"/>
      <c r="F1661" s="4" t="n"/>
      <c r="G1661">
        <f>IF(B1661="","",IFERROR(INDEX(Products!$B:$B,MATCH(B1661,Products!$A:$A,0)),"SKU not found"))</f>
        <v/>
      </c>
    </row>
    <row r="1662">
      <c r="A1662" s="7" t="n"/>
      <c r="B1662" s="4" t="n"/>
      <c r="C1662" s="4" t="n"/>
      <c r="D1662" s="4" t="n"/>
      <c r="E1662" s="4" t="n"/>
      <c r="F1662" s="4" t="n"/>
      <c r="G1662">
        <f>IF(B1662="","",IFERROR(INDEX(Products!$B:$B,MATCH(B1662,Products!$A:$A,0)),"SKU not found"))</f>
        <v/>
      </c>
    </row>
    <row r="1663">
      <c r="A1663" s="7" t="n"/>
      <c r="B1663" s="4" t="n"/>
      <c r="C1663" s="4" t="n"/>
      <c r="D1663" s="4" t="n"/>
      <c r="E1663" s="4" t="n"/>
      <c r="F1663" s="4" t="n"/>
      <c r="G1663">
        <f>IF(B1663="","",IFERROR(INDEX(Products!$B:$B,MATCH(B1663,Products!$A:$A,0)),"SKU not found"))</f>
        <v/>
      </c>
    </row>
    <row r="1664">
      <c r="A1664" s="7" t="n"/>
      <c r="B1664" s="4" t="n"/>
      <c r="C1664" s="4" t="n"/>
      <c r="D1664" s="4" t="n"/>
      <c r="E1664" s="4" t="n"/>
      <c r="F1664" s="4" t="n"/>
      <c r="G1664">
        <f>IF(B1664="","",IFERROR(INDEX(Products!$B:$B,MATCH(B1664,Products!$A:$A,0)),"SKU not found"))</f>
        <v/>
      </c>
    </row>
    <row r="1665">
      <c r="A1665" s="7" t="n"/>
      <c r="B1665" s="4" t="n"/>
      <c r="C1665" s="4" t="n"/>
      <c r="D1665" s="4" t="n"/>
      <c r="E1665" s="4" t="n"/>
      <c r="F1665" s="4" t="n"/>
      <c r="G1665">
        <f>IF(B1665="","",IFERROR(INDEX(Products!$B:$B,MATCH(B1665,Products!$A:$A,0)),"SKU not found"))</f>
        <v/>
      </c>
    </row>
    <row r="1666">
      <c r="A1666" s="7" t="n"/>
      <c r="B1666" s="4" t="n"/>
      <c r="C1666" s="4" t="n"/>
      <c r="D1666" s="4" t="n"/>
      <c r="E1666" s="4" t="n"/>
      <c r="F1666" s="4" t="n"/>
      <c r="G1666">
        <f>IF(B1666="","",IFERROR(INDEX(Products!$B:$B,MATCH(B1666,Products!$A:$A,0)),"SKU not found"))</f>
        <v/>
      </c>
    </row>
    <row r="1667">
      <c r="A1667" s="7" t="n"/>
      <c r="B1667" s="4" t="n"/>
      <c r="C1667" s="4" t="n"/>
      <c r="D1667" s="4" t="n"/>
      <c r="E1667" s="4" t="n"/>
      <c r="F1667" s="4" t="n"/>
      <c r="G1667">
        <f>IF(B1667="","",IFERROR(INDEX(Products!$B:$B,MATCH(B1667,Products!$A:$A,0)),"SKU not found"))</f>
        <v/>
      </c>
    </row>
    <row r="1668">
      <c r="A1668" s="7" t="n"/>
      <c r="B1668" s="4" t="n"/>
      <c r="C1668" s="4" t="n"/>
      <c r="D1668" s="4" t="n"/>
      <c r="E1668" s="4" t="n"/>
      <c r="F1668" s="4" t="n"/>
      <c r="G1668">
        <f>IF(B1668="","",IFERROR(INDEX(Products!$B:$B,MATCH(B1668,Products!$A:$A,0)),"SKU not found"))</f>
        <v/>
      </c>
    </row>
    <row r="1669">
      <c r="A1669" s="7" t="n"/>
      <c r="B1669" s="4" t="n"/>
      <c r="C1669" s="4" t="n"/>
      <c r="D1669" s="4" t="n"/>
      <c r="E1669" s="4" t="n"/>
      <c r="F1669" s="4" t="n"/>
      <c r="G1669">
        <f>IF(B1669="","",IFERROR(INDEX(Products!$B:$B,MATCH(B1669,Products!$A:$A,0)),"SKU not found"))</f>
        <v/>
      </c>
    </row>
    <row r="1670">
      <c r="A1670" s="7" t="n"/>
      <c r="B1670" s="4" t="n"/>
      <c r="C1670" s="4" t="n"/>
      <c r="D1670" s="4" t="n"/>
      <c r="E1670" s="4" t="n"/>
      <c r="F1670" s="4" t="n"/>
      <c r="G1670">
        <f>IF(B1670="","",IFERROR(INDEX(Products!$B:$B,MATCH(B1670,Products!$A:$A,0)),"SKU not found"))</f>
        <v/>
      </c>
    </row>
    <row r="1671">
      <c r="A1671" s="7" t="n"/>
      <c r="B1671" s="4" t="n"/>
      <c r="C1671" s="4" t="n"/>
      <c r="D1671" s="4" t="n"/>
      <c r="E1671" s="4" t="n"/>
      <c r="F1671" s="4" t="n"/>
      <c r="G1671">
        <f>IF(B1671="","",IFERROR(INDEX(Products!$B:$B,MATCH(B1671,Products!$A:$A,0)),"SKU not found"))</f>
        <v/>
      </c>
    </row>
    <row r="1672">
      <c r="A1672" s="7" t="n"/>
      <c r="B1672" s="4" t="n"/>
      <c r="C1672" s="4" t="n"/>
      <c r="D1672" s="4" t="n"/>
      <c r="E1672" s="4" t="n"/>
      <c r="F1672" s="4" t="n"/>
      <c r="G1672">
        <f>IF(B1672="","",IFERROR(INDEX(Products!$B:$B,MATCH(B1672,Products!$A:$A,0)),"SKU not found"))</f>
        <v/>
      </c>
    </row>
    <row r="1673">
      <c r="A1673" s="7" t="n"/>
      <c r="B1673" s="4" t="n"/>
      <c r="C1673" s="4" t="n"/>
      <c r="D1673" s="4" t="n"/>
      <c r="E1673" s="4" t="n"/>
      <c r="F1673" s="4" t="n"/>
      <c r="G1673">
        <f>IF(B1673="","",IFERROR(INDEX(Products!$B:$B,MATCH(B1673,Products!$A:$A,0)),"SKU not found"))</f>
        <v/>
      </c>
    </row>
    <row r="1674">
      <c r="A1674" s="7" t="n"/>
      <c r="B1674" s="4" t="n"/>
      <c r="C1674" s="4" t="n"/>
      <c r="D1674" s="4" t="n"/>
      <c r="E1674" s="4" t="n"/>
      <c r="F1674" s="4" t="n"/>
      <c r="G1674">
        <f>IF(B1674="","",IFERROR(INDEX(Products!$B:$B,MATCH(B1674,Products!$A:$A,0)),"SKU not found"))</f>
        <v/>
      </c>
    </row>
    <row r="1675">
      <c r="A1675" s="7" t="n"/>
      <c r="B1675" s="4" t="n"/>
      <c r="C1675" s="4" t="n"/>
      <c r="D1675" s="4" t="n"/>
      <c r="E1675" s="4" t="n"/>
      <c r="F1675" s="4" t="n"/>
      <c r="G1675">
        <f>IF(B1675="","",IFERROR(INDEX(Products!$B:$B,MATCH(B1675,Products!$A:$A,0)),"SKU not found"))</f>
        <v/>
      </c>
    </row>
    <row r="1676">
      <c r="A1676" s="7" t="n"/>
      <c r="B1676" s="4" t="n"/>
      <c r="C1676" s="4" t="n"/>
      <c r="D1676" s="4" t="n"/>
      <c r="E1676" s="4" t="n"/>
      <c r="F1676" s="4" t="n"/>
      <c r="G1676">
        <f>IF(B1676="","",IFERROR(INDEX(Products!$B:$B,MATCH(B1676,Products!$A:$A,0)),"SKU not found"))</f>
        <v/>
      </c>
    </row>
    <row r="1677">
      <c r="A1677" s="7" t="n"/>
      <c r="B1677" s="4" t="n"/>
      <c r="C1677" s="4" t="n"/>
      <c r="D1677" s="4" t="n"/>
      <c r="E1677" s="4" t="n"/>
      <c r="F1677" s="4" t="n"/>
      <c r="G1677">
        <f>IF(B1677="","",IFERROR(INDEX(Products!$B:$B,MATCH(B1677,Products!$A:$A,0)),"SKU not found"))</f>
        <v/>
      </c>
    </row>
    <row r="1678">
      <c r="A1678" s="7" t="n"/>
      <c r="B1678" s="4" t="n"/>
      <c r="C1678" s="4" t="n"/>
      <c r="D1678" s="4" t="n"/>
      <c r="E1678" s="4" t="n"/>
      <c r="F1678" s="4" t="n"/>
      <c r="G1678">
        <f>IF(B1678="","",IFERROR(INDEX(Products!$B:$B,MATCH(B1678,Products!$A:$A,0)),"SKU not found"))</f>
        <v/>
      </c>
    </row>
    <row r="1679">
      <c r="A1679" s="7" t="n"/>
      <c r="B1679" s="4" t="n"/>
      <c r="C1679" s="4" t="n"/>
      <c r="D1679" s="4" t="n"/>
      <c r="E1679" s="4" t="n"/>
      <c r="F1679" s="4" t="n"/>
      <c r="G1679">
        <f>IF(B1679="","",IFERROR(INDEX(Products!$B:$B,MATCH(B1679,Products!$A:$A,0)),"SKU not found"))</f>
        <v/>
      </c>
    </row>
    <row r="1680">
      <c r="A1680" s="7" t="n"/>
      <c r="B1680" s="4" t="n"/>
      <c r="C1680" s="4" t="n"/>
      <c r="D1680" s="4" t="n"/>
      <c r="E1680" s="4" t="n"/>
      <c r="F1680" s="4" t="n"/>
      <c r="G1680">
        <f>IF(B1680="","",IFERROR(INDEX(Products!$B:$B,MATCH(B1680,Products!$A:$A,0)),"SKU not found"))</f>
        <v/>
      </c>
    </row>
    <row r="1681">
      <c r="A1681" s="7" t="n"/>
      <c r="B1681" s="4" t="n"/>
      <c r="C1681" s="4" t="n"/>
      <c r="D1681" s="4" t="n"/>
      <c r="E1681" s="4" t="n"/>
      <c r="F1681" s="4" t="n"/>
      <c r="G1681">
        <f>IF(B1681="","",IFERROR(INDEX(Products!$B:$B,MATCH(B1681,Products!$A:$A,0)),"SKU not found"))</f>
        <v/>
      </c>
    </row>
    <row r="1682">
      <c r="A1682" s="7" t="n"/>
      <c r="B1682" s="4" t="n"/>
      <c r="C1682" s="4" t="n"/>
      <c r="D1682" s="4" t="n"/>
      <c r="E1682" s="4" t="n"/>
      <c r="F1682" s="4" t="n"/>
      <c r="G1682">
        <f>IF(B1682="","",IFERROR(INDEX(Products!$B:$B,MATCH(B1682,Products!$A:$A,0)),"SKU not found"))</f>
        <v/>
      </c>
    </row>
    <row r="1683">
      <c r="A1683" s="7" t="n"/>
      <c r="B1683" s="4" t="n"/>
      <c r="C1683" s="4" t="n"/>
      <c r="D1683" s="4" t="n"/>
      <c r="E1683" s="4" t="n"/>
      <c r="F1683" s="4" t="n"/>
      <c r="G1683">
        <f>IF(B1683="","",IFERROR(INDEX(Products!$B:$B,MATCH(B1683,Products!$A:$A,0)),"SKU not found"))</f>
        <v/>
      </c>
    </row>
    <row r="1684">
      <c r="A1684" s="7" t="n"/>
      <c r="B1684" s="4" t="n"/>
      <c r="C1684" s="4" t="n"/>
      <c r="D1684" s="4" t="n"/>
      <c r="E1684" s="4" t="n"/>
      <c r="F1684" s="4" t="n"/>
      <c r="G1684">
        <f>IF(B1684="","",IFERROR(INDEX(Products!$B:$B,MATCH(B1684,Products!$A:$A,0)),"SKU not found"))</f>
        <v/>
      </c>
    </row>
    <row r="1685">
      <c r="A1685" s="7" t="n"/>
      <c r="B1685" s="4" t="n"/>
      <c r="C1685" s="4" t="n"/>
      <c r="D1685" s="4" t="n"/>
      <c r="E1685" s="4" t="n"/>
      <c r="F1685" s="4" t="n"/>
      <c r="G1685">
        <f>IF(B1685="","",IFERROR(INDEX(Products!$B:$B,MATCH(B1685,Products!$A:$A,0)),"SKU not found"))</f>
        <v/>
      </c>
    </row>
    <row r="1686">
      <c r="A1686" s="7" t="n"/>
      <c r="B1686" s="4" t="n"/>
      <c r="C1686" s="4" t="n"/>
      <c r="D1686" s="4" t="n"/>
      <c r="E1686" s="4" t="n"/>
      <c r="F1686" s="4" t="n"/>
      <c r="G1686">
        <f>IF(B1686="","",IFERROR(INDEX(Products!$B:$B,MATCH(B1686,Products!$A:$A,0)),"SKU not found"))</f>
        <v/>
      </c>
    </row>
    <row r="1687">
      <c r="A1687" s="7" t="n"/>
      <c r="B1687" s="4" t="n"/>
      <c r="C1687" s="4" t="n"/>
      <c r="D1687" s="4" t="n"/>
      <c r="E1687" s="4" t="n"/>
      <c r="F1687" s="4" t="n"/>
      <c r="G1687">
        <f>IF(B1687="","",IFERROR(INDEX(Products!$B:$B,MATCH(B1687,Products!$A:$A,0)),"SKU not found"))</f>
        <v/>
      </c>
    </row>
    <row r="1688">
      <c r="A1688" s="7" t="n"/>
      <c r="B1688" s="4" t="n"/>
      <c r="C1688" s="4" t="n"/>
      <c r="D1688" s="4" t="n"/>
      <c r="E1688" s="4" t="n"/>
      <c r="F1688" s="4" t="n"/>
      <c r="G1688">
        <f>IF(B1688="","",IFERROR(INDEX(Products!$B:$B,MATCH(B1688,Products!$A:$A,0)),"SKU not found"))</f>
        <v/>
      </c>
    </row>
    <row r="1689">
      <c r="A1689" s="7" t="n"/>
      <c r="B1689" s="4" t="n"/>
      <c r="C1689" s="4" t="n"/>
      <c r="D1689" s="4" t="n"/>
      <c r="E1689" s="4" t="n"/>
      <c r="F1689" s="4" t="n"/>
      <c r="G1689">
        <f>IF(B1689="","",IFERROR(INDEX(Products!$B:$B,MATCH(B1689,Products!$A:$A,0)),"SKU not found"))</f>
        <v/>
      </c>
    </row>
    <row r="1690">
      <c r="A1690" s="7" t="n"/>
      <c r="B1690" s="4" t="n"/>
      <c r="C1690" s="4" t="n"/>
      <c r="D1690" s="4" t="n"/>
      <c r="E1690" s="4" t="n"/>
      <c r="F1690" s="4" t="n"/>
      <c r="G1690">
        <f>IF(B1690="","",IFERROR(INDEX(Products!$B:$B,MATCH(B1690,Products!$A:$A,0)),"SKU not found"))</f>
        <v/>
      </c>
    </row>
    <row r="1691">
      <c r="A1691" s="7" t="n"/>
      <c r="B1691" s="4" t="n"/>
      <c r="C1691" s="4" t="n"/>
      <c r="D1691" s="4" t="n"/>
      <c r="E1691" s="4" t="n"/>
      <c r="F1691" s="4" t="n"/>
      <c r="G1691">
        <f>IF(B1691="","",IFERROR(INDEX(Products!$B:$B,MATCH(B1691,Products!$A:$A,0)),"SKU not found"))</f>
        <v/>
      </c>
    </row>
    <row r="1692">
      <c r="A1692" s="7" t="n"/>
      <c r="B1692" s="4" t="n"/>
      <c r="C1692" s="4" t="n"/>
      <c r="D1692" s="4" t="n"/>
      <c r="E1692" s="4" t="n"/>
      <c r="F1692" s="4" t="n"/>
      <c r="G1692">
        <f>IF(B1692="","",IFERROR(INDEX(Products!$B:$B,MATCH(B1692,Products!$A:$A,0)),"SKU not found"))</f>
        <v/>
      </c>
    </row>
    <row r="1693">
      <c r="A1693" s="7" t="n"/>
      <c r="B1693" s="4" t="n"/>
      <c r="C1693" s="4" t="n"/>
      <c r="D1693" s="4" t="n"/>
      <c r="E1693" s="4" t="n"/>
      <c r="F1693" s="4" t="n"/>
      <c r="G1693">
        <f>IF(B1693="","",IFERROR(INDEX(Products!$B:$B,MATCH(B1693,Products!$A:$A,0)),"SKU not found"))</f>
        <v/>
      </c>
    </row>
    <row r="1694">
      <c r="A1694" s="7" t="n"/>
      <c r="B1694" s="4" t="n"/>
      <c r="C1694" s="4" t="n"/>
      <c r="D1694" s="4" t="n"/>
      <c r="E1694" s="4" t="n"/>
      <c r="F1694" s="4" t="n"/>
      <c r="G1694">
        <f>IF(B1694="","",IFERROR(INDEX(Products!$B:$B,MATCH(B1694,Products!$A:$A,0)),"SKU not found"))</f>
        <v/>
      </c>
    </row>
    <row r="1695">
      <c r="A1695" s="7" t="n"/>
      <c r="B1695" s="4" t="n"/>
      <c r="C1695" s="4" t="n"/>
      <c r="D1695" s="4" t="n"/>
      <c r="E1695" s="4" t="n"/>
      <c r="F1695" s="4" t="n"/>
      <c r="G1695">
        <f>IF(B1695="","",IFERROR(INDEX(Products!$B:$B,MATCH(B1695,Products!$A:$A,0)),"SKU not found"))</f>
        <v/>
      </c>
    </row>
    <row r="1696">
      <c r="A1696" s="7" t="n"/>
      <c r="B1696" s="4" t="n"/>
      <c r="C1696" s="4" t="n"/>
      <c r="D1696" s="4" t="n"/>
      <c r="E1696" s="4" t="n"/>
      <c r="F1696" s="4" t="n"/>
      <c r="G1696">
        <f>IF(B1696="","",IFERROR(INDEX(Products!$B:$B,MATCH(B1696,Products!$A:$A,0)),"SKU not found"))</f>
        <v/>
      </c>
    </row>
    <row r="1697">
      <c r="A1697" s="7" t="n"/>
      <c r="B1697" s="4" t="n"/>
      <c r="C1697" s="4" t="n"/>
      <c r="D1697" s="4" t="n"/>
      <c r="E1697" s="4" t="n"/>
      <c r="F1697" s="4" t="n"/>
      <c r="G1697">
        <f>IF(B1697="","",IFERROR(INDEX(Products!$B:$B,MATCH(B1697,Products!$A:$A,0)),"SKU not found"))</f>
        <v/>
      </c>
    </row>
    <row r="1698">
      <c r="A1698" s="7" t="n"/>
      <c r="B1698" s="4" t="n"/>
      <c r="C1698" s="4" t="n"/>
      <c r="D1698" s="4" t="n"/>
      <c r="E1698" s="4" t="n"/>
      <c r="F1698" s="4" t="n"/>
      <c r="G1698">
        <f>IF(B1698="","",IFERROR(INDEX(Products!$B:$B,MATCH(B1698,Products!$A:$A,0)),"SKU not found"))</f>
        <v/>
      </c>
    </row>
    <row r="1699">
      <c r="A1699" s="7" t="n"/>
      <c r="B1699" s="4" t="n"/>
      <c r="C1699" s="4" t="n"/>
      <c r="D1699" s="4" t="n"/>
      <c r="E1699" s="4" t="n"/>
      <c r="F1699" s="4" t="n"/>
      <c r="G1699">
        <f>IF(B1699="","",IFERROR(INDEX(Products!$B:$B,MATCH(B1699,Products!$A:$A,0)),"SKU not found"))</f>
        <v/>
      </c>
    </row>
    <row r="1700">
      <c r="A1700" s="7" t="n"/>
      <c r="B1700" s="4" t="n"/>
      <c r="C1700" s="4" t="n"/>
      <c r="D1700" s="4" t="n"/>
      <c r="E1700" s="4" t="n"/>
      <c r="F1700" s="4" t="n"/>
      <c r="G1700">
        <f>IF(B1700="","",IFERROR(INDEX(Products!$B:$B,MATCH(B1700,Products!$A:$A,0)),"SKU not found"))</f>
        <v/>
      </c>
    </row>
    <row r="1701">
      <c r="A1701" s="7" t="n"/>
      <c r="B1701" s="4" t="n"/>
      <c r="C1701" s="4" t="n"/>
      <c r="D1701" s="4" t="n"/>
      <c r="E1701" s="4" t="n"/>
      <c r="F1701" s="4" t="n"/>
      <c r="G1701">
        <f>IF(B1701="","",IFERROR(INDEX(Products!$B:$B,MATCH(B1701,Products!$A:$A,0)),"SKU not found"))</f>
        <v/>
      </c>
    </row>
    <row r="1702">
      <c r="A1702" s="7" t="n"/>
      <c r="B1702" s="4" t="n"/>
      <c r="C1702" s="4" t="n"/>
      <c r="D1702" s="4" t="n"/>
      <c r="E1702" s="4" t="n"/>
      <c r="F1702" s="4" t="n"/>
      <c r="G1702">
        <f>IF(B1702="","",IFERROR(INDEX(Products!$B:$B,MATCH(B1702,Products!$A:$A,0)),"SKU not found"))</f>
        <v/>
      </c>
    </row>
    <row r="1703">
      <c r="A1703" s="7" t="n"/>
      <c r="B1703" s="4" t="n"/>
      <c r="C1703" s="4" t="n"/>
      <c r="D1703" s="4" t="n"/>
      <c r="E1703" s="4" t="n"/>
      <c r="F1703" s="4" t="n"/>
      <c r="G1703">
        <f>IF(B1703="","",IFERROR(INDEX(Products!$B:$B,MATCH(B1703,Products!$A:$A,0)),"SKU not found"))</f>
        <v/>
      </c>
    </row>
    <row r="1704">
      <c r="A1704" s="7" t="n"/>
      <c r="B1704" s="4" t="n"/>
      <c r="C1704" s="4" t="n"/>
      <c r="D1704" s="4" t="n"/>
      <c r="E1704" s="4" t="n"/>
      <c r="F1704" s="4" t="n"/>
      <c r="G1704">
        <f>IF(B1704="","",IFERROR(INDEX(Products!$B:$B,MATCH(B1704,Products!$A:$A,0)),"SKU not found"))</f>
        <v/>
      </c>
    </row>
    <row r="1705">
      <c r="A1705" s="7" t="n"/>
      <c r="B1705" s="4" t="n"/>
      <c r="C1705" s="4" t="n"/>
      <c r="D1705" s="4" t="n"/>
      <c r="E1705" s="4" t="n"/>
      <c r="F1705" s="4" t="n"/>
      <c r="G1705">
        <f>IF(B1705="","",IFERROR(INDEX(Products!$B:$B,MATCH(B1705,Products!$A:$A,0)),"SKU not found"))</f>
        <v/>
      </c>
    </row>
    <row r="1706">
      <c r="A1706" s="7" t="n"/>
      <c r="B1706" s="4" t="n"/>
      <c r="C1706" s="4" t="n"/>
      <c r="D1706" s="4" t="n"/>
      <c r="E1706" s="4" t="n"/>
      <c r="F1706" s="4" t="n"/>
      <c r="G1706">
        <f>IF(B1706="","",IFERROR(INDEX(Products!$B:$B,MATCH(B1706,Products!$A:$A,0)),"SKU not found"))</f>
        <v/>
      </c>
    </row>
    <row r="1707">
      <c r="A1707" s="7" t="n"/>
      <c r="B1707" s="4" t="n"/>
      <c r="C1707" s="4" t="n"/>
      <c r="D1707" s="4" t="n"/>
      <c r="E1707" s="4" t="n"/>
      <c r="F1707" s="4" t="n"/>
      <c r="G1707">
        <f>IF(B1707="","",IFERROR(INDEX(Products!$B:$B,MATCH(B1707,Products!$A:$A,0)),"SKU not found"))</f>
        <v/>
      </c>
    </row>
    <row r="1708">
      <c r="A1708" s="7" t="n"/>
      <c r="B1708" s="4" t="n"/>
      <c r="C1708" s="4" t="n"/>
      <c r="D1708" s="4" t="n"/>
      <c r="E1708" s="4" t="n"/>
      <c r="F1708" s="4" t="n"/>
      <c r="G1708">
        <f>IF(B1708="","",IFERROR(INDEX(Products!$B:$B,MATCH(B1708,Products!$A:$A,0)),"SKU not found"))</f>
        <v/>
      </c>
    </row>
    <row r="1709">
      <c r="A1709" s="7" t="n"/>
      <c r="B1709" s="4" t="n"/>
      <c r="C1709" s="4" t="n"/>
      <c r="D1709" s="4" t="n"/>
      <c r="E1709" s="4" t="n"/>
      <c r="F1709" s="4" t="n"/>
      <c r="G1709">
        <f>IF(B1709="","",IFERROR(INDEX(Products!$B:$B,MATCH(B1709,Products!$A:$A,0)),"SKU not found"))</f>
        <v/>
      </c>
    </row>
    <row r="1710">
      <c r="A1710" s="7" t="n"/>
      <c r="B1710" s="4" t="n"/>
      <c r="C1710" s="4" t="n"/>
      <c r="D1710" s="4" t="n"/>
      <c r="E1710" s="4" t="n"/>
      <c r="F1710" s="4" t="n"/>
      <c r="G1710">
        <f>IF(B1710="","",IFERROR(INDEX(Products!$B:$B,MATCH(B1710,Products!$A:$A,0)),"SKU not found"))</f>
        <v/>
      </c>
    </row>
    <row r="1711">
      <c r="A1711" s="7" t="n"/>
      <c r="B1711" s="4" t="n"/>
      <c r="C1711" s="4" t="n"/>
      <c r="D1711" s="4" t="n"/>
      <c r="E1711" s="4" t="n"/>
      <c r="F1711" s="4" t="n"/>
      <c r="G1711">
        <f>IF(B1711="","",IFERROR(INDEX(Products!$B:$B,MATCH(B1711,Products!$A:$A,0)),"SKU not found"))</f>
        <v/>
      </c>
    </row>
    <row r="1712">
      <c r="A1712" s="7" t="n"/>
      <c r="B1712" s="4" t="n"/>
      <c r="C1712" s="4" t="n"/>
      <c r="D1712" s="4" t="n"/>
      <c r="E1712" s="4" t="n"/>
      <c r="F1712" s="4" t="n"/>
      <c r="G1712">
        <f>IF(B1712="","",IFERROR(INDEX(Products!$B:$B,MATCH(B1712,Products!$A:$A,0)),"SKU not found"))</f>
        <v/>
      </c>
    </row>
    <row r="1713">
      <c r="A1713" s="7" t="n"/>
      <c r="B1713" s="4" t="n"/>
      <c r="C1713" s="4" t="n"/>
      <c r="D1713" s="4" t="n"/>
      <c r="E1713" s="4" t="n"/>
      <c r="F1713" s="4" t="n"/>
      <c r="G1713">
        <f>IF(B1713="","",IFERROR(INDEX(Products!$B:$B,MATCH(B1713,Products!$A:$A,0)),"SKU not found"))</f>
        <v/>
      </c>
    </row>
    <row r="1714">
      <c r="A1714" s="7" t="n"/>
      <c r="B1714" s="4" t="n"/>
      <c r="C1714" s="4" t="n"/>
      <c r="D1714" s="4" t="n"/>
      <c r="E1714" s="4" t="n"/>
      <c r="F1714" s="4" t="n"/>
      <c r="G1714">
        <f>IF(B1714="","",IFERROR(INDEX(Products!$B:$B,MATCH(B1714,Products!$A:$A,0)),"SKU not found"))</f>
        <v/>
      </c>
    </row>
    <row r="1715">
      <c r="A1715" s="7" t="n"/>
      <c r="B1715" s="4" t="n"/>
      <c r="C1715" s="4" t="n"/>
      <c r="D1715" s="4" t="n"/>
      <c r="E1715" s="4" t="n"/>
      <c r="F1715" s="4" t="n"/>
      <c r="G1715">
        <f>IF(B1715="","",IFERROR(INDEX(Products!$B:$B,MATCH(B1715,Products!$A:$A,0)),"SKU not found"))</f>
        <v/>
      </c>
    </row>
    <row r="1716">
      <c r="A1716" s="7" t="n"/>
      <c r="B1716" s="4" t="n"/>
      <c r="C1716" s="4" t="n"/>
      <c r="D1716" s="4" t="n"/>
      <c r="E1716" s="4" t="n"/>
      <c r="F1716" s="4" t="n"/>
      <c r="G1716">
        <f>IF(B1716="","",IFERROR(INDEX(Products!$B:$B,MATCH(B1716,Products!$A:$A,0)),"SKU not found"))</f>
        <v/>
      </c>
    </row>
    <row r="1717">
      <c r="A1717" s="7" t="n"/>
      <c r="B1717" s="4" t="n"/>
      <c r="C1717" s="4" t="n"/>
      <c r="D1717" s="4" t="n"/>
      <c r="E1717" s="4" t="n"/>
      <c r="F1717" s="4" t="n"/>
      <c r="G1717">
        <f>IF(B1717="","",IFERROR(INDEX(Products!$B:$B,MATCH(B1717,Products!$A:$A,0)),"SKU not found"))</f>
        <v/>
      </c>
    </row>
    <row r="1718">
      <c r="A1718" s="7" t="n"/>
      <c r="B1718" s="4" t="n"/>
      <c r="C1718" s="4" t="n"/>
      <c r="D1718" s="4" t="n"/>
      <c r="E1718" s="4" t="n"/>
      <c r="F1718" s="4" t="n"/>
      <c r="G1718">
        <f>IF(B1718="","",IFERROR(INDEX(Products!$B:$B,MATCH(B1718,Products!$A:$A,0)),"SKU not found"))</f>
        <v/>
      </c>
    </row>
    <row r="1719">
      <c r="A1719" s="7" t="n"/>
      <c r="B1719" s="4" t="n"/>
      <c r="C1719" s="4" t="n"/>
      <c r="D1719" s="4" t="n"/>
      <c r="E1719" s="4" t="n"/>
      <c r="F1719" s="4" t="n"/>
      <c r="G1719">
        <f>IF(B1719="","",IFERROR(INDEX(Products!$B:$B,MATCH(B1719,Products!$A:$A,0)),"SKU not found"))</f>
        <v/>
      </c>
    </row>
    <row r="1720">
      <c r="A1720" s="7" t="n"/>
      <c r="B1720" s="4" t="n"/>
      <c r="C1720" s="4" t="n"/>
      <c r="D1720" s="4" t="n"/>
      <c r="E1720" s="4" t="n"/>
      <c r="F1720" s="4" t="n"/>
      <c r="G1720">
        <f>IF(B1720="","",IFERROR(INDEX(Products!$B:$B,MATCH(B1720,Products!$A:$A,0)),"SKU not found"))</f>
        <v/>
      </c>
    </row>
    <row r="1721">
      <c r="A1721" s="7" t="n"/>
      <c r="B1721" s="4" t="n"/>
      <c r="C1721" s="4" t="n"/>
      <c r="D1721" s="4" t="n"/>
      <c r="E1721" s="4" t="n"/>
      <c r="F1721" s="4" t="n"/>
      <c r="G1721">
        <f>IF(B1721="","",IFERROR(INDEX(Products!$B:$B,MATCH(B1721,Products!$A:$A,0)),"SKU not found"))</f>
        <v/>
      </c>
    </row>
    <row r="1722">
      <c r="A1722" s="7" t="n"/>
      <c r="B1722" s="4" t="n"/>
      <c r="C1722" s="4" t="n"/>
      <c r="D1722" s="4" t="n"/>
      <c r="E1722" s="4" t="n"/>
      <c r="F1722" s="4" t="n"/>
      <c r="G1722">
        <f>IF(B1722="","",IFERROR(INDEX(Products!$B:$B,MATCH(B1722,Products!$A:$A,0)),"SKU not found"))</f>
        <v/>
      </c>
    </row>
    <row r="1723">
      <c r="A1723" s="7" t="n"/>
      <c r="B1723" s="4" t="n"/>
      <c r="C1723" s="4" t="n"/>
      <c r="D1723" s="4" t="n"/>
      <c r="E1723" s="4" t="n"/>
      <c r="F1723" s="4" t="n"/>
      <c r="G1723">
        <f>IF(B1723="","",IFERROR(INDEX(Products!$B:$B,MATCH(B1723,Products!$A:$A,0)),"SKU not found"))</f>
        <v/>
      </c>
    </row>
    <row r="1724">
      <c r="A1724" s="7" t="n"/>
      <c r="B1724" s="4" t="n"/>
      <c r="C1724" s="4" t="n"/>
      <c r="D1724" s="4" t="n"/>
      <c r="E1724" s="4" t="n"/>
      <c r="F1724" s="4" t="n"/>
      <c r="G1724">
        <f>IF(B1724="","",IFERROR(INDEX(Products!$B:$B,MATCH(B1724,Products!$A:$A,0)),"SKU not found"))</f>
        <v/>
      </c>
    </row>
    <row r="1725">
      <c r="A1725" s="7" t="n"/>
      <c r="B1725" s="4" t="n"/>
      <c r="C1725" s="4" t="n"/>
      <c r="D1725" s="4" t="n"/>
      <c r="E1725" s="4" t="n"/>
      <c r="F1725" s="4" t="n"/>
      <c r="G1725">
        <f>IF(B1725="","",IFERROR(INDEX(Products!$B:$B,MATCH(B1725,Products!$A:$A,0)),"SKU not found"))</f>
        <v/>
      </c>
    </row>
    <row r="1726">
      <c r="A1726" s="7" t="n"/>
      <c r="B1726" s="4" t="n"/>
      <c r="C1726" s="4" t="n"/>
      <c r="D1726" s="4" t="n"/>
      <c r="E1726" s="4" t="n"/>
      <c r="F1726" s="4" t="n"/>
      <c r="G1726">
        <f>IF(B1726="","",IFERROR(INDEX(Products!$B:$B,MATCH(B1726,Products!$A:$A,0)),"SKU not found"))</f>
        <v/>
      </c>
    </row>
    <row r="1727">
      <c r="A1727" s="7" t="n"/>
      <c r="B1727" s="4" t="n"/>
      <c r="C1727" s="4" t="n"/>
      <c r="D1727" s="4" t="n"/>
      <c r="E1727" s="4" t="n"/>
      <c r="F1727" s="4" t="n"/>
      <c r="G1727">
        <f>IF(B1727="","",IFERROR(INDEX(Products!$B:$B,MATCH(B1727,Products!$A:$A,0)),"SKU not found"))</f>
        <v/>
      </c>
    </row>
    <row r="1728">
      <c r="A1728" s="7" t="n"/>
      <c r="B1728" s="4" t="n"/>
      <c r="C1728" s="4" t="n"/>
      <c r="D1728" s="4" t="n"/>
      <c r="E1728" s="4" t="n"/>
      <c r="F1728" s="4" t="n"/>
      <c r="G1728">
        <f>IF(B1728="","",IFERROR(INDEX(Products!$B:$B,MATCH(B1728,Products!$A:$A,0)),"SKU not found"))</f>
        <v/>
      </c>
    </row>
    <row r="1729">
      <c r="A1729" s="7" t="n"/>
      <c r="B1729" s="4" t="n"/>
      <c r="C1729" s="4" t="n"/>
      <c r="D1729" s="4" t="n"/>
      <c r="E1729" s="4" t="n"/>
      <c r="F1729" s="4" t="n"/>
      <c r="G1729">
        <f>IF(B1729="","",IFERROR(INDEX(Products!$B:$B,MATCH(B1729,Products!$A:$A,0)),"SKU not found"))</f>
        <v/>
      </c>
    </row>
    <row r="1730">
      <c r="A1730" s="7" t="n"/>
      <c r="B1730" s="4" t="n"/>
      <c r="C1730" s="4" t="n"/>
      <c r="D1730" s="4" t="n"/>
      <c r="E1730" s="4" t="n"/>
      <c r="F1730" s="4" t="n"/>
      <c r="G1730">
        <f>IF(B1730="","",IFERROR(INDEX(Products!$B:$B,MATCH(B1730,Products!$A:$A,0)),"SKU not found"))</f>
        <v/>
      </c>
    </row>
    <row r="1731">
      <c r="A1731" s="7" t="n"/>
      <c r="B1731" s="4" t="n"/>
      <c r="C1731" s="4" t="n"/>
      <c r="D1731" s="4" t="n"/>
      <c r="E1731" s="4" t="n"/>
      <c r="F1731" s="4" t="n"/>
      <c r="G1731">
        <f>IF(B1731="","",IFERROR(INDEX(Products!$B:$B,MATCH(B1731,Products!$A:$A,0)),"SKU not found"))</f>
        <v/>
      </c>
    </row>
    <row r="1732">
      <c r="A1732" s="7" t="n"/>
      <c r="B1732" s="4" t="n"/>
      <c r="C1732" s="4" t="n"/>
      <c r="D1732" s="4" t="n"/>
      <c r="E1732" s="4" t="n"/>
      <c r="F1732" s="4" t="n"/>
      <c r="G1732">
        <f>IF(B1732="","",IFERROR(INDEX(Products!$B:$B,MATCH(B1732,Products!$A:$A,0)),"SKU not found"))</f>
        <v/>
      </c>
    </row>
    <row r="1733">
      <c r="A1733" s="7" t="n"/>
      <c r="B1733" s="4" t="n"/>
      <c r="C1733" s="4" t="n"/>
      <c r="D1733" s="4" t="n"/>
      <c r="E1733" s="4" t="n"/>
      <c r="F1733" s="4" t="n"/>
      <c r="G1733">
        <f>IF(B1733="","",IFERROR(INDEX(Products!$B:$B,MATCH(B1733,Products!$A:$A,0)),"SKU not found"))</f>
        <v/>
      </c>
    </row>
    <row r="1734">
      <c r="A1734" s="7" t="n"/>
      <c r="B1734" s="4" t="n"/>
      <c r="C1734" s="4" t="n"/>
      <c r="D1734" s="4" t="n"/>
      <c r="E1734" s="4" t="n"/>
      <c r="F1734" s="4" t="n"/>
      <c r="G1734">
        <f>IF(B1734="","",IFERROR(INDEX(Products!$B:$B,MATCH(B1734,Products!$A:$A,0)),"SKU not found"))</f>
        <v/>
      </c>
    </row>
    <row r="1735">
      <c r="A1735" s="7" t="n"/>
      <c r="B1735" s="4" t="n"/>
      <c r="C1735" s="4" t="n"/>
      <c r="D1735" s="4" t="n"/>
      <c r="E1735" s="4" t="n"/>
      <c r="F1735" s="4" t="n"/>
      <c r="G1735">
        <f>IF(B1735="","",IFERROR(INDEX(Products!$B:$B,MATCH(B1735,Products!$A:$A,0)),"SKU not found"))</f>
        <v/>
      </c>
    </row>
    <row r="1736">
      <c r="A1736" s="7" t="n"/>
      <c r="B1736" s="4" t="n"/>
      <c r="C1736" s="4" t="n"/>
      <c r="D1736" s="4" t="n"/>
      <c r="E1736" s="4" t="n"/>
      <c r="F1736" s="4" t="n"/>
      <c r="G1736">
        <f>IF(B1736="","",IFERROR(INDEX(Products!$B:$B,MATCH(B1736,Products!$A:$A,0)),"SKU not found"))</f>
        <v/>
      </c>
    </row>
    <row r="1737">
      <c r="A1737" s="7" t="n"/>
      <c r="B1737" s="4" t="n"/>
      <c r="C1737" s="4" t="n"/>
      <c r="D1737" s="4" t="n"/>
      <c r="E1737" s="4" t="n"/>
      <c r="F1737" s="4" t="n"/>
      <c r="G1737">
        <f>IF(B1737="","",IFERROR(INDEX(Products!$B:$B,MATCH(B1737,Products!$A:$A,0)),"SKU not found"))</f>
        <v/>
      </c>
    </row>
    <row r="1738">
      <c r="A1738" s="7" t="n"/>
      <c r="B1738" s="4" t="n"/>
      <c r="C1738" s="4" t="n"/>
      <c r="D1738" s="4" t="n"/>
      <c r="E1738" s="4" t="n"/>
      <c r="F1738" s="4" t="n"/>
      <c r="G1738">
        <f>IF(B1738="","",IFERROR(INDEX(Products!$B:$B,MATCH(B1738,Products!$A:$A,0)),"SKU not found"))</f>
        <v/>
      </c>
    </row>
    <row r="1739">
      <c r="A1739" s="7" t="n"/>
      <c r="B1739" s="4" t="n"/>
      <c r="C1739" s="4" t="n"/>
      <c r="D1739" s="4" t="n"/>
      <c r="E1739" s="4" t="n"/>
      <c r="F1739" s="4" t="n"/>
      <c r="G1739">
        <f>IF(B1739="","",IFERROR(INDEX(Products!$B:$B,MATCH(B1739,Products!$A:$A,0)),"SKU not found"))</f>
        <v/>
      </c>
    </row>
    <row r="1740">
      <c r="A1740" s="7" t="n"/>
      <c r="B1740" s="4" t="n"/>
      <c r="C1740" s="4" t="n"/>
      <c r="D1740" s="4" t="n"/>
      <c r="E1740" s="4" t="n"/>
      <c r="F1740" s="4" t="n"/>
      <c r="G1740">
        <f>IF(B1740="","",IFERROR(INDEX(Products!$B:$B,MATCH(B1740,Products!$A:$A,0)),"SKU not found"))</f>
        <v/>
      </c>
    </row>
    <row r="1741">
      <c r="A1741" s="7" t="n"/>
      <c r="B1741" s="4" t="n"/>
      <c r="C1741" s="4" t="n"/>
      <c r="D1741" s="4" t="n"/>
      <c r="E1741" s="4" t="n"/>
      <c r="F1741" s="4" t="n"/>
      <c r="G1741">
        <f>IF(B1741="","",IFERROR(INDEX(Products!$B:$B,MATCH(B1741,Products!$A:$A,0)),"SKU not found"))</f>
        <v/>
      </c>
    </row>
    <row r="1742">
      <c r="A1742" s="7" t="n"/>
      <c r="B1742" s="4" t="n"/>
      <c r="C1742" s="4" t="n"/>
      <c r="D1742" s="4" t="n"/>
      <c r="E1742" s="4" t="n"/>
      <c r="F1742" s="4" t="n"/>
      <c r="G1742">
        <f>IF(B1742="","",IFERROR(INDEX(Products!$B:$B,MATCH(B1742,Products!$A:$A,0)),"SKU not found"))</f>
        <v/>
      </c>
    </row>
    <row r="1743">
      <c r="A1743" s="7" t="n"/>
      <c r="B1743" s="4" t="n"/>
      <c r="C1743" s="4" t="n"/>
      <c r="D1743" s="4" t="n"/>
      <c r="E1743" s="4" t="n"/>
      <c r="F1743" s="4" t="n"/>
      <c r="G1743">
        <f>IF(B1743="","",IFERROR(INDEX(Products!$B:$B,MATCH(B1743,Products!$A:$A,0)),"SKU not found"))</f>
        <v/>
      </c>
    </row>
    <row r="1744">
      <c r="A1744" s="7" t="n"/>
      <c r="B1744" s="4" t="n"/>
      <c r="C1744" s="4" t="n"/>
      <c r="D1744" s="4" t="n"/>
      <c r="E1744" s="4" t="n"/>
      <c r="F1744" s="4" t="n"/>
      <c r="G1744">
        <f>IF(B1744="","",IFERROR(INDEX(Products!$B:$B,MATCH(B1744,Products!$A:$A,0)),"SKU not found"))</f>
        <v/>
      </c>
    </row>
    <row r="1745">
      <c r="A1745" s="7" t="n"/>
      <c r="B1745" s="4" t="n"/>
      <c r="C1745" s="4" t="n"/>
      <c r="D1745" s="4" t="n"/>
      <c r="E1745" s="4" t="n"/>
      <c r="F1745" s="4" t="n"/>
      <c r="G1745">
        <f>IF(B1745="","",IFERROR(INDEX(Products!$B:$B,MATCH(B1745,Products!$A:$A,0)),"SKU not found"))</f>
        <v/>
      </c>
    </row>
    <row r="1746">
      <c r="A1746" s="7" t="n"/>
      <c r="B1746" s="4" t="n"/>
      <c r="C1746" s="4" t="n"/>
      <c r="D1746" s="4" t="n"/>
      <c r="E1746" s="4" t="n"/>
      <c r="F1746" s="4" t="n"/>
      <c r="G1746">
        <f>IF(B1746="","",IFERROR(INDEX(Products!$B:$B,MATCH(B1746,Products!$A:$A,0)),"SKU not found"))</f>
        <v/>
      </c>
    </row>
    <row r="1747">
      <c r="A1747" s="7" t="n"/>
      <c r="B1747" s="4" t="n"/>
      <c r="C1747" s="4" t="n"/>
      <c r="D1747" s="4" t="n"/>
      <c r="E1747" s="4" t="n"/>
      <c r="F1747" s="4" t="n"/>
      <c r="G1747">
        <f>IF(B1747="","",IFERROR(INDEX(Products!$B:$B,MATCH(B1747,Products!$A:$A,0)),"SKU not found"))</f>
        <v/>
      </c>
    </row>
    <row r="1748">
      <c r="A1748" s="7" t="n"/>
      <c r="B1748" s="4" t="n"/>
      <c r="C1748" s="4" t="n"/>
      <c r="D1748" s="4" t="n"/>
      <c r="E1748" s="4" t="n"/>
      <c r="F1748" s="4" t="n"/>
      <c r="G1748">
        <f>IF(B1748="","",IFERROR(INDEX(Products!$B:$B,MATCH(B1748,Products!$A:$A,0)),"SKU not found"))</f>
        <v/>
      </c>
    </row>
    <row r="1749">
      <c r="A1749" s="7" t="n"/>
      <c r="B1749" s="4" t="n"/>
      <c r="C1749" s="4" t="n"/>
      <c r="D1749" s="4" t="n"/>
      <c r="E1749" s="4" t="n"/>
      <c r="F1749" s="4" t="n"/>
      <c r="G1749">
        <f>IF(B1749="","",IFERROR(INDEX(Products!$B:$B,MATCH(B1749,Products!$A:$A,0)),"SKU not found"))</f>
        <v/>
      </c>
    </row>
    <row r="1750">
      <c r="A1750" s="7" t="n"/>
      <c r="B1750" s="4" t="n"/>
      <c r="C1750" s="4" t="n"/>
      <c r="D1750" s="4" t="n"/>
      <c r="E1750" s="4" t="n"/>
      <c r="F1750" s="4" t="n"/>
      <c r="G1750">
        <f>IF(B1750="","",IFERROR(INDEX(Products!$B:$B,MATCH(B1750,Products!$A:$A,0)),"SKU not found"))</f>
        <v/>
      </c>
    </row>
    <row r="1751">
      <c r="A1751" s="7" t="n"/>
      <c r="B1751" s="4" t="n"/>
      <c r="C1751" s="4" t="n"/>
      <c r="D1751" s="4" t="n"/>
      <c r="E1751" s="4" t="n"/>
      <c r="F1751" s="4" t="n"/>
      <c r="G1751">
        <f>IF(B1751="","",IFERROR(INDEX(Products!$B:$B,MATCH(B1751,Products!$A:$A,0)),"SKU not found"))</f>
        <v/>
      </c>
    </row>
    <row r="1752">
      <c r="A1752" s="7" t="n"/>
      <c r="B1752" s="4" t="n"/>
      <c r="C1752" s="4" t="n"/>
      <c r="D1752" s="4" t="n"/>
      <c r="E1752" s="4" t="n"/>
      <c r="F1752" s="4" t="n"/>
      <c r="G1752">
        <f>IF(B1752="","",IFERROR(INDEX(Products!$B:$B,MATCH(B1752,Products!$A:$A,0)),"SKU not found"))</f>
        <v/>
      </c>
    </row>
    <row r="1753">
      <c r="A1753" s="7" t="n"/>
      <c r="B1753" s="4" t="n"/>
      <c r="C1753" s="4" t="n"/>
      <c r="D1753" s="4" t="n"/>
      <c r="E1753" s="4" t="n"/>
      <c r="F1753" s="4" t="n"/>
      <c r="G1753">
        <f>IF(B1753="","",IFERROR(INDEX(Products!$B:$B,MATCH(B1753,Products!$A:$A,0)),"SKU not found"))</f>
        <v/>
      </c>
    </row>
    <row r="1754">
      <c r="A1754" s="7" t="n"/>
      <c r="B1754" s="4" t="n"/>
      <c r="C1754" s="4" t="n"/>
      <c r="D1754" s="4" t="n"/>
      <c r="E1754" s="4" t="n"/>
      <c r="F1754" s="4" t="n"/>
      <c r="G1754">
        <f>IF(B1754="","",IFERROR(INDEX(Products!$B:$B,MATCH(B1754,Products!$A:$A,0)),"SKU not found"))</f>
        <v/>
      </c>
    </row>
    <row r="1755">
      <c r="A1755" s="7" t="n"/>
      <c r="B1755" s="4" t="n"/>
      <c r="C1755" s="4" t="n"/>
      <c r="D1755" s="4" t="n"/>
      <c r="E1755" s="4" t="n"/>
      <c r="F1755" s="4" t="n"/>
      <c r="G1755">
        <f>IF(B1755="","",IFERROR(INDEX(Products!$B:$B,MATCH(B1755,Products!$A:$A,0)),"SKU not found"))</f>
        <v/>
      </c>
    </row>
    <row r="1756">
      <c r="A1756" s="7" t="n"/>
      <c r="B1756" s="4" t="n"/>
      <c r="C1756" s="4" t="n"/>
      <c r="D1756" s="4" t="n"/>
      <c r="E1756" s="4" t="n"/>
      <c r="F1756" s="4" t="n"/>
      <c r="G1756">
        <f>IF(B1756="","",IFERROR(INDEX(Products!$B:$B,MATCH(B1756,Products!$A:$A,0)),"SKU not found"))</f>
        <v/>
      </c>
    </row>
    <row r="1757">
      <c r="A1757" s="7" t="n"/>
      <c r="B1757" s="4" t="n"/>
      <c r="C1757" s="4" t="n"/>
      <c r="D1757" s="4" t="n"/>
      <c r="E1757" s="4" t="n"/>
      <c r="F1757" s="4" t="n"/>
      <c r="G1757">
        <f>IF(B1757="","",IFERROR(INDEX(Products!$B:$B,MATCH(B1757,Products!$A:$A,0)),"SKU not found"))</f>
        <v/>
      </c>
    </row>
    <row r="1758">
      <c r="A1758" s="7" t="n"/>
      <c r="B1758" s="4" t="n"/>
      <c r="C1758" s="4" t="n"/>
      <c r="D1758" s="4" t="n"/>
      <c r="E1758" s="4" t="n"/>
      <c r="F1758" s="4" t="n"/>
      <c r="G1758">
        <f>IF(B1758="","",IFERROR(INDEX(Products!$B:$B,MATCH(B1758,Products!$A:$A,0)),"SKU not found"))</f>
        <v/>
      </c>
    </row>
    <row r="1759">
      <c r="A1759" s="7" t="n"/>
      <c r="B1759" s="4" t="n"/>
      <c r="C1759" s="4" t="n"/>
      <c r="D1759" s="4" t="n"/>
      <c r="E1759" s="4" t="n"/>
      <c r="F1759" s="4" t="n"/>
      <c r="G1759">
        <f>IF(B1759="","",IFERROR(INDEX(Products!$B:$B,MATCH(B1759,Products!$A:$A,0)),"SKU not found"))</f>
        <v/>
      </c>
    </row>
    <row r="1760">
      <c r="A1760" s="7" t="n"/>
      <c r="B1760" s="4" t="n"/>
      <c r="C1760" s="4" t="n"/>
      <c r="D1760" s="4" t="n"/>
      <c r="E1760" s="4" t="n"/>
      <c r="F1760" s="4" t="n"/>
      <c r="G1760">
        <f>IF(B1760="","",IFERROR(INDEX(Products!$B:$B,MATCH(B1760,Products!$A:$A,0)),"SKU not found"))</f>
        <v/>
      </c>
    </row>
    <row r="1761">
      <c r="A1761" s="7" t="n"/>
      <c r="B1761" s="4" t="n"/>
      <c r="C1761" s="4" t="n"/>
      <c r="D1761" s="4" t="n"/>
      <c r="E1761" s="4" t="n"/>
      <c r="F1761" s="4" t="n"/>
      <c r="G1761">
        <f>IF(B1761="","",IFERROR(INDEX(Products!$B:$B,MATCH(B1761,Products!$A:$A,0)),"SKU not found"))</f>
        <v/>
      </c>
    </row>
    <row r="1762">
      <c r="A1762" s="7" t="n"/>
      <c r="B1762" s="4" t="n"/>
      <c r="C1762" s="4" t="n"/>
      <c r="D1762" s="4" t="n"/>
      <c r="E1762" s="4" t="n"/>
      <c r="F1762" s="4" t="n"/>
      <c r="G1762">
        <f>IF(B1762="","",IFERROR(INDEX(Products!$B:$B,MATCH(B1762,Products!$A:$A,0)),"SKU not found"))</f>
        <v/>
      </c>
    </row>
    <row r="1763">
      <c r="A1763" s="7" t="n"/>
      <c r="B1763" s="4" t="n"/>
      <c r="C1763" s="4" t="n"/>
      <c r="D1763" s="4" t="n"/>
      <c r="E1763" s="4" t="n"/>
      <c r="F1763" s="4" t="n"/>
      <c r="G1763">
        <f>IF(B1763="","",IFERROR(INDEX(Products!$B:$B,MATCH(B1763,Products!$A:$A,0)),"SKU not found"))</f>
        <v/>
      </c>
    </row>
    <row r="1764">
      <c r="A1764" s="7" t="n"/>
      <c r="B1764" s="4" t="n"/>
      <c r="C1764" s="4" t="n"/>
      <c r="D1764" s="4" t="n"/>
      <c r="E1764" s="4" t="n"/>
      <c r="F1764" s="4" t="n"/>
      <c r="G1764">
        <f>IF(B1764="","",IFERROR(INDEX(Products!$B:$B,MATCH(B1764,Products!$A:$A,0)),"SKU not found"))</f>
        <v/>
      </c>
    </row>
    <row r="1765">
      <c r="A1765" s="7" t="n"/>
      <c r="B1765" s="4" t="n"/>
      <c r="C1765" s="4" t="n"/>
      <c r="D1765" s="4" t="n"/>
      <c r="E1765" s="4" t="n"/>
      <c r="F1765" s="4" t="n"/>
      <c r="G1765">
        <f>IF(B1765="","",IFERROR(INDEX(Products!$B:$B,MATCH(B1765,Products!$A:$A,0)),"SKU not found"))</f>
        <v/>
      </c>
    </row>
    <row r="1766">
      <c r="A1766" s="7" t="n"/>
      <c r="B1766" s="4" t="n"/>
      <c r="C1766" s="4" t="n"/>
      <c r="D1766" s="4" t="n"/>
      <c r="E1766" s="4" t="n"/>
      <c r="F1766" s="4" t="n"/>
      <c r="G1766">
        <f>IF(B1766="","",IFERROR(INDEX(Products!$B:$B,MATCH(B1766,Products!$A:$A,0)),"SKU not found"))</f>
        <v/>
      </c>
    </row>
    <row r="1767">
      <c r="A1767" s="7" t="n"/>
      <c r="B1767" s="4" t="n"/>
      <c r="C1767" s="4" t="n"/>
      <c r="D1767" s="4" t="n"/>
      <c r="E1767" s="4" t="n"/>
      <c r="F1767" s="4" t="n"/>
      <c r="G1767">
        <f>IF(B1767="","",IFERROR(INDEX(Products!$B:$B,MATCH(B1767,Products!$A:$A,0)),"SKU not found"))</f>
        <v/>
      </c>
    </row>
    <row r="1768">
      <c r="A1768" s="7" t="n"/>
      <c r="B1768" s="4" t="n"/>
      <c r="C1768" s="4" t="n"/>
      <c r="D1768" s="4" t="n"/>
      <c r="E1768" s="4" t="n"/>
      <c r="F1768" s="4" t="n"/>
      <c r="G1768">
        <f>IF(B1768="","",IFERROR(INDEX(Products!$B:$B,MATCH(B1768,Products!$A:$A,0)),"SKU not found"))</f>
        <v/>
      </c>
    </row>
    <row r="1769">
      <c r="A1769" s="7" t="n"/>
      <c r="B1769" s="4" t="n"/>
      <c r="C1769" s="4" t="n"/>
      <c r="D1769" s="4" t="n"/>
      <c r="E1769" s="4" t="n"/>
      <c r="F1769" s="4" t="n"/>
      <c r="G1769">
        <f>IF(B1769="","",IFERROR(INDEX(Products!$B:$B,MATCH(B1769,Products!$A:$A,0)),"SKU not found"))</f>
        <v/>
      </c>
    </row>
    <row r="1770">
      <c r="A1770" s="7" t="n"/>
      <c r="B1770" s="4" t="n"/>
      <c r="C1770" s="4" t="n"/>
      <c r="D1770" s="4" t="n"/>
      <c r="E1770" s="4" t="n"/>
      <c r="F1770" s="4" t="n"/>
      <c r="G1770">
        <f>IF(B1770="","",IFERROR(INDEX(Products!$B:$B,MATCH(B1770,Products!$A:$A,0)),"SKU not found"))</f>
        <v/>
      </c>
    </row>
    <row r="1771">
      <c r="A1771" s="7" t="n"/>
      <c r="B1771" s="4" t="n"/>
      <c r="C1771" s="4" t="n"/>
      <c r="D1771" s="4" t="n"/>
      <c r="E1771" s="4" t="n"/>
      <c r="F1771" s="4" t="n"/>
      <c r="G1771">
        <f>IF(B1771="","",IFERROR(INDEX(Products!$B:$B,MATCH(B1771,Products!$A:$A,0)),"SKU not found"))</f>
        <v/>
      </c>
    </row>
    <row r="1772">
      <c r="A1772" s="7" t="n"/>
      <c r="B1772" s="4" t="n"/>
      <c r="C1772" s="4" t="n"/>
      <c r="D1772" s="4" t="n"/>
      <c r="E1772" s="4" t="n"/>
      <c r="F1772" s="4" t="n"/>
      <c r="G1772">
        <f>IF(B1772="","",IFERROR(INDEX(Products!$B:$B,MATCH(B1772,Products!$A:$A,0)),"SKU not found"))</f>
        <v/>
      </c>
    </row>
    <row r="1773">
      <c r="A1773" s="7" t="n"/>
      <c r="B1773" s="4" t="n"/>
      <c r="C1773" s="4" t="n"/>
      <c r="D1773" s="4" t="n"/>
      <c r="E1773" s="4" t="n"/>
      <c r="F1773" s="4" t="n"/>
      <c r="G1773">
        <f>IF(B1773="","",IFERROR(INDEX(Products!$B:$B,MATCH(B1773,Products!$A:$A,0)),"SKU not found"))</f>
        <v/>
      </c>
    </row>
    <row r="1774">
      <c r="A1774" s="7" t="n"/>
      <c r="B1774" s="4" t="n"/>
      <c r="C1774" s="4" t="n"/>
      <c r="D1774" s="4" t="n"/>
      <c r="E1774" s="4" t="n"/>
      <c r="F1774" s="4" t="n"/>
      <c r="G1774">
        <f>IF(B1774="","",IFERROR(INDEX(Products!$B:$B,MATCH(B1774,Products!$A:$A,0)),"SKU not found"))</f>
        <v/>
      </c>
    </row>
    <row r="1775">
      <c r="A1775" s="7" t="n"/>
      <c r="B1775" s="4" t="n"/>
      <c r="C1775" s="4" t="n"/>
      <c r="D1775" s="4" t="n"/>
      <c r="E1775" s="4" t="n"/>
      <c r="F1775" s="4" t="n"/>
      <c r="G1775">
        <f>IF(B1775="","",IFERROR(INDEX(Products!$B:$B,MATCH(B1775,Products!$A:$A,0)),"SKU not found"))</f>
        <v/>
      </c>
    </row>
    <row r="1776">
      <c r="A1776" s="7" t="n"/>
      <c r="B1776" s="4" t="n"/>
      <c r="C1776" s="4" t="n"/>
      <c r="D1776" s="4" t="n"/>
      <c r="E1776" s="4" t="n"/>
      <c r="F1776" s="4" t="n"/>
      <c r="G1776">
        <f>IF(B1776="","",IFERROR(INDEX(Products!$B:$B,MATCH(B1776,Products!$A:$A,0)),"SKU not found"))</f>
        <v/>
      </c>
    </row>
    <row r="1777">
      <c r="A1777" s="7" t="n"/>
      <c r="B1777" s="4" t="n"/>
      <c r="C1777" s="4" t="n"/>
      <c r="D1777" s="4" t="n"/>
      <c r="E1777" s="4" t="n"/>
      <c r="F1777" s="4" t="n"/>
      <c r="G1777">
        <f>IF(B1777="","",IFERROR(INDEX(Products!$B:$B,MATCH(B1777,Products!$A:$A,0)),"SKU not found"))</f>
        <v/>
      </c>
    </row>
    <row r="1778">
      <c r="A1778" s="7" t="n"/>
      <c r="B1778" s="4" t="n"/>
      <c r="C1778" s="4" t="n"/>
      <c r="D1778" s="4" t="n"/>
      <c r="E1778" s="4" t="n"/>
      <c r="F1778" s="4" t="n"/>
      <c r="G1778">
        <f>IF(B1778="","",IFERROR(INDEX(Products!$B:$B,MATCH(B1778,Products!$A:$A,0)),"SKU not found"))</f>
        <v/>
      </c>
    </row>
    <row r="1779">
      <c r="A1779" s="7" t="n"/>
      <c r="B1779" s="4" t="n"/>
      <c r="C1779" s="4" t="n"/>
      <c r="D1779" s="4" t="n"/>
      <c r="E1779" s="4" t="n"/>
      <c r="F1779" s="4" t="n"/>
      <c r="G1779">
        <f>IF(B1779="","",IFERROR(INDEX(Products!$B:$B,MATCH(B1779,Products!$A:$A,0)),"SKU not found"))</f>
        <v/>
      </c>
    </row>
    <row r="1780">
      <c r="A1780" s="7" t="n"/>
      <c r="B1780" s="4" t="n"/>
      <c r="C1780" s="4" t="n"/>
      <c r="D1780" s="4" t="n"/>
      <c r="E1780" s="4" t="n"/>
      <c r="F1780" s="4" t="n"/>
      <c r="G1780">
        <f>IF(B1780="","",IFERROR(INDEX(Products!$B:$B,MATCH(B1780,Products!$A:$A,0)),"SKU not found"))</f>
        <v/>
      </c>
    </row>
    <row r="1781">
      <c r="A1781" s="7" t="n"/>
      <c r="B1781" s="4" t="n"/>
      <c r="C1781" s="4" t="n"/>
      <c r="D1781" s="4" t="n"/>
      <c r="E1781" s="4" t="n"/>
      <c r="F1781" s="4" t="n"/>
      <c r="G1781">
        <f>IF(B1781="","",IFERROR(INDEX(Products!$B:$B,MATCH(B1781,Products!$A:$A,0)),"SKU not found"))</f>
        <v/>
      </c>
    </row>
    <row r="1782">
      <c r="A1782" s="7" t="n"/>
      <c r="B1782" s="4" t="n"/>
      <c r="C1782" s="4" t="n"/>
      <c r="D1782" s="4" t="n"/>
      <c r="E1782" s="4" t="n"/>
      <c r="F1782" s="4" t="n"/>
      <c r="G1782">
        <f>IF(B1782="","",IFERROR(INDEX(Products!$B:$B,MATCH(B1782,Products!$A:$A,0)),"SKU not found"))</f>
        <v/>
      </c>
    </row>
    <row r="1783">
      <c r="A1783" s="7" t="n"/>
      <c r="B1783" s="4" t="n"/>
      <c r="C1783" s="4" t="n"/>
      <c r="D1783" s="4" t="n"/>
      <c r="E1783" s="4" t="n"/>
      <c r="F1783" s="4" t="n"/>
      <c r="G1783">
        <f>IF(B1783="","",IFERROR(INDEX(Products!$B:$B,MATCH(B1783,Products!$A:$A,0)),"SKU not found"))</f>
        <v/>
      </c>
    </row>
    <row r="1784">
      <c r="A1784" s="7" t="n"/>
      <c r="B1784" s="4" t="n"/>
      <c r="C1784" s="4" t="n"/>
      <c r="D1784" s="4" t="n"/>
      <c r="E1784" s="4" t="n"/>
      <c r="F1784" s="4" t="n"/>
      <c r="G1784">
        <f>IF(B1784="","",IFERROR(INDEX(Products!$B:$B,MATCH(B1784,Products!$A:$A,0)),"SKU not found"))</f>
        <v/>
      </c>
    </row>
    <row r="1785">
      <c r="A1785" s="7" t="n"/>
      <c r="B1785" s="4" t="n"/>
      <c r="C1785" s="4" t="n"/>
      <c r="D1785" s="4" t="n"/>
      <c r="E1785" s="4" t="n"/>
      <c r="F1785" s="4" t="n"/>
      <c r="G1785">
        <f>IF(B1785="","",IFERROR(INDEX(Products!$B:$B,MATCH(B1785,Products!$A:$A,0)),"SKU not found"))</f>
        <v/>
      </c>
    </row>
    <row r="1786">
      <c r="A1786" s="7" t="n"/>
      <c r="B1786" s="4" t="n"/>
      <c r="C1786" s="4" t="n"/>
      <c r="D1786" s="4" t="n"/>
      <c r="E1786" s="4" t="n"/>
      <c r="F1786" s="4" t="n"/>
      <c r="G1786">
        <f>IF(B1786="","",IFERROR(INDEX(Products!$B:$B,MATCH(B1786,Products!$A:$A,0)),"SKU not found"))</f>
        <v/>
      </c>
    </row>
    <row r="1787">
      <c r="A1787" s="7" t="n"/>
      <c r="B1787" s="4" t="n"/>
      <c r="C1787" s="4" t="n"/>
      <c r="D1787" s="4" t="n"/>
      <c r="E1787" s="4" t="n"/>
      <c r="F1787" s="4" t="n"/>
      <c r="G1787">
        <f>IF(B1787="","",IFERROR(INDEX(Products!$B:$B,MATCH(B1787,Products!$A:$A,0)),"SKU not found"))</f>
        <v/>
      </c>
    </row>
    <row r="1788">
      <c r="A1788" s="7" t="n"/>
      <c r="B1788" s="4" t="n"/>
      <c r="C1788" s="4" t="n"/>
      <c r="D1788" s="4" t="n"/>
      <c r="E1788" s="4" t="n"/>
      <c r="F1788" s="4" t="n"/>
      <c r="G1788">
        <f>IF(B1788="","",IFERROR(INDEX(Products!$B:$B,MATCH(B1788,Products!$A:$A,0)),"SKU not found"))</f>
        <v/>
      </c>
    </row>
    <row r="1789">
      <c r="A1789" s="7" t="n"/>
      <c r="B1789" s="4" t="n"/>
      <c r="C1789" s="4" t="n"/>
      <c r="D1789" s="4" t="n"/>
      <c r="E1789" s="4" t="n"/>
      <c r="F1789" s="4" t="n"/>
      <c r="G1789">
        <f>IF(B1789="","",IFERROR(INDEX(Products!$B:$B,MATCH(B1789,Products!$A:$A,0)),"SKU not found"))</f>
        <v/>
      </c>
    </row>
    <row r="1790">
      <c r="A1790" s="7" t="n"/>
      <c r="B1790" s="4" t="n"/>
      <c r="C1790" s="4" t="n"/>
      <c r="D1790" s="4" t="n"/>
      <c r="E1790" s="4" t="n"/>
      <c r="F1790" s="4" t="n"/>
      <c r="G1790">
        <f>IF(B1790="","",IFERROR(INDEX(Products!$B:$B,MATCH(B1790,Products!$A:$A,0)),"SKU not found"))</f>
        <v/>
      </c>
    </row>
    <row r="1791">
      <c r="A1791" s="7" t="n"/>
      <c r="B1791" s="4" t="n"/>
      <c r="C1791" s="4" t="n"/>
      <c r="D1791" s="4" t="n"/>
      <c r="E1791" s="4" t="n"/>
      <c r="F1791" s="4" t="n"/>
      <c r="G1791">
        <f>IF(B1791="","",IFERROR(INDEX(Products!$B:$B,MATCH(B1791,Products!$A:$A,0)),"SKU not found"))</f>
        <v/>
      </c>
    </row>
    <row r="1792">
      <c r="A1792" s="7" t="n"/>
      <c r="B1792" s="4" t="n"/>
      <c r="C1792" s="4" t="n"/>
      <c r="D1792" s="4" t="n"/>
      <c r="E1792" s="4" t="n"/>
      <c r="F1792" s="4" t="n"/>
      <c r="G1792">
        <f>IF(B1792="","",IFERROR(INDEX(Products!$B:$B,MATCH(B1792,Products!$A:$A,0)),"SKU not found"))</f>
        <v/>
      </c>
    </row>
    <row r="1793">
      <c r="A1793" s="7" t="n"/>
      <c r="B1793" s="4" t="n"/>
      <c r="C1793" s="4" t="n"/>
      <c r="D1793" s="4" t="n"/>
      <c r="E1793" s="4" t="n"/>
      <c r="F1793" s="4" t="n"/>
      <c r="G1793">
        <f>IF(B1793="","",IFERROR(INDEX(Products!$B:$B,MATCH(B1793,Products!$A:$A,0)),"SKU not found"))</f>
        <v/>
      </c>
    </row>
    <row r="1794">
      <c r="A1794" s="7" t="n"/>
      <c r="B1794" s="4" t="n"/>
      <c r="C1794" s="4" t="n"/>
      <c r="D1794" s="4" t="n"/>
      <c r="E1794" s="4" t="n"/>
      <c r="F1794" s="4" t="n"/>
      <c r="G1794">
        <f>IF(B1794="","",IFERROR(INDEX(Products!$B:$B,MATCH(B1794,Products!$A:$A,0)),"SKU not found"))</f>
        <v/>
      </c>
    </row>
    <row r="1795">
      <c r="A1795" s="7" t="n"/>
      <c r="B1795" s="4" t="n"/>
      <c r="C1795" s="4" t="n"/>
      <c r="D1795" s="4" t="n"/>
      <c r="E1795" s="4" t="n"/>
      <c r="F1795" s="4" t="n"/>
      <c r="G1795">
        <f>IF(B1795="","",IFERROR(INDEX(Products!$B:$B,MATCH(B1795,Products!$A:$A,0)),"SKU not found"))</f>
        <v/>
      </c>
    </row>
    <row r="1796">
      <c r="A1796" s="7" t="n"/>
      <c r="B1796" s="4" t="n"/>
      <c r="C1796" s="4" t="n"/>
      <c r="D1796" s="4" t="n"/>
      <c r="E1796" s="4" t="n"/>
      <c r="F1796" s="4" t="n"/>
      <c r="G1796">
        <f>IF(B1796="","",IFERROR(INDEX(Products!$B:$B,MATCH(B1796,Products!$A:$A,0)),"SKU not found"))</f>
        <v/>
      </c>
    </row>
    <row r="1797">
      <c r="A1797" s="7" t="n"/>
      <c r="B1797" s="4" t="n"/>
      <c r="C1797" s="4" t="n"/>
      <c r="D1797" s="4" t="n"/>
      <c r="E1797" s="4" t="n"/>
      <c r="F1797" s="4" t="n"/>
      <c r="G1797">
        <f>IF(B1797="","",IFERROR(INDEX(Products!$B:$B,MATCH(B1797,Products!$A:$A,0)),"SKU not found"))</f>
        <v/>
      </c>
    </row>
    <row r="1798">
      <c r="A1798" s="7" t="n"/>
      <c r="B1798" s="4" t="n"/>
      <c r="C1798" s="4" t="n"/>
      <c r="D1798" s="4" t="n"/>
      <c r="E1798" s="4" t="n"/>
      <c r="F1798" s="4" t="n"/>
      <c r="G1798">
        <f>IF(B1798="","",IFERROR(INDEX(Products!$B:$B,MATCH(B1798,Products!$A:$A,0)),"SKU not found"))</f>
        <v/>
      </c>
    </row>
    <row r="1799">
      <c r="A1799" s="7" t="n"/>
      <c r="B1799" s="4" t="n"/>
      <c r="C1799" s="4" t="n"/>
      <c r="D1799" s="4" t="n"/>
      <c r="E1799" s="4" t="n"/>
      <c r="F1799" s="4" t="n"/>
      <c r="G1799">
        <f>IF(B1799="","",IFERROR(INDEX(Products!$B:$B,MATCH(B1799,Products!$A:$A,0)),"SKU not found"))</f>
        <v/>
      </c>
    </row>
    <row r="1800">
      <c r="A1800" s="7" t="n"/>
      <c r="B1800" s="4" t="n"/>
      <c r="C1800" s="4" t="n"/>
      <c r="D1800" s="4" t="n"/>
      <c r="E1800" s="4" t="n"/>
      <c r="F1800" s="4" t="n"/>
      <c r="G1800">
        <f>IF(B1800="","",IFERROR(INDEX(Products!$B:$B,MATCH(B1800,Products!$A:$A,0)),"SKU not found"))</f>
        <v/>
      </c>
    </row>
    <row r="1801">
      <c r="A1801" s="7" t="n"/>
      <c r="B1801" s="4" t="n"/>
      <c r="C1801" s="4" t="n"/>
      <c r="D1801" s="4" t="n"/>
      <c r="E1801" s="4" t="n"/>
      <c r="F1801" s="4" t="n"/>
      <c r="G1801">
        <f>IF(B1801="","",IFERROR(INDEX(Products!$B:$B,MATCH(B1801,Products!$A:$A,0)),"SKU not found"))</f>
        <v/>
      </c>
    </row>
    <row r="1802">
      <c r="A1802" s="7" t="n"/>
      <c r="B1802" s="4" t="n"/>
      <c r="C1802" s="4" t="n"/>
      <c r="D1802" s="4" t="n"/>
      <c r="E1802" s="4" t="n"/>
      <c r="F1802" s="4" t="n"/>
      <c r="G1802">
        <f>IF(B1802="","",IFERROR(INDEX(Products!$B:$B,MATCH(B1802,Products!$A:$A,0)),"SKU not found"))</f>
        <v/>
      </c>
    </row>
    <row r="1803">
      <c r="A1803" s="7" t="n"/>
      <c r="B1803" s="4" t="n"/>
      <c r="C1803" s="4" t="n"/>
      <c r="D1803" s="4" t="n"/>
      <c r="E1803" s="4" t="n"/>
      <c r="F1803" s="4" t="n"/>
      <c r="G1803">
        <f>IF(B1803="","",IFERROR(INDEX(Products!$B:$B,MATCH(B1803,Products!$A:$A,0)),"SKU not found"))</f>
        <v/>
      </c>
    </row>
    <row r="1804">
      <c r="A1804" s="7" t="n"/>
      <c r="B1804" s="4" t="n"/>
      <c r="C1804" s="4" t="n"/>
      <c r="D1804" s="4" t="n"/>
      <c r="E1804" s="4" t="n"/>
      <c r="F1804" s="4" t="n"/>
      <c r="G1804">
        <f>IF(B1804="","",IFERROR(INDEX(Products!$B:$B,MATCH(B1804,Products!$A:$A,0)),"SKU not found"))</f>
        <v/>
      </c>
    </row>
    <row r="1805">
      <c r="A1805" s="7" t="n"/>
      <c r="B1805" s="4" t="n"/>
      <c r="C1805" s="4" t="n"/>
      <c r="D1805" s="4" t="n"/>
      <c r="E1805" s="4" t="n"/>
      <c r="F1805" s="4" t="n"/>
      <c r="G1805">
        <f>IF(B1805="","",IFERROR(INDEX(Products!$B:$B,MATCH(B1805,Products!$A:$A,0)),"SKU not found"))</f>
        <v/>
      </c>
    </row>
    <row r="1806">
      <c r="A1806" s="7" t="n"/>
      <c r="B1806" s="4" t="n"/>
      <c r="C1806" s="4" t="n"/>
      <c r="D1806" s="4" t="n"/>
      <c r="E1806" s="4" t="n"/>
      <c r="F1806" s="4" t="n"/>
      <c r="G1806">
        <f>IF(B1806="","",IFERROR(INDEX(Products!$B:$B,MATCH(B1806,Products!$A:$A,0)),"SKU not found"))</f>
        <v/>
      </c>
    </row>
    <row r="1807">
      <c r="A1807" s="7" t="n"/>
      <c r="B1807" s="4" t="n"/>
      <c r="C1807" s="4" t="n"/>
      <c r="D1807" s="4" t="n"/>
      <c r="E1807" s="4" t="n"/>
      <c r="F1807" s="4" t="n"/>
      <c r="G1807">
        <f>IF(B1807="","",IFERROR(INDEX(Products!$B:$B,MATCH(B1807,Products!$A:$A,0)),"SKU not found"))</f>
        <v/>
      </c>
    </row>
    <row r="1808">
      <c r="A1808" s="7" t="n"/>
      <c r="B1808" s="4" t="n"/>
      <c r="C1808" s="4" t="n"/>
      <c r="D1808" s="4" t="n"/>
      <c r="E1808" s="4" t="n"/>
      <c r="F1808" s="4" t="n"/>
      <c r="G1808">
        <f>IF(B1808="","",IFERROR(INDEX(Products!$B:$B,MATCH(B1808,Products!$A:$A,0)),"SKU not found"))</f>
        <v/>
      </c>
    </row>
    <row r="1809">
      <c r="A1809" s="7" t="n"/>
      <c r="B1809" s="4" t="n"/>
      <c r="C1809" s="4" t="n"/>
      <c r="D1809" s="4" t="n"/>
      <c r="E1809" s="4" t="n"/>
      <c r="F1809" s="4" t="n"/>
      <c r="G1809">
        <f>IF(B1809="","",IFERROR(INDEX(Products!$B:$B,MATCH(B1809,Products!$A:$A,0)),"SKU not found"))</f>
        <v/>
      </c>
    </row>
    <row r="1810">
      <c r="A1810" s="7" t="n"/>
      <c r="B1810" s="4" t="n"/>
      <c r="C1810" s="4" t="n"/>
      <c r="D1810" s="4" t="n"/>
      <c r="E1810" s="4" t="n"/>
      <c r="F1810" s="4" t="n"/>
      <c r="G1810">
        <f>IF(B1810="","",IFERROR(INDEX(Products!$B:$B,MATCH(B1810,Products!$A:$A,0)),"SKU not found"))</f>
        <v/>
      </c>
    </row>
    <row r="1811">
      <c r="A1811" s="7" t="n"/>
      <c r="B1811" s="4" t="n"/>
      <c r="C1811" s="4" t="n"/>
      <c r="D1811" s="4" t="n"/>
      <c r="E1811" s="4" t="n"/>
      <c r="F1811" s="4" t="n"/>
      <c r="G1811">
        <f>IF(B1811="","",IFERROR(INDEX(Products!$B:$B,MATCH(B1811,Products!$A:$A,0)),"SKU not found"))</f>
        <v/>
      </c>
    </row>
    <row r="1812">
      <c r="A1812" s="7" t="n"/>
      <c r="B1812" s="4" t="n"/>
      <c r="C1812" s="4" t="n"/>
      <c r="D1812" s="4" t="n"/>
      <c r="E1812" s="4" t="n"/>
      <c r="F1812" s="4" t="n"/>
      <c r="G1812">
        <f>IF(B1812="","",IFERROR(INDEX(Products!$B:$B,MATCH(B1812,Products!$A:$A,0)),"SKU not found"))</f>
        <v/>
      </c>
    </row>
    <row r="1813">
      <c r="A1813" s="7" t="n"/>
      <c r="B1813" s="4" t="n"/>
      <c r="C1813" s="4" t="n"/>
      <c r="D1813" s="4" t="n"/>
      <c r="E1813" s="4" t="n"/>
      <c r="F1813" s="4" t="n"/>
      <c r="G1813">
        <f>IF(B1813="","",IFERROR(INDEX(Products!$B:$B,MATCH(B1813,Products!$A:$A,0)),"SKU not found"))</f>
        <v/>
      </c>
    </row>
    <row r="1814">
      <c r="A1814" s="7" t="n"/>
      <c r="B1814" s="4" t="n"/>
      <c r="C1814" s="4" t="n"/>
      <c r="D1814" s="4" t="n"/>
      <c r="E1814" s="4" t="n"/>
      <c r="F1814" s="4" t="n"/>
      <c r="G1814">
        <f>IF(B1814="","",IFERROR(INDEX(Products!$B:$B,MATCH(B1814,Products!$A:$A,0)),"SKU not found"))</f>
        <v/>
      </c>
    </row>
    <row r="1815">
      <c r="A1815" s="7" t="n"/>
      <c r="B1815" s="4" t="n"/>
      <c r="C1815" s="4" t="n"/>
      <c r="D1815" s="4" t="n"/>
      <c r="E1815" s="4" t="n"/>
      <c r="F1815" s="4" t="n"/>
      <c r="G1815">
        <f>IF(B1815="","",IFERROR(INDEX(Products!$B:$B,MATCH(B1815,Products!$A:$A,0)),"SKU not found"))</f>
        <v/>
      </c>
    </row>
    <row r="1816">
      <c r="A1816" s="7" t="n"/>
      <c r="B1816" s="4" t="n"/>
      <c r="C1816" s="4" t="n"/>
      <c r="D1816" s="4" t="n"/>
      <c r="E1816" s="4" t="n"/>
      <c r="F1816" s="4" t="n"/>
      <c r="G1816">
        <f>IF(B1816="","",IFERROR(INDEX(Products!$B:$B,MATCH(B1816,Products!$A:$A,0)),"SKU not found"))</f>
        <v/>
      </c>
    </row>
    <row r="1817">
      <c r="A1817" s="7" t="n"/>
      <c r="B1817" s="4" t="n"/>
      <c r="C1817" s="4" t="n"/>
      <c r="D1817" s="4" t="n"/>
      <c r="E1817" s="4" t="n"/>
      <c r="F1817" s="4" t="n"/>
      <c r="G1817">
        <f>IF(B1817="","",IFERROR(INDEX(Products!$B:$B,MATCH(B1817,Products!$A:$A,0)),"SKU not found"))</f>
        <v/>
      </c>
    </row>
    <row r="1818">
      <c r="A1818" s="7" t="n"/>
      <c r="B1818" s="4" t="n"/>
      <c r="C1818" s="4" t="n"/>
      <c r="D1818" s="4" t="n"/>
      <c r="E1818" s="4" t="n"/>
      <c r="F1818" s="4" t="n"/>
      <c r="G1818">
        <f>IF(B1818="","",IFERROR(INDEX(Products!$B:$B,MATCH(B1818,Products!$A:$A,0)),"SKU not found"))</f>
        <v/>
      </c>
    </row>
    <row r="1819">
      <c r="A1819" s="7" t="n"/>
      <c r="B1819" s="4" t="n"/>
      <c r="C1819" s="4" t="n"/>
      <c r="D1819" s="4" t="n"/>
      <c r="E1819" s="4" t="n"/>
      <c r="F1819" s="4" t="n"/>
      <c r="G1819">
        <f>IF(B1819="","",IFERROR(INDEX(Products!$B:$B,MATCH(B1819,Products!$A:$A,0)),"SKU not found"))</f>
        <v/>
      </c>
    </row>
    <row r="1820">
      <c r="A1820" s="7" t="n"/>
      <c r="B1820" s="4" t="n"/>
      <c r="C1820" s="4" t="n"/>
      <c r="D1820" s="4" t="n"/>
      <c r="E1820" s="4" t="n"/>
      <c r="F1820" s="4" t="n"/>
      <c r="G1820">
        <f>IF(B1820="","",IFERROR(INDEX(Products!$B:$B,MATCH(B1820,Products!$A:$A,0)),"SKU not found"))</f>
        <v/>
      </c>
    </row>
    <row r="1821">
      <c r="A1821" s="7" t="n"/>
      <c r="B1821" s="4" t="n"/>
      <c r="C1821" s="4" t="n"/>
      <c r="D1821" s="4" t="n"/>
      <c r="E1821" s="4" t="n"/>
      <c r="F1821" s="4" t="n"/>
      <c r="G1821">
        <f>IF(B1821="","",IFERROR(INDEX(Products!$B:$B,MATCH(B1821,Products!$A:$A,0)),"SKU not found"))</f>
        <v/>
      </c>
    </row>
    <row r="1822">
      <c r="A1822" s="7" t="n"/>
      <c r="B1822" s="4" t="n"/>
      <c r="C1822" s="4" t="n"/>
      <c r="D1822" s="4" t="n"/>
      <c r="E1822" s="4" t="n"/>
      <c r="F1822" s="4" t="n"/>
      <c r="G1822">
        <f>IF(B1822="","",IFERROR(INDEX(Products!$B:$B,MATCH(B1822,Products!$A:$A,0)),"SKU not found"))</f>
        <v/>
      </c>
    </row>
    <row r="1823">
      <c r="A1823" s="7" t="n"/>
      <c r="B1823" s="4" t="n"/>
      <c r="C1823" s="4" t="n"/>
      <c r="D1823" s="4" t="n"/>
      <c r="E1823" s="4" t="n"/>
      <c r="F1823" s="4" t="n"/>
      <c r="G1823">
        <f>IF(B1823="","",IFERROR(INDEX(Products!$B:$B,MATCH(B1823,Products!$A:$A,0)),"SKU not found"))</f>
        <v/>
      </c>
    </row>
    <row r="1824">
      <c r="A1824" s="7" t="n"/>
      <c r="B1824" s="4" t="n"/>
      <c r="C1824" s="4" t="n"/>
      <c r="D1824" s="4" t="n"/>
      <c r="E1824" s="4" t="n"/>
      <c r="F1824" s="4" t="n"/>
      <c r="G1824">
        <f>IF(B1824="","",IFERROR(INDEX(Products!$B:$B,MATCH(B1824,Products!$A:$A,0)),"SKU not found"))</f>
        <v/>
      </c>
    </row>
    <row r="1825">
      <c r="A1825" s="7" t="n"/>
      <c r="B1825" s="4" t="n"/>
      <c r="C1825" s="4" t="n"/>
      <c r="D1825" s="4" t="n"/>
      <c r="E1825" s="4" t="n"/>
      <c r="F1825" s="4" t="n"/>
      <c r="G1825">
        <f>IF(B1825="","",IFERROR(INDEX(Products!$B:$B,MATCH(B1825,Products!$A:$A,0)),"SKU not found"))</f>
        <v/>
      </c>
    </row>
    <row r="1826">
      <c r="A1826" s="7" t="n"/>
      <c r="B1826" s="4" t="n"/>
      <c r="C1826" s="4" t="n"/>
      <c r="D1826" s="4" t="n"/>
      <c r="E1826" s="4" t="n"/>
      <c r="F1826" s="4" t="n"/>
      <c r="G1826">
        <f>IF(B1826="","",IFERROR(INDEX(Products!$B:$B,MATCH(B1826,Products!$A:$A,0)),"SKU not found"))</f>
        <v/>
      </c>
    </row>
    <row r="1827">
      <c r="A1827" s="7" t="n"/>
      <c r="B1827" s="4" t="n"/>
      <c r="C1827" s="4" t="n"/>
      <c r="D1827" s="4" t="n"/>
      <c r="E1827" s="4" t="n"/>
      <c r="F1827" s="4" t="n"/>
      <c r="G1827">
        <f>IF(B1827="","",IFERROR(INDEX(Products!$B:$B,MATCH(B1827,Products!$A:$A,0)),"SKU not found"))</f>
        <v/>
      </c>
    </row>
    <row r="1828">
      <c r="A1828" s="7" t="n"/>
      <c r="B1828" s="4" t="n"/>
      <c r="C1828" s="4" t="n"/>
      <c r="D1828" s="4" t="n"/>
      <c r="E1828" s="4" t="n"/>
      <c r="F1828" s="4" t="n"/>
      <c r="G1828">
        <f>IF(B1828="","",IFERROR(INDEX(Products!$B:$B,MATCH(B1828,Products!$A:$A,0)),"SKU not found"))</f>
        <v/>
      </c>
    </row>
    <row r="1829">
      <c r="A1829" s="7" t="n"/>
      <c r="B1829" s="4" t="n"/>
      <c r="C1829" s="4" t="n"/>
      <c r="D1829" s="4" t="n"/>
      <c r="E1829" s="4" t="n"/>
      <c r="F1829" s="4" t="n"/>
      <c r="G1829">
        <f>IF(B1829="","",IFERROR(INDEX(Products!$B:$B,MATCH(B1829,Products!$A:$A,0)),"SKU not found"))</f>
        <v/>
      </c>
    </row>
    <row r="1830">
      <c r="A1830" s="7" t="n"/>
      <c r="B1830" s="4" t="n"/>
      <c r="C1830" s="4" t="n"/>
      <c r="D1830" s="4" t="n"/>
      <c r="E1830" s="4" t="n"/>
      <c r="F1830" s="4" t="n"/>
      <c r="G1830">
        <f>IF(B1830="","",IFERROR(INDEX(Products!$B:$B,MATCH(B1830,Products!$A:$A,0)),"SKU not found"))</f>
        <v/>
      </c>
    </row>
    <row r="1831">
      <c r="A1831" s="7" t="n"/>
      <c r="B1831" s="4" t="n"/>
      <c r="C1831" s="4" t="n"/>
      <c r="D1831" s="4" t="n"/>
      <c r="E1831" s="4" t="n"/>
      <c r="F1831" s="4" t="n"/>
      <c r="G1831">
        <f>IF(B1831="","",IFERROR(INDEX(Products!$B:$B,MATCH(B1831,Products!$A:$A,0)),"SKU not found"))</f>
        <v/>
      </c>
    </row>
    <row r="1832">
      <c r="A1832" s="7" t="n"/>
      <c r="B1832" s="4" t="n"/>
      <c r="C1832" s="4" t="n"/>
      <c r="D1832" s="4" t="n"/>
      <c r="E1832" s="4" t="n"/>
      <c r="F1832" s="4" t="n"/>
      <c r="G1832">
        <f>IF(B1832="","",IFERROR(INDEX(Products!$B:$B,MATCH(B1832,Products!$A:$A,0)),"SKU not found"))</f>
        <v/>
      </c>
    </row>
    <row r="1833">
      <c r="A1833" s="7" t="n"/>
      <c r="B1833" s="4" t="n"/>
      <c r="C1833" s="4" t="n"/>
      <c r="D1833" s="4" t="n"/>
      <c r="E1833" s="4" t="n"/>
      <c r="F1833" s="4" t="n"/>
      <c r="G1833">
        <f>IF(B1833="","",IFERROR(INDEX(Products!$B:$B,MATCH(B1833,Products!$A:$A,0)),"SKU not found"))</f>
        <v/>
      </c>
    </row>
    <row r="1834">
      <c r="A1834" s="7" t="n"/>
      <c r="B1834" s="4" t="n"/>
      <c r="C1834" s="4" t="n"/>
      <c r="D1834" s="4" t="n"/>
      <c r="E1834" s="4" t="n"/>
      <c r="F1834" s="4" t="n"/>
      <c r="G1834">
        <f>IF(B1834="","",IFERROR(INDEX(Products!$B:$B,MATCH(B1834,Products!$A:$A,0)),"SKU not found"))</f>
        <v/>
      </c>
    </row>
    <row r="1835">
      <c r="A1835" s="7" t="n"/>
      <c r="B1835" s="4" t="n"/>
      <c r="C1835" s="4" t="n"/>
      <c r="D1835" s="4" t="n"/>
      <c r="E1835" s="4" t="n"/>
      <c r="F1835" s="4" t="n"/>
      <c r="G1835">
        <f>IF(B1835="","",IFERROR(INDEX(Products!$B:$B,MATCH(B1835,Products!$A:$A,0)),"SKU not found"))</f>
        <v/>
      </c>
    </row>
    <row r="1836">
      <c r="A1836" s="7" t="n"/>
      <c r="B1836" s="4" t="n"/>
      <c r="C1836" s="4" t="n"/>
      <c r="D1836" s="4" t="n"/>
      <c r="E1836" s="4" t="n"/>
      <c r="F1836" s="4" t="n"/>
      <c r="G1836">
        <f>IF(B1836="","",IFERROR(INDEX(Products!$B:$B,MATCH(B1836,Products!$A:$A,0)),"SKU not found"))</f>
        <v/>
      </c>
    </row>
    <row r="1837">
      <c r="A1837" s="7" t="n"/>
      <c r="B1837" s="4" t="n"/>
      <c r="C1837" s="4" t="n"/>
      <c r="D1837" s="4" t="n"/>
      <c r="E1837" s="4" t="n"/>
      <c r="F1837" s="4" t="n"/>
      <c r="G1837">
        <f>IF(B1837="","",IFERROR(INDEX(Products!$B:$B,MATCH(B1837,Products!$A:$A,0)),"SKU not found"))</f>
        <v/>
      </c>
    </row>
    <row r="1838">
      <c r="A1838" s="7" t="n"/>
      <c r="B1838" s="4" t="n"/>
      <c r="C1838" s="4" t="n"/>
      <c r="D1838" s="4" t="n"/>
      <c r="E1838" s="4" t="n"/>
      <c r="F1838" s="4" t="n"/>
      <c r="G1838">
        <f>IF(B1838="","",IFERROR(INDEX(Products!$B:$B,MATCH(B1838,Products!$A:$A,0)),"SKU not found"))</f>
        <v/>
      </c>
    </row>
    <row r="1839">
      <c r="A1839" s="7" t="n"/>
      <c r="B1839" s="4" t="n"/>
      <c r="C1839" s="4" t="n"/>
      <c r="D1839" s="4" t="n"/>
      <c r="E1839" s="4" t="n"/>
      <c r="F1839" s="4" t="n"/>
      <c r="G1839">
        <f>IF(B1839="","",IFERROR(INDEX(Products!$B:$B,MATCH(B1839,Products!$A:$A,0)),"SKU not found"))</f>
        <v/>
      </c>
    </row>
    <row r="1840">
      <c r="A1840" s="7" t="n"/>
      <c r="B1840" s="4" t="n"/>
      <c r="C1840" s="4" t="n"/>
      <c r="D1840" s="4" t="n"/>
      <c r="E1840" s="4" t="n"/>
      <c r="F1840" s="4" t="n"/>
      <c r="G1840">
        <f>IF(B1840="","",IFERROR(INDEX(Products!$B:$B,MATCH(B1840,Products!$A:$A,0)),"SKU not found"))</f>
        <v/>
      </c>
    </row>
    <row r="1841">
      <c r="A1841" s="7" t="n"/>
      <c r="B1841" s="4" t="n"/>
      <c r="C1841" s="4" t="n"/>
      <c r="D1841" s="4" t="n"/>
      <c r="E1841" s="4" t="n"/>
      <c r="F1841" s="4" t="n"/>
      <c r="G1841">
        <f>IF(B1841="","",IFERROR(INDEX(Products!$B:$B,MATCH(B1841,Products!$A:$A,0)),"SKU not found"))</f>
        <v/>
      </c>
    </row>
    <row r="1842">
      <c r="A1842" s="7" t="n"/>
      <c r="B1842" s="4" t="n"/>
      <c r="C1842" s="4" t="n"/>
      <c r="D1842" s="4" t="n"/>
      <c r="E1842" s="4" t="n"/>
      <c r="F1842" s="4" t="n"/>
      <c r="G1842">
        <f>IF(B1842="","",IFERROR(INDEX(Products!$B:$B,MATCH(B1842,Products!$A:$A,0)),"SKU not found"))</f>
        <v/>
      </c>
    </row>
    <row r="1843">
      <c r="A1843" s="7" t="n"/>
      <c r="B1843" s="4" t="n"/>
      <c r="C1843" s="4" t="n"/>
      <c r="D1843" s="4" t="n"/>
      <c r="E1843" s="4" t="n"/>
      <c r="F1843" s="4" t="n"/>
      <c r="G1843">
        <f>IF(B1843="","",IFERROR(INDEX(Products!$B:$B,MATCH(B1843,Products!$A:$A,0)),"SKU not found"))</f>
        <v/>
      </c>
    </row>
    <row r="1844">
      <c r="A1844" s="7" t="n"/>
      <c r="B1844" s="4" t="n"/>
      <c r="C1844" s="4" t="n"/>
      <c r="D1844" s="4" t="n"/>
      <c r="E1844" s="4" t="n"/>
      <c r="F1844" s="4" t="n"/>
      <c r="G1844">
        <f>IF(B1844="","",IFERROR(INDEX(Products!$B:$B,MATCH(B1844,Products!$A:$A,0)),"SKU not found"))</f>
        <v/>
      </c>
    </row>
    <row r="1845">
      <c r="A1845" s="7" t="n"/>
      <c r="B1845" s="4" t="n"/>
      <c r="C1845" s="4" t="n"/>
      <c r="D1845" s="4" t="n"/>
      <c r="E1845" s="4" t="n"/>
      <c r="F1845" s="4" t="n"/>
      <c r="G1845">
        <f>IF(B1845="","",IFERROR(INDEX(Products!$B:$B,MATCH(B1845,Products!$A:$A,0)),"SKU not found"))</f>
        <v/>
      </c>
    </row>
    <row r="1846">
      <c r="A1846" s="7" t="n"/>
      <c r="B1846" s="4" t="n"/>
      <c r="C1846" s="4" t="n"/>
      <c r="D1846" s="4" t="n"/>
      <c r="E1846" s="4" t="n"/>
      <c r="F1846" s="4" t="n"/>
      <c r="G1846">
        <f>IF(B1846="","",IFERROR(INDEX(Products!$B:$B,MATCH(B1846,Products!$A:$A,0)),"SKU not found"))</f>
        <v/>
      </c>
    </row>
    <row r="1847">
      <c r="A1847" s="7" t="n"/>
      <c r="B1847" s="4" t="n"/>
      <c r="C1847" s="4" t="n"/>
      <c r="D1847" s="4" t="n"/>
      <c r="E1847" s="4" t="n"/>
      <c r="F1847" s="4" t="n"/>
      <c r="G1847">
        <f>IF(B1847="","",IFERROR(INDEX(Products!$B:$B,MATCH(B1847,Products!$A:$A,0)),"SKU not found"))</f>
        <v/>
      </c>
    </row>
    <row r="1848">
      <c r="A1848" s="7" t="n"/>
      <c r="B1848" s="4" t="n"/>
      <c r="C1848" s="4" t="n"/>
      <c r="D1848" s="4" t="n"/>
      <c r="E1848" s="4" t="n"/>
      <c r="F1848" s="4" t="n"/>
      <c r="G1848">
        <f>IF(B1848="","",IFERROR(INDEX(Products!$B:$B,MATCH(B1848,Products!$A:$A,0)),"SKU not found"))</f>
        <v/>
      </c>
    </row>
    <row r="1849">
      <c r="A1849" s="7" t="n"/>
      <c r="B1849" s="4" t="n"/>
      <c r="C1849" s="4" t="n"/>
      <c r="D1849" s="4" t="n"/>
      <c r="E1849" s="4" t="n"/>
      <c r="F1849" s="4" t="n"/>
      <c r="G1849">
        <f>IF(B1849="","",IFERROR(INDEX(Products!$B:$B,MATCH(B1849,Products!$A:$A,0)),"SKU not found"))</f>
        <v/>
      </c>
    </row>
    <row r="1850">
      <c r="A1850" s="7" t="n"/>
      <c r="B1850" s="4" t="n"/>
      <c r="C1850" s="4" t="n"/>
      <c r="D1850" s="4" t="n"/>
      <c r="E1850" s="4" t="n"/>
      <c r="F1850" s="4" t="n"/>
      <c r="G1850">
        <f>IF(B1850="","",IFERROR(INDEX(Products!$B:$B,MATCH(B1850,Products!$A:$A,0)),"SKU not found"))</f>
        <v/>
      </c>
    </row>
    <row r="1851">
      <c r="A1851" s="7" t="n"/>
      <c r="B1851" s="4" t="n"/>
      <c r="C1851" s="4" t="n"/>
      <c r="D1851" s="4" t="n"/>
      <c r="E1851" s="4" t="n"/>
      <c r="F1851" s="4" t="n"/>
      <c r="G1851">
        <f>IF(B1851="","",IFERROR(INDEX(Products!$B:$B,MATCH(B1851,Products!$A:$A,0)),"SKU not found"))</f>
        <v/>
      </c>
    </row>
    <row r="1852">
      <c r="A1852" s="7" t="n"/>
      <c r="B1852" s="4" t="n"/>
      <c r="C1852" s="4" t="n"/>
      <c r="D1852" s="4" t="n"/>
      <c r="E1852" s="4" t="n"/>
      <c r="F1852" s="4" t="n"/>
      <c r="G1852">
        <f>IF(B1852="","",IFERROR(INDEX(Products!$B:$B,MATCH(B1852,Products!$A:$A,0)),"SKU not found"))</f>
        <v/>
      </c>
    </row>
    <row r="1853">
      <c r="A1853" s="7" t="n"/>
      <c r="B1853" s="4" t="n"/>
      <c r="C1853" s="4" t="n"/>
      <c r="D1853" s="4" t="n"/>
      <c r="E1853" s="4" t="n"/>
      <c r="F1853" s="4" t="n"/>
      <c r="G1853">
        <f>IF(B1853="","",IFERROR(INDEX(Products!$B:$B,MATCH(B1853,Products!$A:$A,0)),"SKU not found"))</f>
        <v/>
      </c>
    </row>
    <row r="1854">
      <c r="A1854" s="7" t="n"/>
      <c r="B1854" s="4" t="n"/>
      <c r="C1854" s="4" t="n"/>
      <c r="D1854" s="4" t="n"/>
      <c r="E1854" s="4" t="n"/>
      <c r="F1854" s="4" t="n"/>
      <c r="G1854">
        <f>IF(B1854="","",IFERROR(INDEX(Products!$B:$B,MATCH(B1854,Products!$A:$A,0)),"SKU not found"))</f>
        <v/>
      </c>
    </row>
    <row r="1855">
      <c r="A1855" s="7" t="n"/>
      <c r="B1855" s="4" t="n"/>
      <c r="C1855" s="4" t="n"/>
      <c r="D1855" s="4" t="n"/>
      <c r="E1855" s="4" t="n"/>
      <c r="F1855" s="4" t="n"/>
      <c r="G1855">
        <f>IF(B1855="","",IFERROR(INDEX(Products!$B:$B,MATCH(B1855,Products!$A:$A,0)),"SKU not found"))</f>
        <v/>
      </c>
    </row>
    <row r="1856">
      <c r="A1856" s="7" t="n"/>
      <c r="B1856" s="4" t="n"/>
      <c r="C1856" s="4" t="n"/>
      <c r="D1856" s="4" t="n"/>
      <c r="E1856" s="4" t="n"/>
      <c r="F1856" s="4" t="n"/>
      <c r="G1856">
        <f>IF(B1856="","",IFERROR(INDEX(Products!$B:$B,MATCH(B1856,Products!$A:$A,0)),"SKU not found"))</f>
        <v/>
      </c>
    </row>
    <row r="1857">
      <c r="A1857" s="7" t="n"/>
      <c r="B1857" s="4" t="n"/>
      <c r="C1857" s="4" t="n"/>
      <c r="D1857" s="4" t="n"/>
      <c r="E1857" s="4" t="n"/>
      <c r="F1857" s="4" t="n"/>
      <c r="G1857">
        <f>IF(B1857="","",IFERROR(INDEX(Products!$B:$B,MATCH(B1857,Products!$A:$A,0)),"SKU not found"))</f>
        <v/>
      </c>
    </row>
    <row r="1858">
      <c r="A1858" s="7" t="n"/>
      <c r="B1858" s="4" t="n"/>
      <c r="C1858" s="4" t="n"/>
      <c r="D1858" s="4" t="n"/>
      <c r="E1858" s="4" t="n"/>
      <c r="F1858" s="4" t="n"/>
      <c r="G1858">
        <f>IF(B1858="","",IFERROR(INDEX(Products!$B:$B,MATCH(B1858,Products!$A:$A,0)),"SKU not found"))</f>
        <v/>
      </c>
    </row>
    <row r="1859">
      <c r="A1859" s="7" t="n"/>
      <c r="B1859" s="4" t="n"/>
      <c r="C1859" s="4" t="n"/>
      <c r="D1859" s="4" t="n"/>
      <c r="E1859" s="4" t="n"/>
      <c r="F1859" s="4" t="n"/>
      <c r="G1859">
        <f>IF(B1859="","",IFERROR(INDEX(Products!$B:$B,MATCH(B1859,Products!$A:$A,0)),"SKU not found"))</f>
        <v/>
      </c>
    </row>
    <row r="1860">
      <c r="A1860" s="7" t="n"/>
      <c r="B1860" s="4" t="n"/>
      <c r="C1860" s="4" t="n"/>
      <c r="D1860" s="4" t="n"/>
      <c r="E1860" s="4" t="n"/>
      <c r="F1860" s="4" t="n"/>
      <c r="G1860">
        <f>IF(B1860="","",IFERROR(INDEX(Products!$B:$B,MATCH(B1860,Products!$A:$A,0)),"SKU not found"))</f>
        <v/>
      </c>
    </row>
    <row r="1861">
      <c r="A1861" s="7" t="n"/>
      <c r="B1861" s="4" t="n"/>
      <c r="C1861" s="4" t="n"/>
      <c r="D1861" s="4" t="n"/>
      <c r="E1861" s="4" t="n"/>
      <c r="F1861" s="4" t="n"/>
      <c r="G1861">
        <f>IF(B1861="","",IFERROR(INDEX(Products!$B:$B,MATCH(B1861,Products!$A:$A,0)),"SKU not found"))</f>
        <v/>
      </c>
    </row>
    <row r="1862">
      <c r="A1862" s="7" t="n"/>
      <c r="B1862" s="4" t="n"/>
      <c r="C1862" s="4" t="n"/>
      <c r="D1862" s="4" t="n"/>
      <c r="E1862" s="4" t="n"/>
      <c r="F1862" s="4" t="n"/>
      <c r="G1862">
        <f>IF(B1862="","",IFERROR(INDEX(Products!$B:$B,MATCH(B1862,Products!$A:$A,0)),"SKU not found"))</f>
        <v/>
      </c>
    </row>
    <row r="1863">
      <c r="A1863" s="7" t="n"/>
      <c r="B1863" s="4" t="n"/>
      <c r="C1863" s="4" t="n"/>
      <c r="D1863" s="4" t="n"/>
      <c r="E1863" s="4" t="n"/>
      <c r="F1863" s="4" t="n"/>
      <c r="G1863">
        <f>IF(B1863="","",IFERROR(INDEX(Products!$B:$B,MATCH(B1863,Products!$A:$A,0)),"SKU not found"))</f>
        <v/>
      </c>
    </row>
    <row r="1864">
      <c r="A1864" s="7" t="n"/>
      <c r="B1864" s="4" t="n"/>
      <c r="C1864" s="4" t="n"/>
      <c r="D1864" s="4" t="n"/>
      <c r="E1864" s="4" t="n"/>
      <c r="F1864" s="4" t="n"/>
      <c r="G1864">
        <f>IF(B1864="","",IFERROR(INDEX(Products!$B:$B,MATCH(B1864,Products!$A:$A,0)),"SKU not found"))</f>
        <v/>
      </c>
    </row>
    <row r="1865">
      <c r="A1865" s="7" t="n"/>
      <c r="B1865" s="4" t="n"/>
      <c r="C1865" s="4" t="n"/>
      <c r="D1865" s="4" t="n"/>
      <c r="E1865" s="4" t="n"/>
      <c r="F1865" s="4" t="n"/>
      <c r="G1865">
        <f>IF(B1865="","",IFERROR(INDEX(Products!$B:$B,MATCH(B1865,Products!$A:$A,0)),"SKU not found"))</f>
        <v/>
      </c>
    </row>
    <row r="1866">
      <c r="A1866" s="7" t="n"/>
      <c r="B1866" s="4" t="n"/>
      <c r="C1866" s="4" t="n"/>
      <c r="D1866" s="4" t="n"/>
      <c r="E1866" s="4" t="n"/>
      <c r="F1866" s="4" t="n"/>
      <c r="G1866">
        <f>IF(B1866="","",IFERROR(INDEX(Products!$B:$B,MATCH(B1866,Products!$A:$A,0)),"SKU not found"))</f>
        <v/>
      </c>
    </row>
    <row r="1867">
      <c r="A1867" s="7" t="n"/>
      <c r="B1867" s="4" t="n"/>
      <c r="C1867" s="4" t="n"/>
      <c r="D1867" s="4" t="n"/>
      <c r="E1867" s="4" t="n"/>
      <c r="F1867" s="4" t="n"/>
      <c r="G1867">
        <f>IF(B1867="","",IFERROR(INDEX(Products!$B:$B,MATCH(B1867,Products!$A:$A,0)),"SKU not found"))</f>
        <v/>
      </c>
    </row>
    <row r="1868">
      <c r="A1868" s="7" t="n"/>
      <c r="B1868" s="4" t="n"/>
      <c r="C1868" s="4" t="n"/>
      <c r="D1868" s="4" t="n"/>
      <c r="E1868" s="4" t="n"/>
      <c r="F1868" s="4" t="n"/>
      <c r="G1868">
        <f>IF(B1868="","",IFERROR(INDEX(Products!$B:$B,MATCH(B1868,Products!$A:$A,0)),"SKU not found"))</f>
        <v/>
      </c>
    </row>
    <row r="1869">
      <c r="A1869" s="7" t="n"/>
      <c r="B1869" s="4" t="n"/>
      <c r="C1869" s="4" t="n"/>
      <c r="D1869" s="4" t="n"/>
      <c r="E1869" s="4" t="n"/>
      <c r="F1869" s="4" t="n"/>
      <c r="G1869">
        <f>IF(B1869="","",IFERROR(INDEX(Products!$B:$B,MATCH(B1869,Products!$A:$A,0)),"SKU not found"))</f>
        <v/>
      </c>
    </row>
    <row r="1870">
      <c r="A1870" s="7" t="n"/>
      <c r="B1870" s="4" t="n"/>
      <c r="C1870" s="4" t="n"/>
      <c r="D1870" s="4" t="n"/>
      <c r="E1870" s="4" t="n"/>
      <c r="F1870" s="4" t="n"/>
      <c r="G1870">
        <f>IF(B1870="","",IFERROR(INDEX(Products!$B:$B,MATCH(B1870,Products!$A:$A,0)),"SKU not found"))</f>
        <v/>
      </c>
    </row>
    <row r="1871">
      <c r="A1871" s="7" t="n"/>
      <c r="B1871" s="4" t="n"/>
      <c r="C1871" s="4" t="n"/>
      <c r="D1871" s="4" t="n"/>
      <c r="E1871" s="4" t="n"/>
      <c r="F1871" s="4" t="n"/>
      <c r="G1871">
        <f>IF(B1871="","",IFERROR(INDEX(Products!$B:$B,MATCH(B1871,Products!$A:$A,0)),"SKU not found"))</f>
        <v/>
      </c>
    </row>
    <row r="1872">
      <c r="A1872" s="7" t="n"/>
      <c r="B1872" s="4" t="n"/>
      <c r="C1872" s="4" t="n"/>
      <c r="D1872" s="4" t="n"/>
      <c r="E1872" s="4" t="n"/>
      <c r="F1872" s="4" t="n"/>
      <c r="G1872">
        <f>IF(B1872="","",IFERROR(INDEX(Products!$B:$B,MATCH(B1872,Products!$A:$A,0)),"SKU not found"))</f>
        <v/>
      </c>
    </row>
    <row r="1873">
      <c r="A1873" s="7" t="n"/>
      <c r="B1873" s="4" t="n"/>
      <c r="C1873" s="4" t="n"/>
      <c r="D1873" s="4" t="n"/>
      <c r="E1873" s="4" t="n"/>
      <c r="F1873" s="4" t="n"/>
      <c r="G1873">
        <f>IF(B1873="","",IFERROR(INDEX(Products!$B:$B,MATCH(B1873,Products!$A:$A,0)),"SKU not found"))</f>
        <v/>
      </c>
    </row>
    <row r="1874">
      <c r="A1874" s="7" t="n"/>
      <c r="B1874" s="4" t="n"/>
      <c r="C1874" s="4" t="n"/>
      <c r="D1874" s="4" t="n"/>
      <c r="E1874" s="4" t="n"/>
      <c r="F1874" s="4" t="n"/>
      <c r="G1874">
        <f>IF(B1874="","",IFERROR(INDEX(Products!$B:$B,MATCH(B1874,Products!$A:$A,0)),"SKU not found"))</f>
        <v/>
      </c>
    </row>
    <row r="1875">
      <c r="A1875" s="7" t="n"/>
      <c r="B1875" s="4" t="n"/>
      <c r="C1875" s="4" t="n"/>
      <c r="D1875" s="4" t="n"/>
      <c r="E1875" s="4" t="n"/>
      <c r="F1875" s="4" t="n"/>
      <c r="G1875">
        <f>IF(B1875="","",IFERROR(INDEX(Products!$B:$B,MATCH(B1875,Products!$A:$A,0)),"SKU not found"))</f>
        <v/>
      </c>
    </row>
    <row r="1876">
      <c r="A1876" s="7" t="n"/>
      <c r="B1876" s="4" t="n"/>
      <c r="C1876" s="4" t="n"/>
      <c r="D1876" s="4" t="n"/>
      <c r="E1876" s="4" t="n"/>
      <c r="F1876" s="4" t="n"/>
      <c r="G1876">
        <f>IF(B1876="","",IFERROR(INDEX(Products!$B:$B,MATCH(B1876,Products!$A:$A,0)),"SKU not found"))</f>
        <v/>
      </c>
    </row>
    <row r="1877">
      <c r="A1877" s="7" t="n"/>
      <c r="B1877" s="4" t="n"/>
      <c r="C1877" s="4" t="n"/>
      <c r="D1877" s="4" t="n"/>
      <c r="E1877" s="4" t="n"/>
      <c r="F1877" s="4" t="n"/>
      <c r="G1877">
        <f>IF(B1877="","",IFERROR(INDEX(Products!$B:$B,MATCH(B1877,Products!$A:$A,0)),"SKU not found"))</f>
        <v/>
      </c>
    </row>
    <row r="1878">
      <c r="A1878" s="7" t="n"/>
      <c r="B1878" s="4" t="n"/>
      <c r="C1878" s="4" t="n"/>
      <c r="D1878" s="4" t="n"/>
      <c r="E1878" s="4" t="n"/>
      <c r="F1878" s="4" t="n"/>
      <c r="G1878">
        <f>IF(B1878="","",IFERROR(INDEX(Products!$B:$B,MATCH(B1878,Products!$A:$A,0)),"SKU not found"))</f>
        <v/>
      </c>
    </row>
    <row r="1879">
      <c r="A1879" s="7" t="n"/>
      <c r="B1879" s="4" t="n"/>
      <c r="C1879" s="4" t="n"/>
      <c r="D1879" s="4" t="n"/>
      <c r="E1879" s="4" t="n"/>
      <c r="F1879" s="4" t="n"/>
      <c r="G1879">
        <f>IF(B1879="","",IFERROR(INDEX(Products!$B:$B,MATCH(B1879,Products!$A:$A,0)),"SKU not found"))</f>
        <v/>
      </c>
    </row>
    <row r="1880">
      <c r="A1880" s="7" t="n"/>
      <c r="B1880" s="4" t="n"/>
      <c r="C1880" s="4" t="n"/>
      <c r="D1880" s="4" t="n"/>
      <c r="E1880" s="4" t="n"/>
      <c r="F1880" s="4" t="n"/>
      <c r="G1880">
        <f>IF(B1880="","",IFERROR(INDEX(Products!$B:$B,MATCH(B1880,Products!$A:$A,0)),"SKU not found"))</f>
        <v/>
      </c>
    </row>
    <row r="1881">
      <c r="A1881" s="7" t="n"/>
      <c r="B1881" s="4" t="n"/>
      <c r="C1881" s="4" t="n"/>
      <c r="D1881" s="4" t="n"/>
      <c r="E1881" s="4" t="n"/>
      <c r="F1881" s="4" t="n"/>
      <c r="G1881">
        <f>IF(B1881="","",IFERROR(INDEX(Products!$B:$B,MATCH(B1881,Products!$A:$A,0)),"SKU not found"))</f>
        <v/>
      </c>
    </row>
    <row r="1882">
      <c r="A1882" s="7" t="n"/>
      <c r="B1882" s="4" t="n"/>
      <c r="C1882" s="4" t="n"/>
      <c r="D1882" s="4" t="n"/>
      <c r="E1882" s="4" t="n"/>
      <c r="F1882" s="4" t="n"/>
      <c r="G1882">
        <f>IF(B1882="","",IFERROR(INDEX(Products!$B:$B,MATCH(B1882,Products!$A:$A,0)),"SKU not found"))</f>
        <v/>
      </c>
    </row>
    <row r="1883">
      <c r="A1883" s="7" t="n"/>
      <c r="B1883" s="4" t="n"/>
      <c r="C1883" s="4" t="n"/>
      <c r="D1883" s="4" t="n"/>
      <c r="E1883" s="4" t="n"/>
      <c r="F1883" s="4" t="n"/>
      <c r="G1883">
        <f>IF(B1883="","",IFERROR(INDEX(Products!$B:$B,MATCH(B1883,Products!$A:$A,0)),"SKU not found"))</f>
        <v/>
      </c>
    </row>
    <row r="1884">
      <c r="A1884" s="7" t="n"/>
      <c r="B1884" s="4" t="n"/>
      <c r="C1884" s="4" t="n"/>
      <c r="D1884" s="4" t="n"/>
      <c r="E1884" s="4" t="n"/>
      <c r="F1884" s="4" t="n"/>
      <c r="G1884">
        <f>IF(B1884="","",IFERROR(INDEX(Products!$B:$B,MATCH(B1884,Products!$A:$A,0)),"SKU not found"))</f>
        <v/>
      </c>
    </row>
    <row r="1885">
      <c r="A1885" s="7" t="n"/>
      <c r="B1885" s="4" t="n"/>
      <c r="C1885" s="4" t="n"/>
      <c r="D1885" s="4" t="n"/>
      <c r="E1885" s="4" t="n"/>
      <c r="F1885" s="4" t="n"/>
      <c r="G1885">
        <f>IF(B1885="","",IFERROR(INDEX(Products!$B:$B,MATCH(B1885,Products!$A:$A,0)),"SKU not found"))</f>
        <v/>
      </c>
    </row>
    <row r="1886">
      <c r="A1886" s="7" t="n"/>
      <c r="B1886" s="4" t="n"/>
      <c r="C1886" s="4" t="n"/>
      <c r="D1886" s="4" t="n"/>
      <c r="E1886" s="4" t="n"/>
      <c r="F1886" s="4" t="n"/>
      <c r="G1886">
        <f>IF(B1886="","",IFERROR(INDEX(Products!$B:$B,MATCH(B1886,Products!$A:$A,0)),"SKU not found"))</f>
        <v/>
      </c>
    </row>
    <row r="1887">
      <c r="A1887" s="7" t="n"/>
      <c r="B1887" s="4" t="n"/>
      <c r="C1887" s="4" t="n"/>
      <c r="D1887" s="4" t="n"/>
      <c r="E1887" s="4" t="n"/>
      <c r="F1887" s="4" t="n"/>
      <c r="G1887">
        <f>IF(B1887="","",IFERROR(INDEX(Products!$B:$B,MATCH(B1887,Products!$A:$A,0)),"SKU not found"))</f>
        <v/>
      </c>
    </row>
    <row r="1888">
      <c r="A1888" s="7" t="n"/>
      <c r="B1888" s="4" t="n"/>
      <c r="C1888" s="4" t="n"/>
      <c r="D1888" s="4" t="n"/>
      <c r="E1888" s="4" t="n"/>
      <c r="F1888" s="4" t="n"/>
      <c r="G1888">
        <f>IF(B1888="","",IFERROR(INDEX(Products!$B:$B,MATCH(B1888,Products!$A:$A,0)),"SKU not found"))</f>
        <v/>
      </c>
    </row>
    <row r="1889">
      <c r="A1889" s="7" t="n"/>
      <c r="B1889" s="4" t="n"/>
      <c r="C1889" s="4" t="n"/>
      <c r="D1889" s="4" t="n"/>
      <c r="E1889" s="4" t="n"/>
      <c r="F1889" s="4" t="n"/>
      <c r="G1889">
        <f>IF(B1889="","",IFERROR(INDEX(Products!$B:$B,MATCH(B1889,Products!$A:$A,0)),"SKU not found"))</f>
        <v/>
      </c>
    </row>
    <row r="1890">
      <c r="A1890" s="7" t="n"/>
      <c r="B1890" s="4" t="n"/>
      <c r="C1890" s="4" t="n"/>
      <c r="D1890" s="4" t="n"/>
      <c r="E1890" s="4" t="n"/>
      <c r="F1890" s="4" t="n"/>
      <c r="G1890">
        <f>IF(B1890="","",IFERROR(INDEX(Products!$B:$B,MATCH(B1890,Products!$A:$A,0)),"SKU not found"))</f>
        <v/>
      </c>
    </row>
    <row r="1891">
      <c r="A1891" s="7" t="n"/>
      <c r="B1891" s="4" t="n"/>
      <c r="C1891" s="4" t="n"/>
      <c r="D1891" s="4" t="n"/>
      <c r="E1891" s="4" t="n"/>
      <c r="F1891" s="4" t="n"/>
      <c r="G1891">
        <f>IF(B1891="","",IFERROR(INDEX(Products!$B:$B,MATCH(B1891,Products!$A:$A,0)),"SKU not found"))</f>
        <v/>
      </c>
    </row>
    <row r="1892">
      <c r="A1892" s="7" t="n"/>
      <c r="B1892" s="4" t="n"/>
      <c r="C1892" s="4" t="n"/>
      <c r="D1892" s="4" t="n"/>
      <c r="E1892" s="4" t="n"/>
      <c r="F1892" s="4" t="n"/>
      <c r="G1892">
        <f>IF(B1892="","",IFERROR(INDEX(Products!$B:$B,MATCH(B1892,Products!$A:$A,0)),"SKU not found"))</f>
        <v/>
      </c>
    </row>
    <row r="1893">
      <c r="A1893" s="7" t="n"/>
      <c r="B1893" s="4" t="n"/>
      <c r="C1893" s="4" t="n"/>
      <c r="D1893" s="4" t="n"/>
      <c r="E1893" s="4" t="n"/>
      <c r="F1893" s="4" t="n"/>
      <c r="G1893">
        <f>IF(B1893="","",IFERROR(INDEX(Products!$B:$B,MATCH(B1893,Products!$A:$A,0)),"SKU not found"))</f>
        <v/>
      </c>
    </row>
    <row r="1894">
      <c r="A1894" s="7" t="n"/>
      <c r="B1894" s="4" t="n"/>
      <c r="C1894" s="4" t="n"/>
      <c r="D1894" s="4" t="n"/>
      <c r="E1894" s="4" t="n"/>
      <c r="F1894" s="4" t="n"/>
      <c r="G1894">
        <f>IF(B1894="","",IFERROR(INDEX(Products!$B:$B,MATCH(B1894,Products!$A:$A,0)),"SKU not found"))</f>
        <v/>
      </c>
    </row>
    <row r="1895">
      <c r="A1895" s="7" t="n"/>
      <c r="B1895" s="4" t="n"/>
      <c r="C1895" s="4" t="n"/>
      <c r="D1895" s="4" t="n"/>
      <c r="E1895" s="4" t="n"/>
      <c r="F1895" s="4" t="n"/>
      <c r="G1895">
        <f>IF(B1895="","",IFERROR(INDEX(Products!$B:$B,MATCH(B1895,Products!$A:$A,0)),"SKU not found"))</f>
        <v/>
      </c>
    </row>
    <row r="1896">
      <c r="A1896" s="7" t="n"/>
      <c r="B1896" s="4" t="n"/>
      <c r="C1896" s="4" t="n"/>
      <c r="D1896" s="4" t="n"/>
      <c r="E1896" s="4" t="n"/>
      <c r="F1896" s="4" t="n"/>
      <c r="G1896">
        <f>IF(B1896="","",IFERROR(INDEX(Products!$B:$B,MATCH(B1896,Products!$A:$A,0)),"SKU not found"))</f>
        <v/>
      </c>
    </row>
    <row r="1897">
      <c r="A1897" s="7" t="n"/>
      <c r="B1897" s="4" t="n"/>
      <c r="C1897" s="4" t="n"/>
      <c r="D1897" s="4" t="n"/>
      <c r="E1897" s="4" t="n"/>
      <c r="F1897" s="4" t="n"/>
      <c r="G1897">
        <f>IF(B1897="","",IFERROR(INDEX(Products!$B:$B,MATCH(B1897,Products!$A:$A,0)),"SKU not found"))</f>
        <v/>
      </c>
    </row>
    <row r="1898">
      <c r="A1898" s="7" t="n"/>
      <c r="B1898" s="4" t="n"/>
      <c r="C1898" s="4" t="n"/>
      <c r="D1898" s="4" t="n"/>
      <c r="E1898" s="4" t="n"/>
      <c r="F1898" s="4" t="n"/>
      <c r="G1898">
        <f>IF(B1898="","",IFERROR(INDEX(Products!$B:$B,MATCH(B1898,Products!$A:$A,0)),"SKU not found"))</f>
        <v/>
      </c>
    </row>
    <row r="1899">
      <c r="A1899" s="7" t="n"/>
      <c r="B1899" s="4" t="n"/>
      <c r="C1899" s="4" t="n"/>
      <c r="D1899" s="4" t="n"/>
      <c r="E1899" s="4" t="n"/>
      <c r="F1899" s="4" t="n"/>
      <c r="G1899">
        <f>IF(B1899="","",IFERROR(INDEX(Products!$B:$B,MATCH(B1899,Products!$A:$A,0)),"SKU not found"))</f>
        <v/>
      </c>
    </row>
    <row r="1900">
      <c r="A1900" s="7" t="n"/>
      <c r="B1900" s="4" t="n"/>
      <c r="C1900" s="4" t="n"/>
      <c r="D1900" s="4" t="n"/>
      <c r="E1900" s="4" t="n"/>
      <c r="F1900" s="4" t="n"/>
      <c r="G1900">
        <f>IF(B1900="","",IFERROR(INDEX(Products!$B:$B,MATCH(B1900,Products!$A:$A,0)),"SKU not found"))</f>
        <v/>
      </c>
    </row>
    <row r="1901">
      <c r="A1901" s="7" t="n"/>
      <c r="B1901" s="4" t="n"/>
      <c r="C1901" s="4" t="n"/>
      <c r="D1901" s="4" t="n"/>
      <c r="E1901" s="4" t="n"/>
      <c r="F1901" s="4" t="n"/>
      <c r="G1901">
        <f>IF(B1901="","",IFERROR(INDEX(Products!$B:$B,MATCH(B1901,Products!$A:$A,0)),"SKU not found"))</f>
        <v/>
      </c>
    </row>
    <row r="1902">
      <c r="A1902" s="7" t="n"/>
      <c r="B1902" s="4" t="n"/>
      <c r="C1902" s="4" t="n"/>
      <c r="D1902" s="4" t="n"/>
      <c r="E1902" s="4" t="n"/>
      <c r="F1902" s="4" t="n"/>
      <c r="G1902">
        <f>IF(B1902="","",IFERROR(INDEX(Products!$B:$B,MATCH(B1902,Products!$A:$A,0)),"SKU not found"))</f>
        <v/>
      </c>
    </row>
    <row r="1903">
      <c r="A1903" s="7" t="n"/>
      <c r="B1903" s="4" t="n"/>
      <c r="C1903" s="4" t="n"/>
      <c r="D1903" s="4" t="n"/>
      <c r="E1903" s="4" t="n"/>
      <c r="F1903" s="4" t="n"/>
      <c r="G1903">
        <f>IF(B1903="","",IFERROR(INDEX(Products!$B:$B,MATCH(B1903,Products!$A:$A,0)),"SKU not found"))</f>
        <v/>
      </c>
    </row>
    <row r="1904">
      <c r="A1904" s="7" t="n"/>
      <c r="B1904" s="4" t="n"/>
      <c r="C1904" s="4" t="n"/>
      <c r="D1904" s="4" t="n"/>
      <c r="E1904" s="4" t="n"/>
      <c r="F1904" s="4" t="n"/>
      <c r="G1904">
        <f>IF(B1904="","",IFERROR(INDEX(Products!$B:$B,MATCH(B1904,Products!$A:$A,0)),"SKU not found"))</f>
        <v/>
      </c>
    </row>
    <row r="1905">
      <c r="A1905" s="7" t="n"/>
      <c r="B1905" s="4" t="n"/>
      <c r="C1905" s="4" t="n"/>
      <c r="D1905" s="4" t="n"/>
      <c r="E1905" s="4" t="n"/>
      <c r="F1905" s="4" t="n"/>
      <c r="G1905">
        <f>IF(B1905="","",IFERROR(INDEX(Products!$B:$B,MATCH(B1905,Products!$A:$A,0)),"SKU not found"))</f>
        <v/>
      </c>
    </row>
    <row r="1906">
      <c r="A1906" s="7" t="n"/>
      <c r="B1906" s="4" t="n"/>
      <c r="C1906" s="4" t="n"/>
      <c r="D1906" s="4" t="n"/>
      <c r="E1906" s="4" t="n"/>
      <c r="F1906" s="4" t="n"/>
      <c r="G1906">
        <f>IF(B1906="","",IFERROR(INDEX(Products!$B:$B,MATCH(B1906,Products!$A:$A,0)),"SKU not found"))</f>
        <v/>
      </c>
    </row>
    <row r="1907">
      <c r="A1907" s="7" t="n"/>
      <c r="B1907" s="4" t="n"/>
      <c r="C1907" s="4" t="n"/>
      <c r="D1907" s="4" t="n"/>
      <c r="E1907" s="4" t="n"/>
      <c r="F1907" s="4" t="n"/>
      <c r="G1907">
        <f>IF(B1907="","",IFERROR(INDEX(Products!$B:$B,MATCH(B1907,Products!$A:$A,0)),"SKU not found"))</f>
        <v/>
      </c>
    </row>
    <row r="1908">
      <c r="A1908" s="7" t="n"/>
      <c r="B1908" s="4" t="n"/>
      <c r="C1908" s="4" t="n"/>
      <c r="D1908" s="4" t="n"/>
      <c r="E1908" s="4" t="n"/>
      <c r="F1908" s="4" t="n"/>
      <c r="G1908">
        <f>IF(B1908="","",IFERROR(INDEX(Products!$B:$B,MATCH(B1908,Products!$A:$A,0)),"SKU not found"))</f>
        <v/>
      </c>
    </row>
    <row r="1909">
      <c r="A1909" s="7" t="n"/>
      <c r="B1909" s="4" t="n"/>
      <c r="C1909" s="4" t="n"/>
      <c r="D1909" s="4" t="n"/>
      <c r="E1909" s="4" t="n"/>
      <c r="F1909" s="4" t="n"/>
      <c r="G1909">
        <f>IF(B1909="","",IFERROR(INDEX(Products!$B:$B,MATCH(B1909,Products!$A:$A,0)),"SKU not found"))</f>
        <v/>
      </c>
    </row>
    <row r="1910">
      <c r="A1910" s="7" t="n"/>
      <c r="B1910" s="4" t="n"/>
      <c r="C1910" s="4" t="n"/>
      <c r="D1910" s="4" t="n"/>
      <c r="E1910" s="4" t="n"/>
      <c r="F1910" s="4" t="n"/>
      <c r="G1910">
        <f>IF(B1910="","",IFERROR(INDEX(Products!$B:$B,MATCH(B1910,Products!$A:$A,0)),"SKU not found"))</f>
        <v/>
      </c>
    </row>
    <row r="1911">
      <c r="A1911" s="7" t="n"/>
      <c r="B1911" s="4" t="n"/>
      <c r="C1911" s="4" t="n"/>
      <c r="D1911" s="4" t="n"/>
      <c r="E1911" s="4" t="n"/>
      <c r="F1911" s="4" t="n"/>
      <c r="G1911">
        <f>IF(B1911="","",IFERROR(INDEX(Products!$B:$B,MATCH(B1911,Products!$A:$A,0)),"SKU not found"))</f>
        <v/>
      </c>
    </row>
    <row r="1912">
      <c r="A1912" s="7" t="n"/>
      <c r="B1912" s="4" t="n"/>
      <c r="C1912" s="4" t="n"/>
      <c r="D1912" s="4" t="n"/>
      <c r="E1912" s="4" t="n"/>
      <c r="F1912" s="4" t="n"/>
      <c r="G1912">
        <f>IF(B1912="","",IFERROR(INDEX(Products!$B:$B,MATCH(B1912,Products!$A:$A,0)),"SKU not found"))</f>
        <v/>
      </c>
    </row>
    <row r="1913">
      <c r="A1913" s="7" t="n"/>
      <c r="B1913" s="4" t="n"/>
      <c r="C1913" s="4" t="n"/>
      <c r="D1913" s="4" t="n"/>
      <c r="E1913" s="4" t="n"/>
      <c r="F1913" s="4" t="n"/>
      <c r="G1913">
        <f>IF(B1913="","",IFERROR(INDEX(Products!$B:$B,MATCH(B1913,Products!$A:$A,0)),"SKU not found"))</f>
        <v/>
      </c>
    </row>
    <row r="1914">
      <c r="A1914" s="7" t="n"/>
      <c r="B1914" s="4" t="n"/>
      <c r="C1914" s="4" t="n"/>
      <c r="D1914" s="4" t="n"/>
      <c r="E1914" s="4" t="n"/>
      <c r="F1914" s="4" t="n"/>
      <c r="G1914">
        <f>IF(B1914="","",IFERROR(INDEX(Products!$B:$B,MATCH(B1914,Products!$A:$A,0)),"SKU not found"))</f>
        <v/>
      </c>
    </row>
    <row r="1915">
      <c r="A1915" s="7" t="n"/>
      <c r="B1915" s="4" t="n"/>
      <c r="C1915" s="4" t="n"/>
      <c r="D1915" s="4" t="n"/>
      <c r="E1915" s="4" t="n"/>
      <c r="F1915" s="4" t="n"/>
      <c r="G1915">
        <f>IF(B1915="","",IFERROR(INDEX(Products!$B:$B,MATCH(B1915,Products!$A:$A,0)),"SKU not found"))</f>
        <v/>
      </c>
    </row>
    <row r="1916">
      <c r="A1916" s="7" t="n"/>
      <c r="B1916" s="4" t="n"/>
      <c r="C1916" s="4" t="n"/>
      <c r="D1916" s="4" t="n"/>
      <c r="E1916" s="4" t="n"/>
      <c r="F1916" s="4" t="n"/>
      <c r="G1916">
        <f>IF(B1916="","",IFERROR(INDEX(Products!$B:$B,MATCH(B1916,Products!$A:$A,0)),"SKU not found"))</f>
        <v/>
      </c>
    </row>
    <row r="1917">
      <c r="A1917" s="7" t="n"/>
      <c r="B1917" s="4" t="n"/>
      <c r="C1917" s="4" t="n"/>
      <c r="D1917" s="4" t="n"/>
      <c r="E1917" s="4" t="n"/>
      <c r="F1917" s="4" t="n"/>
      <c r="G1917">
        <f>IF(B1917="","",IFERROR(INDEX(Products!$B:$B,MATCH(B1917,Products!$A:$A,0)),"SKU not found"))</f>
        <v/>
      </c>
    </row>
    <row r="1918">
      <c r="A1918" s="7" t="n"/>
      <c r="B1918" s="4" t="n"/>
      <c r="C1918" s="4" t="n"/>
      <c r="D1918" s="4" t="n"/>
      <c r="E1918" s="4" t="n"/>
      <c r="F1918" s="4" t="n"/>
      <c r="G1918">
        <f>IF(B1918="","",IFERROR(INDEX(Products!$B:$B,MATCH(B1918,Products!$A:$A,0)),"SKU not found"))</f>
        <v/>
      </c>
    </row>
    <row r="1919">
      <c r="A1919" s="7" t="n"/>
      <c r="B1919" s="4" t="n"/>
      <c r="C1919" s="4" t="n"/>
      <c r="D1919" s="4" t="n"/>
      <c r="E1919" s="4" t="n"/>
      <c r="F1919" s="4" t="n"/>
      <c r="G1919">
        <f>IF(B1919="","",IFERROR(INDEX(Products!$B:$B,MATCH(B1919,Products!$A:$A,0)),"SKU not found"))</f>
        <v/>
      </c>
    </row>
    <row r="1920">
      <c r="A1920" s="7" t="n"/>
      <c r="B1920" s="4" t="n"/>
      <c r="C1920" s="4" t="n"/>
      <c r="D1920" s="4" t="n"/>
      <c r="E1920" s="4" t="n"/>
      <c r="F1920" s="4" t="n"/>
      <c r="G1920">
        <f>IF(B1920="","",IFERROR(INDEX(Products!$B:$B,MATCH(B1920,Products!$A:$A,0)),"SKU not found"))</f>
        <v/>
      </c>
    </row>
    <row r="1921">
      <c r="A1921" s="7" t="n"/>
      <c r="B1921" s="4" t="n"/>
      <c r="C1921" s="4" t="n"/>
      <c r="D1921" s="4" t="n"/>
      <c r="E1921" s="4" t="n"/>
      <c r="F1921" s="4" t="n"/>
      <c r="G1921">
        <f>IF(B1921="","",IFERROR(INDEX(Products!$B:$B,MATCH(B1921,Products!$A:$A,0)),"SKU not found"))</f>
        <v/>
      </c>
    </row>
    <row r="1922">
      <c r="A1922" s="7" t="n"/>
      <c r="B1922" s="4" t="n"/>
      <c r="C1922" s="4" t="n"/>
      <c r="D1922" s="4" t="n"/>
      <c r="E1922" s="4" t="n"/>
      <c r="F1922" s="4" t="n"/>
      <c r="G1922">
        <f>IF(B1922="","",IFERROR(INDEX(Products!$B:$B,MATCH(B1922,Products!$A:$A,0)),"SKU not found"))</f>
        <v/>
      </c>
    </row>
    <row r="1923">
      <c r="A1923" s="7" t="n"/>
      <c r="B1923" s="4" t="n"/>
      <c r="C1923" s="4" t="n"/>
      <c r="D1923" s="4" t="n"/>
      <c r="E1923" s="4" t="n"/>
      <c r="F1923" s="4" t="n"/>
      <c r="G1923">
        <f>IF(B1923="","",IFERROR(INDEX(Products!$B:$B,MATCH(B1923,Products!$A:$A,0)),"SKU not found"))</f>
        <v/>
      </c>
    </row>
    <row r="1924">
      <c r="A1924" s="7" t="n"/>
      <c r="B1924" s="4" t="n"/>
      <c r="C1924" s="4" t="n"/>
      <c r="D1924" s="4" t="n"/>
      <c r="E1924" s="4" t="n"/>
      <c r="F1924" s="4" t="n"/>
      <c r="G1924">
        <f>IF(B1924="","",IFERROR(INDEX(Products!$B:$B,MATCH(B1924,Products!$A:$A,0)),"SKU not found"))</f>
        <v/>
      </c>
    </row>
    <row r="1925">
      <c r="A1925" s="7" t="n"/>
      <c r="B1925" s="4" t="n"/>
      <c r="C1925" s="4" t="n"/>
      <c r="D1925" s="4" t="n"/>
      <c r="E1925" s="4" t="n"/>
      <c r="F1925" s="4" t="n"/>
      <c r="G1925">
        <f>IF(B1925="","",IFERROR(INDEX(Products!$B:$B,MATCH(B1925,Products!$A:$A,0)),"SKU not found"))</f>
        <v/>
      </c>
    </row>
    <row r="1926">
      <c r="A1926" s="7" t="n"/>
      <c r="B1926" s="4" t="n"/>
      <c r="C1926" s="4" t="n"/>
      <c r="D1926" s="4" t="n"/>
      <c r="E1926" s="4" t="n"/>
      <c r="F1926" s="4" t="n"/>
      <c r="G1926">
        <f>IF(B1926="","",IFERROR(INDEX(Products!$B:$B,MATCH(B1926,Products!$A:$A,0)),"SKU not found"))</f>
        <v/>
      </c>
    </row>
    <row r="1927">
      <c r="A1927" s="7" t="n"/>
      <c r="B1927" s="4" t="n"/>
      <c r="C1927" s="4" t="n"/>
      <c r="D1927" s="4" t="n"/>
      <c r="E1927" s="4" t="n"/>
      <c r="F1927" s="4" t="n"/>
      <c r="G1927">
        <f>IF(B1927="","",IFERROR(INDEX(Products!$B:$B,MATCH(B1927,Products!$A:$A,0)),"SKU not found"))</f>
        <v/>
      </c>
    </row>
    <row r="1928">
      <c r="A1928" s="7" t="n"/>
      <c r="B1928" s="4" t="n"/>
      <c r="C1928" s="4" t="n"/>
      <c r="D1928" s="4" t="n"/>
      <c r="E1928" s="4" t="n"/>
      <c r="F1928" s="4" t="n"/>
      <c r="G1928">
        <f>IF(B1928="","",IFERROR(INDEX(Products!$B:$B,MATCH(B1928,Products!$A:$A,0)),"SKU not found"))</f>
        <v/>
      </c>
    </row>
    <row r="1929">
      <c r="A1929" s="7" t="n"/>
      <c r="B1929" s="4" t="n"/>
      <c r="C1929" s="4" t="n"/>
      <c r="D1929" s="4" t="n"/>
      <c r="E1929" s="4" t="n"/>
      <c r="F1929" s="4" t="n"/>
      <c r="G1929">
        <f>IF(B1929="","",IFERROR(INDEX(Products!$B:$B,MATCH(B1929,Products!$A:$A,0)),"SKU not found"))</f>
        <v/>
      </c>
    </row>
    <row r="1930">
      <c r="A1930" s="7" t="n"/>
      <c r="B1930" s="4" t="n"/>
      <c r="C1930" s="4" t="n"/>
      <c r="D1930" s="4" t="n"/>
      <c r="E1930" s="4" t="n"/>
      <c r="F1930" s="4" t="n"/>
      <c r="G1930">
        <f>IF(B1930="","",IFERROR(INDEX(Products!$B:$B,MATCH(B1930,Products!$A:$A,0)),"SKU not found"))</f>
        <v/>
      </c>
    </row>
    <row r="1931">
      <c r="A1931" s="7" t="n"/>
      <c r="B1931" s="4" t="n"/>
      <c r="C1931" s="4" t="n"/>
      <c r="D1931" s="4" t="n"/>
      <c r="E1931" s="4" t="n"/>
      <c r="F1931" s="4" t="n"/>
      <c r="G1931">
        <f>IF(B1931="","",IFERROR(INDEX(Products!$B:$B,MATCH(B1931,Products!$A:$A,0)),"SKU not found"))</f>
        <v/>
      </c>
    </row>
    <row r="1932">
      <c r="A1932" s="7" t="n"/>
      <c r="B1932" s="4" t="n"/>
      <c r="C1932" s="4" t="n"/>
      <c r="D1932" s="4" t="n"/>
      <c r="E1932" s="4" t="n"/>
      <c r="F1932" s="4" t="n"/>
      <c r="G1932">
        <f>IF(B1932="","",IFERROR(INDEX(Products!$B:$B,MATCH(B1932,Products!$A:$A,0)),"SKU not found"))</f>
        <v/>
      </c>
    </row>
    <row r="1933">
      <c r="A1933" s="7" t="n"/>
      <c r="B1933" s="4" t="n"/>
      <c r="C1933" s="4" t="n"/>
      <c r="D1933" s="4" t="n"/>
      <c r="E1933" s="4" t="n"/>
      <c r="F1933" s="4" t="n"/>
      <c r="G1933">
        <f>IF(B1933="","",IFERROR(INDEX(Products!$B:$B,MATCH(B1933,Products!$A:$A,0)),"SKU not found"))</f>
        <v/>
      </c>
    </row>
    <row r="1934">
      <c r="A1934" s="7" t="n"/>
      <c r="B1934" s="4" t="n"/>
      <c r="C1934" s="4" t="n"/>
      <c r="D1934" s="4" t="n"/>
      <c r="E1934" s="4" t="n"/>
      <c r="F1934" s="4" t="n"/>
      <c r="G1934">
        <f>IF(B1934="","",IFERROR(INDEX(Products!$B:$B,MATCH(B1934,Products!$A:$A,0)),"SKU not found"))</f>
        <v/>
      </c>
    </row>
    <row r="1935">
      <c r="A1935" s="7" t="n"/>
      <c r="B1935" s="4" t="n"/>
      <c r="C1935" s="4" t="n"/>
      <c r="D1935" s="4" t="n"/>
      <c r="E1935" s="4" t="n"/>
      <c r="F1935" s="4" t="n"/>
      <c r="G1935">
        <f>IF(B1935="","",IFERROR(INDEX(Products!$B:$B,MATCH(B1935,Products!$A:$A,0)),"SKU not found"))</f>
        <v/>
      </c>
    </row>
    <row r="1936">
      <c r="A1936" s="7" t="n"/>
      <c r="B1936" s="4" t="n"/>
      <c r="C1936" s="4" t="n"/>
      <c r="D1936" s="4" t="n"/>
      <c r="E1936" s="4" t="n"/>
      <c r="F1936" s="4" t="n"/>
      <c r="G1936">
        <f>IF(B1936="","",IFERROR(INDEX(Products!$B:$B,MATCH(B1936,Products!$A:$A,0)),"SKU not found"))</f>
        <v/>
      </c>
    </row>
    <row r="1937">
      <c r="A1937" s="7" t="n"/>
      <c r="B1937" s="4" t="n"/>
      <c r="C1937" s="4" t="n"/>
      <c r="D1937" s="4" t="n"/>
      <c r="E1937" s="4" t="n"/>
      <c r="F1937" s="4" t="n"/>
      <c r="G1937">
        <f>IF(B1937="","",IFERROR(INDEX(Products!$B:$B,MATCH(B1937,Products!$A:$A,0)),"SKU not found"))</f>
        <v/>
      </c>
    </row>
    <row r="1938">
      <c r="A1938" s="7" t="n"/>
      <c r="B1938" s="4" t="n"/>
      <c r="C1938" s="4" t="n"/>
      <c r="D1938" s="4" t="n"/>
      <c r="E1938" s="4" t="n"/>
      <c r="F1938" s="4" t="n"/>
      <c r="G1938">
        <f>IF(B1938="","",IFERROR(INDEX(Products!$B:$B,MATCH(B1938,Products!$A:$A,0)),"SKU not found"))</f>
        <v/>
      </c>
    </row>
    <row r="1939">
      <c r="A1939" s="7" t="n"/>
      <c r="B1939" s="4" t="n"/>
      <c r="C1939" s="4" t="n"/>
      <c r="D1939" s="4" t="n"/>
      <c r="E1939" s="4" t="n"/>
      <c r="F1939" s="4" t="n"/>
      <c r="G1939">
        <f>IF(B1939="","",IFERROR(INDEX(Products!$B:$B,MATCH(B1939,Products!$A:$A,0)),"SKU not found"))</f>
        <v/>
      </c>
    </row>
    <row r="1940">
      <c r="A1940" s="7" t="n"/>
      <c r="B1940" s="4" t="n"/>
      <c r="C1940" s="4" t="n"/>
      <c r="D1940" s="4" t="n"/>
      <c r="E1940" s="4" t="n"/>
      <c r="F1940" s="4" t="n"/>
      <c r="G1940">
        <f>IF(B1940="","",IFERROR(INDEX(Products!$B:$B,MATCH(B1940,Products!$A:$A,0)),"SKU not found"))</f>
        <v/>
      </c>
    </row>
    <row r="1941">
      <c r="A1941" s="7" t="n"/>
      <c r="B1941" s="4" t="n"/>
      <c r="C1941" s="4" t="n"/>
      <c r="D1941" s="4" t="n"/>
      <c r="E1941" s="4" t="n"/>
      <c r="F1941" s="4" t="n"/>
      <c r="G1941">
        <f>IF(B1941="","",IFERROR(INDEX(Products!$B:$B,MATCH(B1941,Products!$A:$A,0)),"SKU not found"))</f>
        <v/>
      </c>
    </row>
    <row r="1942">
      <c r="A1942" s="7" t="n"/>
      <c r="B1942" s="4" t="n"/>
      <c r="C1942" s="4" t="n"/>
      <c r="D1942" s="4" t="n"/>
      <c r="E1942" s="4" t="n"/>
      <c r="F1942" s="4" t="n"/>
      <c r="G1942">
        <f>IF(B1942="","",IFERROR(INDEX(Products!$B:$B,MATCH(B1942,Products!$A:$A,0)),"SKU not found"))</f>
        <v/>
      </c>
    </row>
    <row r="1943">
      <c r="A1943" s="7" t="n"/>
      <c r="B1943" s="4" t="n"/>
      <c r="C1943" s="4" t="n"/>
      <c r="D1943" s="4" t="n"/>
      <c r="E1943" s="4" t="n"/>
      <c r="F1943" s="4" t="n"/>
      <c r="G1943">
        <f>IF(B1943="","",IFERROR(INDEX(Products!$B:$B,MATCH(B1943,Products!$A:$A,0)),"SKU not found"))</f>
        <v/>
      </c>
    </row>
    <row r="1944">
      <c r="A1944" s="7" t="n"/>
      <c r="B1944" s="4" t="n"/>
      <c r="C1944" s="4" t="n"/>
      <c r="D1944" s="4" t="n"/>
      <c r="E1944" s="4" t="n"/>
      <c r="F1944" s="4" t="n"/>
      <c r="G1944">
        <f>IF(B1944="","",IFERROR(INDEX(Products!$B:$B,MATCH(B1944,Products!$A:$A,0)),"SKU not found"))</f>
        <v/>
      </c>
    </row>
    <row r="1945">
      <c r="A1945" s="7" t="n"/>
      <c r="B1945" s="4" t="n"/>
      <c r="C1945" s="4" t="n"/>
      <c r="D1945" s="4" t="n"/>
      <c r="E1945" s="4" t="n"/>
      <c r="F1945" s="4" t="n"/>
      <c r="G1945">
        <f>IF(B1945="","",IFERROR(INDEX(Products!$B:$B,MATCH(B1945,Products!$A:$A,0)),"SKU not found"))</f>
        <v/>
      </c>
    </row>
    <row r="1946">
      <c r="A1946" s="7" t="n"/>
      <c r="B1946" s="4" t="n"/>
      <c r="C1946" s="4" t="n"/>
      <c r="D1946" s="4" t="n"/>
      <c r="E1946" s="4" t="n"/>
      <c r="F1946" s="4" t="n"/>
      <c r="G1946">
        <f>IF(B1946="","",IFERROR(INDEX(Products!$B:$B,MATCH(B1946,Products!$A:$A,0)),"SKU not found"))</f>
        <v/>
      </c>
    </row>
    <row r="1947">
      <c r="A1947" s="7" t="n"/>
      <c r="B1947" s="4" t="n"/>
      <c r="C1947" s="4" t="n"/>
      <c r="D1947" s="4" t="n"/>
      <c r="E1947" s="4" t="n"/>
      <c r="F1947" s="4" t="n"/>
      <c r="G1947">
        <f>IF(B1947="","",IFERROR(INDEX(Products!$B:$B,MATCH(B1947,Products!$A:$A,0)),"SKU not found"))</f>
        <v/>
      </c>
    </row>
    <row r="1948">
      <c r="A1948" s="7" t="n"/>
      <c r="B1948" s="4" t="n"/>
      <c r="C1948" s="4" t="n"/>
      <c r="D1948" s="4" t="n"/>
      <c r="E1948" s="4" t="n"/>
      <c r="F1948" s="4" t="n"/>
      <c r="G1948">
        <f>IF(B1948="","",IFERROR(INDEX(Products!$B:$B,MATCH(B1948,Products!$A:$A,0)),"SKU not found"))</f>
        <v/>
      </c>
    </row>
    <row r="1949">
      <c r="A1949" s="7" t="n"/>
      <c r="B1949" s="4" t="n"/>
      <c r="C1949" s="4" t="n"/>
      <c r="D1949" s="4" t="n"/>
      <c r="E1949" s="4" t="n"/>
      <c r="F1949" s="4" t="n"/>
      <c r="G1949">
        <f>IF(B1949="","",IFERROR(INDEX(Products!$B:$B,MATCH(B1949,Products!$A:$A,0)),"SKU not found"))</f>
        <v/>
      </c>
    </row>
    <row r="1950">
      <c r="A1950" s="7" t="n"/>
      <c r="B1950" s="4" t="n"/>
      <c r="C1950" s="4" t="n"/>
      <c r="D1950" s="4" t="n"/>
      <c r="E1950" s="4" t="n"/>
      <c r="F1950" s="4" t="n"/>
      <c r="G1950">
        <f>IF(B1950="","",IFERROR(INDEX(Products!$B:$B,MATCH(B1950,Products!$A:$A,0)),"SKU not found"))</f>
        <v/>
      </c>
    </row>
    <row r="1951">
      <c r="A1951" s="7" t="n"/>
      <c r="B1951" s="4" t="n"/>
      <c r="C1951" s="4" t="n"/>
      <c r="D1951" s="4" t="n"/>
      <c r="E1951" s="4" t="n"/>
      <c r="F1951" s="4" t="n"/>
      <c r="G1951">
        <f>IF(B1951="","",IFERROR(INDEX(Products!$B:$B,MATCH(B1951,Products!$A:$A,0)),"SKU not found"))</f>
        <v/>
      </c>
    </row>
    <row r="1952">
      <c r="A1952" s="7" t="n"/>
      <c r="B1952" s="4" t="n"/>
      <c r="C1952" s="4" t="n"/>
      <c r="D1952" s="4" t="n"/>
      <c r="E1952" s="4" t="n"/>
      <c r="F1952" s="4" t="n"/>
      <c r="G1952">
        <f>IF(B1952="","",IFERROR(INDEX(Products!$B:$B,MATCH(B1952,Products!$A:$A,0)),"SKU not found"))</f>
        <v/>
      </c>
    </row>
    <row r="1953">
      <c r="A1953" s="7" t="n"/>
      <c r="B1953" s="4" t="n"/>
      <c r="C1953" s="4" t="n"/>
      <c r="D1953" s="4" t="n"/>
      <c r="E1953" s="4" t="n"/>
      <c r="F1953" s="4" t="n"/>
      <c r="G1953">
        <f>IF(B1953="","",IFERROR(INDEX(Products!$B:$B,MATCH(B1953,Products!$A:$A,0)),"SKU not found"))</f>
        <v/>
      </c>
    </row>
    <row r="1954">
      <c r="A1954" s="7" t="n"/>
      <c r="B1954" s="4" t="n"/>
      <c r="C1954" s="4" t="n"/>
      <c r="D1954" s="4" t="n"/>
      <c r="E1954" s="4" t="n"/>
      <c r="F1954" s="4" t="n"/>
      <c r="G1954">
        <f>IF(B1954="","",IFERROR(INDEX(Products!$B:$B,MATCH(B1954,Products!$A:$A,0)),"SKU not found"))</f>
        <v/>
      </c>
    </row>
    <row r="1955">
      <c r="A1955" s="7" t="n"/>
      <c r="B1955" s="4" t="n"/>
      <c r="C1955" s="4" t="n"/>
      <c r="D1955" s="4" t="n"/>
      <c r="E1955" s="4" t="n"/>
      <c r="F1955" s="4" t="n"/>
      <c r="G1955">
        <f>IF(B1955="","",IFERROR(INDEX(Products!$B:$B,MATCH(B1955,Products!$A:$A,0)),"SKU not found"))</f>
        <v/>
      </c>
    </row>
    <row r="1956">
      <c r="A1956" s="7" t="n"/>
      <c r="B1956" s="4" t="n"/>
      <c r="C1956" s="4" t="n"/>
      <c r="D1956" s="4" t="n"/>
      <c r="E1956" s="4" t="n"/>
      <c r="F1956" s="4" t="n"/>
      <c r="G1956">
        <f>IF(B1956="","",IFERROR(INDEX(Products!$B:$B,MATCH(B1956,Products!$A:$A,0)),"SKU not found"))</f>
        <v/>
      </c>
    </row>
    <row r="1957">
      <c r="A1957" s="7" t="n"/>
      <c r="B1957" s="4" t="n"/>
      <c r="C1957" s="4" t="n"/>
      <c r="D1957" s="4" t="n"/>
      <c r="E1957" s="4" t="n"/>
      <c r="F1957" s="4" t="n"/>
      <c r="G1957">
        <f>IF(B1957="","",IFERROR(INDEX(Products!$B:$B,MATCH(B1957,Products!$A:$A,0)),"SKU not found"))</f>
        <v/>
      </c>
    </row>
    <row r="1958">
      <c r="A1958" s="7" t="n"/>
      <c r="B1958" s="4" t="n"/>
      <c r="C1958" s="4" t="n"/>
      <c r="D1958" s="4" t="n"/>
      <c r="E1958" s="4" t="n"/>
      <c r="F1958" s="4" t="n"/>
      <c r="G1958">
        <f>IF(B1958="","",IFERROR(INDEX(Products!$B:$B,MATCH(B1958,Products!$A:$A,0)),"SKU not found"))</f>
        <v/>
      </c>
    </row>
    <row r="1959">
      <c r="A1959" s="7" t="n"/>
      <c r="B1959" s="4" t="n"/>
      <c r="C1959" s="4" t="n"/>
      <c r="D1959" s="4" t="n"/>
      <c r="E1959" s="4" t="n"/>
      <c r="F1959" s="4" t="n"/>
      <c r="G1959">
        <f>IF(B1959="","",IFERROR(INDEX(Products!$B:$B,MATCH(B1959,Products!$A:$A,0)),"SKU not found"))</f>
        <v/>
      </c>
    </row>
    <row r="1960">
      <c r="A1960" s="7" t="n"/>
      <c r="B1960" s="4" t="n"/>
      <c r="C1960" s="4" t="n"/>
      <c r="D1960" s="4" t="n"/>
      <c r="E1960" s="4" t="n"/>
      <c r="F1960" s="4" t="n"/>
      <c r="G1960">
        <f>IF(B1960="","",IFERROR(INDEX(Products!$B:$B,MATCH(B1960,Products!$A:$A,0)),"SKU not found"))</f>
        <v/>
      </c>
    </row>
    <row r="1961">
      <c r="A1961" s="7" t="n"/>
      <c r="B1961" s="4" t="n"/>
      <c r="C1961" s="4" t="n"/>
      <c r="D1961" s="4" t="n"/>
      <c r="E1961" s="4" t="n"/>
      <c r="F1961" s="4" t="n"/>
      <c r="G1961">
        <f>IF(B1961="","",IFERROR(INDEX(Products!$B:$B,MATCH(B1961,Products!$A:$A,0)),"SKU not found"))</f>
        <v/>
      </c>
    </row>
    <row r="1962">
      <c r="A1962" s="7" t="n"/>
      <c r="B1962" s="4" t="n"/>
      <c r="C1962" s="4" t="n"/>
      <c r="D1962" s="4" t="n"/>
      <c r="E1962" s="4" t="n"/>
      <c r="F1962" s="4" t="n"/>
      <c r="G1962">
        <f>IF(B1962="","",IFERROR(INDEX(Products!$B:$B,MATCH(B1962,Products!$A:$A,0)),"SKU not found"))</f>
        <v/>
      </c>
    </row>
    <row r="1963">
      <c r="A1963" s="7" t="n"/>
      <c r="B1963" s="4" t="n"/>
      <c r="C1963" s="4" t="n"/>
      <c r="D1963" s="4" t="n"/>
      <c r="E1963" s="4" t="n"/>
      <c r="F1963" s="4" t="n"/>
      <c r="G1963">
        <f>IF(B1963="","",IFERROR(INDEX(Products!$B:$B,MATCH(B1963,Products!$A:$A,0)),"SKU not found"))</f>
        <v/>
      </c>
    </row>
    <row r="1964">
      <c r="A1964" s="7" t="n"/>
      <c r="B1964" s="4" t="n"/>
      <c r="C1964" s="4" t="n"/>
      <c r="D1964" s="4" t="n"/>
      <c r="E1964" s="4" t="n"/>
      <c r="F1964" s="4" t="n"/>
      <c r="G1964">
        <f>IF(B1964="","",IFERROR(INDEX(Products!$B:$B,MATCH(B1964,Products!$A:$A,0)),"SKU not found"))</f>
        <v/>
      </c>
    </row>
    <row r="1965">
      <c r="A1965" s="7" t="n"/>
      <c r="B1965" s="4" t="n"/>
      <c r="C1965" s="4" t="n"/>
      <c r="D1965" s="4" t="n"/>
      <c r="E1965" s="4" t="n"/>
      <c r="F1965" s="4" t="n"/>
      <c r="G1965">
        <f>IF(B1965="","",IFERROR(INDEX(Products!$B:$B,MATCH(B1965,Products!$A:$A,0)),"SKU not found"))</f>
        <v/>
      </c>
    </row>
    <row r="1966">
      <c r="A1966" s="7" t="n"/>
      <c r="B1966" s="4" t="n"/>
      <c r="C1966" s="4" t="n"/>
      <c r="D1966" s="4" t="n"/>
      <c r="E1966" s="4" t="n"/>
      <c r="F1966" s="4" t="n"/>
      <c r="G1966">
        <f>IF(B1966="","",IFERROR(INDEX(Products!$B:$B,MATCH(B1966,Products!$A:$A,0)),"SKU not found"))</f>
        <v/>
      </c>
    </row>
    <row r="1967">
      <c r="A1967" s="7" t="n"/>
      <c r="B1967" s="4" t="n"/>
      <c r="C1967" s="4" t="n"/>
      <c r="D1967" s="4" t="n"/>
      <c r="E1967" s="4" t="n"/>
      <c r="F1967" s="4" t="n"/>
      <c r="G1967">
        <f>IF(B1967="","",IFERROR(INDEX(Products!$B:$B,MATCH(B1967,Products!$A:$A,0)),"SKU not found"))</f>
        <v/>
      </c>
    </row>
    <row r="1968">
      <c r="A1968" s="7" t="n"/>
      <c r="B1968" s="4" t="n"/>
      <c r="C1968" s="4" t="n"/>
      <c r="D1968" s="4" t="n"/>
      <c r="E1968" s="4" t="n"/>
      <c r="F1968" s="4" t="n"/>
      <c r="G1968">
        <f>IF(B1968="","",IFERROR(INDEX(Products!$B:$B,MATCH(B1968,Products!$A:$A,0)),"SKU not found"))</f>
        <v/>
      </c>
    </row>
    <row r="1969">
      <c r="A1969" s="7" t="n"/>
      <c r="B1969" s="4" t="n"/>
      <c r="C1969" s="4" t="n"/>
      <c r="D1969" s="4" t="n"/>
      <c r="E1969" s="4" t="n"/>
      <c r="F1969" s="4" t="n"/>
      <c r="G1969">
        <f>IF(B1969="","",IFERROR(INDEX(Products!$B:$B,MATCH(B1969,Products!$A:$A,0)),"SKU not found"))</f>
        <v/>
      </c>
    </row>
    <row r="1970">
      <c r="A1970" s="7" t="n"/>
      <c r="B1970" s="4" t="n"/>
      <c r="C1970" s="4" t="n"/>
      <c r="D1970" s="4" t="n"/>
      <c r="E1970" s="4" t="n"/>
      <c r="F1970" s="4" t="n"/>
      <c r="G1970">
        <f>IF(B1970="","",IFERROR(INDEX(Products!$B:$B,MATCH(B1970,Products!$A:$A,0)),"SKU not found"))</f>
        <v/>
      </c>
    </row>
    <row r="1971">
      <c r="A1971" s="7" t="n"/>
      <c r="B1971" s="4" t="n"/>
      <c r="C1971" s="4" t="n"/>
      <c r="D1971" s="4" t="n"/>
      <c r="E1971" s="4" t="n"/>
      <c r="F1971" s="4" t="n"/>
      <c r="G1971">
        <f>IF(B1971="","",IFERROR(INDEX(Products!$B:$B,MATCH(B1971,Products!$A:$A,0)),"SKU not found"))</f>
        <v/>
      </c>
    </row>
    <row r="1972">
      <c r="A1972" s="7" t="n"/>
      <c r="B1972" s="4" t="n"/>
      <c r="C1972" s="4" t="n"/>
      <c r="D1972" s="4" t="n"/>
      <c r="E1972" s="4" t="n"/>
      <c r="F1972" s="4" t="n"/>
      <c r="G1972">
        <f>IF(B1972="","",IFERROR(INDEX(Products!$B:$B,MATCH(B1972,Products!$A:$A,0)),"SKU not found"))</f>
        <v/>
      </c>
    </row>
    <row r="1973">
      <c r="A1973" s="7" t="n"/>
      <c r="B1973" s="4" t="n"/>
      <c r="C1973" s="4" t="n"/>
      <c r="D1973" s="4" t="n"/>
      <c r="E1973" s="4" t="n"/>
      <c r="F1973" s="4" t="n"/>
      <c r="G1973">
        <f>IF(B1973="","",IFERROR(INDEX(Products!$B:$B,MATCH(B1973,Products!$A:$A,0)),"SKU not found"))</f>
        <v/>
      </c>
    </row>
    <row r="1974">
      <c r="A1974" s="7" t="n"/>
      <c r="B1974" s="4" t="n"/>
      <c r="C1974" s="4" t="n"/>
      <c r="D1974" s="4" t="n"/>
      <c r="E1974" s="4" t="n"/>
      <c r="F1974" s="4" t="n"/>
      <c r="G1974">
        <f>IF(B1974="","",IFERROR(INDEX(Products!$B:$B,MATCH(B1974,Products!$A:$A,0)),"SKU not found"))</f>
        <v/>
      </c>
    </row>
    <row r="1975">
      <c r="A1975" s="7" t="n"/>
      <c r="B1975" s="4" t="n"/>
      <c r="C1975" s="4" t="n"/>
      <c r="D1975" s="4" t="n"/>
      <c r="E1975" s="4" t="n"/>
      <c r="F1975" s="4" t="n"/>
      <c r="G1975">
        <f>IF(B1975="","",IFERROR(INDEX(Products!$B:$B,MATCH(B1975,Products!$A:$A,0)),"SKU not found"))</f>
        <v/>
      </c>
    </row>
    <row r="1976">
      <c r="A1976" s="7" t="n"/>
      <c r="B1976" s="4" t="n"/>
      <c r="C1976" s="4" t="n"/>
      <c r="D1976" s="4" t="n"/>
      <c r="E1976" s="4" t="n"/>
      <c r="F1976" s="4" t="n"/>
      <c r="G1976">
        <f>IF(B1976="","",IFERROR(INDEX(Products!$B:$B,MATCH(B1976,Products!$A:$A,0)),"SKU not found"))</f>
        <v/>
      </c>
    </row>
    <row r="1977">
      <c r="A1977" s="7" t="n"/>
      <c r="B1977" s="4" t="n"/>
      <c r="C1977" s="4" t="n"/>
      <c r="D1977" s="4" t="n"/>
      <c r="E1977" s="4" t="n"/>
      <c r="F1977" s="4" t="n"/>
      <c r="G1977">
        <f>IF(B1977="","",IFERROR(INDEX(Products!$B:$B,MATCH(B1977,Products!$A:$A,0)),"SKU not found"))</f>
        <v/>
      </c>
    </row>
    <row r="1978">
      <c r="A1978" s="7" t="n"/>
      <c r="B1978" s="4" t="n"/>
      <c r="C1978" s="4" t="n"/>
      <c r="D1978" s="4" t="n"/>
      <c r="E1978" s="4" t="n"/>
      <c r="F1978" s="4" t="n"/>
      <c r="G1978">
        <f>IF(B1978="","",IFERROR(INDEX(Products!$B:$B,MATCH(B1978,Products!$A:$A,0)),"SKU not found"))</f>
        <v/>
      </c>
    </row>
    <row r="1979">
      <c r="A1979" s="7" t="n"/>
      <c r="B1979" s="4" t="n"/>
      <c r="C1979" s="4" t="n"/>
      <c r="D1979" s="4" t="n"/>
      <c r="E1979" s="4" t="n"/>
      <c r="F1979" s="4" t="n"/>
      <c r="G1979">
        <f>IF(B1979="","",IFERROR(INDEX(Products!$B:$B,MATCH(B1979,Products!$A:$A,0)),"SKU not found"))</f>
        <v/>
      </c>
    </row>
    <row r="1980">
      <c r="A1980" s="7" t="n"/>
      <c r="B1980" s="4" t="n"/>
      <c r="C1980" s="4" t="n"/>
      <c r="D1980" s="4" t="n"/>
      <c r="E1980" s="4" t="n"/>
      <c r="F1980" s="4" t="n"/>
      <c r="G1980">
        <f>IF(B1980="","",IFERROR(INDEX(Products!$B:$B,MATCH(B1980,Products!$A:$A,0)),"SKU not found"))</f>
        <v/>
      </c>
    </row>
    <row r="1981">
      <c r="A1981" s="7" t="n"/>
      <c r="B1981" s="4" t="n"/>
      <c r="C1981" s="4" t="n"/>
      <c r="D1981" s="4" t="n"/>
      <c r="E1981" s="4" t="n"/>
      <c r="F1981" s="4" t="n"/>
      <c r="G1981">
        <f>IF(B1981="","",IFERROR(INDEX(Products!$B:$B,MATCH(B1981,Products!$A:$A,0)),"SKU not found"))</f>
        <v/>
      </c>
    </row>
    <row r="1982">
      <c r="A1982" s="7" t="n"/>
      <c r="B1982" s="4" t="n"/>
      <c r="C1982" s="4" t="n"/>
      <c r="D1982" s="4" t="n"/>
      <c r="E1982" s="4" t="n"/>
      <c r="F1982" s="4" t="n"/>
      <c r="G1982">
        <f>IF(B1982="","",IFERROR(INDEX(Products!$B:$B,MATCH(B1982,Products!$A:$A,0)),"SKU not found"))</f>
        <v/>
      </c>
    </row>
    <row r="1983">
      <c r="A1983" s="7" t="n"/>
      <c r="B1983" s="4" t="n"/>
      <c r="C1983" s="4" t="n"/>
      <c r="D1983" s="4" t="n"/>
      <c r="E1983" s="4" t="n"/>
      <c r="F1983" s="4" t="n"/>
      <c r="G1983">
        <f>IF(B1983="","",IFERROR(INDEX(Products!$B:$B,MATCH(B1983,Products!$A:$A,0)),"SKU not found"))</f>
        <v/>
      </c>
    </row>
    <row r="1984">
      <c r="A1984" s="7" t="n"/>
      <c r="B1984" s="4" t="n"/>
      <c r="C1984" s="4" t="n"/>
      <c r="D1984" s="4" t="n"/>
      <c r="E1984" s="4" t="n"/>
      <c r="F1984" s="4" t="n"/>
      <c r="G1984">
        <f>IF(B1984="","",IFERROR(INDEX(Products!$B:$B,MATCH(B1984,Products!$A:$A,0)),"SKU not found"))</f>
        <v/>
      </c>
    </row>
    <row r="1985">
      <c r="A1985" s="7" t="n"/>
      <c r="B1985" s="4" t="n"/>
      <c r="C1985" s="4" t="n"/>
      <c r="D1985" s="4" t="n"/>
      <c r="E1985" s="4" t="n"/>
      <c r="F1985" s="4" t="n"/>
      <c r="G1985">
        <f>IF(B1985="","",IFERROR(INDEX(Products!$B:$B,MATCH(B1985,Products!$A:$A,0)),"SKU not found"))</f>
        <v/>
      </c>
    </row>
    <row r="1986">
      <c r="A1986" s="7" t="n"/>
      <c r="B1986" s="4" t="n"/>
      <c r="C1986" s="4" t="n"/>
      <c r="D1986" s="4" t="n"/>
      <c r="E1986" s="4" t="n"/>
      <c r="F1986" s="4" t="n"/>
      <c r="G1986">
        <f>IF(B1986="","",IFERROR(INDEX(Products!$B:$B,MATCH(B1986,Products!$A:$A,0)),"SKU not found"))</f>
        <v/>
      </c>
    </row>
    <row r="1987">
      <c r="A1987" s="7" t="n"/>
      <c r="B1987" s="4" t="n"/>
      <c r="C1987" s="4" t="n"/>
      <c r="D1987" s="4" t="n"/>
      <c r="E1987" s="4" t="n"/>
      <c r="F1987" s="4" t="n"/>
      <c r="G1987">
        <f>IF(B1987="","",IFERROR(INDEX(Products!$B:$B,MATCH(B1987,Products!$A:$A,0)),"SKU not found"))</f>
        <v/>
      </c>
    </row>
    <row r="1988">
      <c r="A1988" s="7" t="n"/>
      <c r="B1988" s="4" t="n"/>
      <c r="C1988" s="4" t="n"/>
      <c r="D1988" s="4" t="n"/>
      <c r="E1988" s="4" t="n"/>
      <c r="F1988" s="4" t="n"/>
      <c r="G1988">
        <f>IF(B1988="","",IFERROR(INDEX(Products!$B:$B,MATCH(B1988,Products!$A:$A,0)),"SKU not found"))</f>
        <v/>
      </c>
    </row>
    <row r="1989">
      <c r="A1989" s="7" t="n"/>
      <c r="B1989" s="4" t="n"/>
      <c r="C1989" s="4" t="n"/>
      <c r="D1989" s="4" t="n"/>
      <c r="E1989" s="4" t="n"/>
      <c r="F1989" s="4" t="n"/>
      <c r="G1989">
        <f>IF(B1989="","",IFERROR(INDEX(Products!$B:$B,MATCH(B1989,Products!$A:$A,0)),"SKU not found"))</f>
        <v/>
      </c>
    </row>
    <row r="1990">
      <c r="A1990" s="7" t="n"/>
      <c r="B1990" s="4" t="n"/>
      <c r="C1990" s="4" t="n"/>
      <c r="D1990" s="4" t="n"/>
      <c r="E1990" s="4" t="n"/>
      <c r="F1990" s="4" t="n"/>
      <c r="G1990">
        <f>IF(B1990="","",IFERROR(INDEX(Products!$B:$B,MATCH(B1990,Products!$A:$A,0)),"SKU not found"))</f>
        <v/>
      </c>
    </row>
    <row r="1991">
      <c r="A1991" s="7" t="n"/>
      <c r="B1991" s="4" t="n"/>
      <c r="C1991" s="4" t="n"/>
      <c r="D1991" s="4" t="n"/>
      <c r="E1991" s="4" t="n"/>
      <c r="F1991" s="4" t="n"/>
      <c r="G1991">
        <f>IF(B1991="","",IFERROR(INDEX(Products!$B:$B,MATCH(B1991,Products!$A:$A,0)),"SKU not found"))</f>
        <v/>
      </c>
    </row>
    <row r="1992">
      <c r="A1992" s="7" t="n"/>
      <c r="B1992" s="4" t="n"/>
      <c r="C1992" s="4" t="n"/>
      <c r="D1992" s="4" t="n"/>
      <c r="E1992" s="4" t="n"/>
      <c r="F1992" s="4" t="n"/>
      <c r="G1992">
        <f>IF(B1992="","",IFERROR(INDEX(Products!$B:$B,MATCH(B1992,Products!$A:$A,0)),"SKU not found"))</f>
        <v/>
      </c>
    </row>
    <row r="1993">
      <c r="A1993" s="7" t="n"/>
      <c r="B1993" s="4" t="n"/>
      <c r="C1993" s="4" t="n"/>
      <c r="D1993" s="4" t="n"/>
      <c r="E1993" s="4" t="n"/>
      <c r="F1993" s="4" t="n"/>
      <c r="G1993">
        <f>IF(B1993="","",IFERROR(INDEX(Products!$B:$B,MATCH(B1993,Products!$A:$A,0)),"SKU not found"))</f>
        <v/>
      </c>
    </row>
    <row r="1994">
      <c r="A1994" s="7" t="n"/>
      <c r="B1994" s="4" t="n"/>
      <c r="C1994" s="4" t="n"/>
      <c r="D1994" s="4" t="n"/>
      <c r="E1994" s="4" t="n"/>
      <c r="F1994" s="4" t="n"/>
      <c r="G1994">
        <f>IF(B1994="","",IFERROR(INDEX(Products!$B:$B,MATCH(B1994,Products!$A:$A,0)),"SKU not found"))</f>
        <v/>
      </c>
    </row>
    <row r="1995">
      <c r="A1995" s="7" t="n"/>
      <c r="B1995" s="4" t="n"/>
      <c r="C1995" s="4" t="n"/>
      <c r="D1995" s="4" t="n"/>
      <c r="E1995" s="4" t="n"/>
      <c r="F1995" s="4" t="n"/>
      <c r="G1995">
        <f>IF(B1995="","",IFERROR(INDEX(Products!$B:$B,MATCH(B1995,Products!$A:$A,0)),"SKU not found"))</f>
        <v/>
      </c>
    </row>
    <row r="1996">
      <c r="A1996" s="7" t="n"/>
      <c r="B1996" s="4" t="n"/>
      <c r="C1996" s="4" t="n"/>
      <c r="D1996" s="4" t="n"/>
      <c r="E1996" s="4" t="n"/>
      <c r="F1996" s="4" t="n"/>
      <c r="G1996">
        <f>IF(B1996="","",IFERROR(INDEX(Products!$B:$B,MATCH(B1996,Products!$A:$A,0)),"SKU not found"))</f>
        <v/>
      </c>
    </row>
    <row r="1997">
      <c r="A1997" s="7" t="n"/>
      <c r="B1997" s="4" t="n"/>
      <c r="C1997" s="4" t="n"/>
      <c r="D1997" s="4" t="n"/>
      <c r="E1997" s="4" t="n"/>
      <c r="F1997" s="4" t="n"/>
      <c r="G1997">
        <f>IF(B1997="","",IFERROR(INDEX(Products!$B:$B,MATCH(B1997,Products!$A:$A,0)),"SKU not found"))</f>
        <v/>
      </c>
    </row>
    <row r="1998">
      <c r="A1998" s="7" t="n"/>
      <c r="B1998" s="4" t="n"/>
      <c r="C1998" s="4" t="n"/>
      <c r="D1998" s="4" t="n"/>
      <c r="E1998" s="4" t="n"/>
      <c r="F1998" s="4" t="n"/>
      <c r="G1998">
        <f>IF(B1998="","",IFERROR(INDEX(Products!$B:$B,MATCH(B1998,Products!$A:$A,0)),"SKU not found"))</f>
        <v/>
      </c>
    </row>
    <row r="1999">
      <c r="A1999" s="7" t="n"/>
      <c r="B1999" s="4" t="n"/>
      <c r="C1999" s="4" t="n"/>
      <c r="D1999" s="4" t="n"/>
      <c r="E1999" s="4" t="n"/>
      <c r="F1999" s="4" t="n"/>
      <c r="G1999">
        <f>IF(B1999="","",IFERROR(INDEX(Products!$B:$B,MATCH(B1999,Products!$A:$A,0)),"SKU not found"))</f>
        <v/>
      </c>
    </row>
    <row r="2000">
      <c r="A2000" s="7" t="n"/>
      <c r="B2000" s="4" t="n"/>
      <c r="C2000" s="4" t="n"/>
      <c r="D2000" s="4" t="n"/>
      <c r="E2000" s="4" t="n"/>
      <c r="F2000" s="4" t="n"/>
      <c r="G2000">
        <f>IF(B2000="","",IFERROR(INDEX(Products!$B:$B,MATCH(B2000,Products!$A:$A,0)),"SKU not found"))</f>
        <v/>
      </c>
    </row>
    <row r="2001">
      <c r="A2001" s="7" t="n"/>
      <c r="B2001" s="4" t="n"/>
      <c r="C2001" s="4" t="n"/>
      <c r="D2001" s="4" t="n"/>
      <c r="E2001" s="4" t="n"/>
      <c r="F2001" s="4" t="n"/>
      <c r="G2001">
        <f>IF(B2001="","",IFERROR(INDEX(Products!$B:$B,MATCH(B2001,Products!$A:$A,0)),"SKU not found"))</f>
        <v/>
      </c>
    </row>
  </sheetData>
  <dataValidations count="2">
    <dataValidation sqref="B2:B2001" showDropDown="0" showInputMessage="0" showErrorMessage="1" allowBlank="1" errorTitle="Unknown SKU" error="Pick a SKU that exists on the Products sheet." type="list">
      <formula1>=Products!$A$2:$A$201</formula1>
    </dataValidation>
    <dataValidation sqref="E2:E2001" showDropDown="0" showInputMessage="0" showErrorMessage="0" allowBlank="1" type="list">
      <formula1>"Received,Incoming"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4" customWidth="1" min="4" max="4"/>
    <col width="16" customWidth="1" min="5" max="5"/>
    <col width="14" customWidth="1" min="6" max="6"/>
    <col width="14" customWidth="1" min="7" max="7"/>
    <col width="28" customWidth="1" min="8" max="8"/>
  </cols>
  <sheetData>
    <row r="1" ht="32" customHeight="1">
      <c r="A1" s="3" t="inlineStr">
        <is>
          <t>Date</t>
        </is>
      </c>
      <c r="B1" s="3" t="inlineStr">
        <is>
          <t>SKU</t>
        </is>
      </c>
      <c r="C1" s="3" t="inlineStr">
        <is>
          <t>Quantity</t>
        </is>
      </c>
      <c r="D1" s="3" t="inlineStr">
        <is>
          <t>Channel</t>
        </is>
      </c>
      <c r="E1" s="3" t="inlineStr">
        <is>
          <t>Order ID</t>
        </is>
      </c>
      <c r="F1" s="3" t="inlineStr">
        <is>
          <t>Unit Price (auto)</t>
        </is>
      </c>
      <c r="G1" s="3" t="inlineStr">
        <is>
          <t>Revenue (auto)</t>
        </is>
      </c>
      <c r="H1" s="3" t="inlineStr">
        <is>
          <t>Product (auto)</t>
        </is>
      </c>
    </row>
    <row r="2">
      <c r="A2" s="7" t="n">
        <v>40848</v>
      </c>
      <c r="B2" s="4" t="inlineStr">
        <is>
          <t>20725</t>
        </is>
      </c>
      <c r="C2" s="4" t="n">
        <v>6</v>
      </c>
      <c r="D2" s="4" t="inlineStr">
        <is>
          <t>UK</t>
        </is>
      </c>
      <c r="E2" s="4" t="inlineStr">
        <is>
          <t>2 invoices</t>
        </is>
      </c>
      <c r="F2" s="6">
        <f>IF(B2="","",IFERROR(INDEX(Products!$E:$E,MATCH(B2,Products!$A:$A,0)),0))</f>
        <v/>
      </c>
      <c r="G2" s="6">
        <f>IF(B2="","",N(C2)*N(F2))</f>
        <v/>
      </c>
      <c r="H2">
        <f>IF(B2="","",IFERROR(INDEX(Products!$B:$B,MATCH(B2,Products!$A:$A,0)),"SKU not found"))</f>
        <v/>
      </c>
    </row>
    <row r="3">
      <c r="A3" s="7" t="n">
        <v>40848</v>
      </c>
      <c r="B3" s="4" t="inlineStr">
        <is>
          <t>20727</t>
        </is>
      </c>
      <c r="C3" s="4" t="n">
        <v>7</v>
      </c>
      <c r="D3" s="4" t="inlineStr">
        <is>
          <t>UK</t>
        </is>
      </c>
      <c r="E3" s="4" t="inlineStr">
        <is>
          <t>2 invoices</t>
        </is>
      </c>
      <c r="F3" s="6">
        <f>IF(B3="","",IFERROR(INDEX(Products!$E:$E,MATCH(B3,Products!$A:$A,0)),0))</f>
        <v/>
      </c>
      <c r="G3" s="6">
        <f>IF(B3="","",N(C3)*N(F3))</f>
        <v/>
      </c>
      <c r="H3">
        <f>IF(B3="","",IFERROR(INDEX(Products!$B:$B,MATCH(B3,Products!$A:$A,0)),"SKU not found"))</f>
        <v/>
      </c>
    </row>
    <row r="4">
      <c r="A4" s="7" t="n">
        <v>40848</v>
      </c>
      <c r="B4" s="4" t="inlineStr">
        <is>
          <t>21212</t>
        </is>
      </c>
      <c r="C4" s="4" t="n">
        <v>28</v>
      </c>
      <c r="D4" s="4" t="inlineStr">
        <is>
          <t>UK</t>
        </is>
      </c>
      <c r="E4" s="4" t="inlineStr">
        <is>
          <t>3 invoices</t>
        </is>
      </c>
      <c r="F4" s="6">
        <f>IF(B4="","",IFERROR(INDEX(Products!$E:$E,MATCH(B4,Products!$A:$A,0)),0))</f>
        <v/>
      </c>
      <c r="G4" s="6">
        <f>IF(B4="","",N(C4)*N(F4))</f>
        <v/>
      </c>
      <c r="H4">
        <f>IF(B4="","",IFERROR(INDEX(Products!$B:$B,MATCH(B4,Products!$A:$A,0)),"SKU not found"))</f>
        <v/>
      </c>
    </row>
    <row r="5">
      <c r="A5" s="7" t="n">
        <v>40848</v>
      </c>
      <c r="B5" s="4" t="inlineStr">
        <is>
          <t>21931</t>
        </is>
      </c>
      <c r="C5" s="4" t="n">
        <v>112</v>
      </c>
      <c r="D5" s="4" t="inlineStr">
        <is>
          <t>UK</t>
        </is>
      </c>
      <c r="E5" s="4" t="inlineStr">
        <is>
          <t>3 invoices</t>
        </is>
      </c>
      <c r="F5" s="6">
        <f>IF(B5="","",IFERROR(INDEX(Products!$E:$E,MATCH(B5,Products!$A:$A,0)),0))</f>
        <v/>
      </c>
      <c r="G5" s="6">
        <f>IF(B5="","",N(C5)*N(F5))</f>
        <v/>
      </c>
      <c r="H5">
        <f>IF(B5="","",IFERROR(INDEX(Products!$B:$B,MATCH(B5,Products!$A:$A,0)),"SKU not found"))</f>
        <v/>
      </c>
    </row>
    <row r="6">
      <c r="A6" s="7" t="n">
        <v>40848</v>
      </c>
      <c r="B6" s="4" t="inlineStr">
        <is>
          <t>22197</t>
        </is>
      </c>
      <c r="C6" s="4" t="n">
        <v>48</v>
      </c>
      <c r="D6" s="4" t="inlineStr">
        <is>
          <t>Ireland</t>
        </is>
      </c>
      <c r="E6" s="4" t="inlineStr">
        <is>
          <t>2 invoices</t>
        </is>
      </c>
      <c r="F6" s="6">
        <f>IF(B6="","",IFERROR(INDEX(Products!$E:$E,MATCH(B6,Products!$A:$A,0)),0))</f>
        <v/>
      </c>
      <c r="G6" s="6">
        <f>IF(B6="","",N(C6)*N(F6))</f>
        <v/>
      </c>
      <c r="H6">
        <f>IF(B6="","",IFERROR(INDEX(Products!$B:$B,MATCH(B6,Products!$A:$A,0)),"SKU not found"))</f>
        <v/>
      </c>
    </row>
    <row r="7">
      <c r="A7" s="7" t="n">
        <v>40848</v>
      </c>
      <c r="B7" s="4" t="inlineStr">
        <is>
          <t>22197</t>
        </is>
      </c>
      <c r="C7" s="4" t="n">
        <v>238</v>
      </c>
      <c r="D7" s="4" t="inlineStr">
        <is>
          <t>UK</t>
        </is>
      </c>
      <c r="E7" s="4" t="inlineStr">
        <is>
          <t>6 invoices</t>
        </is>
      </c>
      <c r="F7" s="6">
        <f>IF(B7="","",IFERROR(INDEX(Products!$E:$E,MATCH(B7,Products!$A:$A,0)),0))</f>
        <v/>
      </c>
      <c r="G7" s="6">
        <f>IF(B7="","",N(C7)*N(F7))</f>
        <v/>
      </c>
      <c r="H7">
        <f>IF(B7="","",IFERROR(INDEX(Products!$B:$B,MATCH(B7,Products!$A:$A,0)),"SKU not found"))</f>
        <v/>
      </c>
    </row>
    <row r="8">
      <c r="A8" s="7" t="n">
        <v>40848</v>
      </c>
      <c r="B8" s="4" t="inlineStr">
        <is>
          <t>22383</t>
        </is>
      </c>
      <c r="C8" s="4" t="n">
        <v>6</v>
      </c>
      <c r="D8" s="4" t="inlineStr">
        <is>
          <t>UK</t>
        </is>
      </c>
      <c r="E8" s="4" t="inlineStr">
        <is>
          <t>2 invoices</t>
        </is>
      </c>
      <c r="F8" s="6">
        <f>IF(B8="","",IFERROR(INDEX(Products!$E:$E,MATCH(B8,Products!$A:$A,0)),0))</f>
        <v/>
      </c>
      <c r="G8" s="6">
        <f>IF(B8="","",N(C8)*N(F8))</f>
        <v/>
      </c>
      <c r="H8">
        <f>IF(B8="","",IFERROR(INDEX(Products!$B:$B,MATCH(B8,Products!$A:$A,0)),"SKU not found"))</f>
        <v/>
      </c>
    </row>
    <row r="9">
      <c r="A9" s="7" t="n">
        <v>40848</v>
      </c>
      <c r="B9" s="4" t="inlineStr">
        <is>
          <t>22386</t>
        </is>
      </c>
      <c r="C9" s="4" t="n">
        <v>43</v>
      </c>
      <c r="D9" s="4" t="inlineStr">
        <is>
          <t>UK</t>
        </is>
      </c>
      <c r="E9" s="4" t="inlineStr">
        <is>
          <t>3 invoices</t>
        </is>
      </c>
      <c r="F9" s="6">
        <f>IF(B9="","",IFERROR(INDEX(Products!$E:$E,MATCH(B9,Products!$A:$A,0)),0))</f>
        <v/>
      </c>
      <c r="G9" s="6">
        <f>IF(B9="","",N(C9)*N(F9))</f>
        <v/>
      </c>
      <c r="H9">
        <f>IF(B9="","",IFERROR(INDEX(Products!$B:$B,MATCH(B9,Products!$A:$A,0)),"SKU not found"))</f>
        <v/>
      </c>
    </row>
    <row r="10">
      <c r="A10" s="7" t="n">
        <v>40848</v>
      </c>
      <c r="B10" s="4" t="inlineStr">
        <is>
          <t>22423</t>
        </is>
      </c>
      <c r="C10" s="4" t="n">
        <v>10</v>
      </c>
      <c r="D10" s="4" t="inlineStr">
        <is>
          <t>Ireland</t>
        </is>
      </c>
      <c r="E10" s="4" t="inlineStr">
        <is>
          <t>2 invoices</t>
        </is>
      </c>
      <c r="F10" s="6">
        <f>IF(B10="","",IFERROR(INDEX(Products!$E:$E,MATCH(B10,Products!$A:$A,0)),0))</f>
        <v/>
      </c>
      <c r="G10" s="6">
        <f>IF(B10="","",N(C10)*N(F10))</f>
        <v/>
      </c>
      <c r="H10">
        <f>IF(B10="","",IFERROR(INDEX(Products!$B:$B,MATCH(B10,Products!$A:$A,0)),"SKU not found"))</f>
        <v/>
      </c>
    </row>
    <row r="11">
      <c r="A11" s="7" t="n">
        <v>40848</v>
      </c>
      <c r="B11" s="4" t="inlineStr">
        <is>
          <t>22423</t>
        </is>
      </c>
      <c r="C11" s="4" t="n">
        <v>11</v>
      </c>
      <c r="D11" s="4" t="inlineStr">
        <is>
          <t>UK</t>
        </is>
      </c>
      <c r="E11" s="4" t="inlineStr">
        <is>
          <t>7 invoices</t>
        </is>
      </c>
      <c r="F11" s="6">
        <f>IF(B11="","",IFERROR(INDEX(Products!$E:$E,MATCH(B11,Products!$A:$A,0)),0))</f>
        <v/>
      </c>
      <c r="G11" s="6">
        <f>IF(B11="","",N(C11)*N(F11))</f>
        <v/>
      </c>
      <c r="H11">
        <f>IF(B11="","",IFERROR(INDEX(Products!$B:$B,MATCH(B11,Products!$A:$A,0)),"SKU not found"))</f>
        <v/>
      </c>
    </row>
    <row r="12">
      <c r="A12" s="7" t="n">
        <v>40848</v>
      </c>
      <c r="B12" s="4" t="inlineStr">
        <is>
          <t>22457</t>
        </is>
      </c>
      <c r="C12" s="4" t="n">
        <v>12</v>
      </c>
      <c r="D12" s="4" t="inlineStr">
        <is>
          <t>UK</t>
        </is>
      </c>
      <c r="E12" s="4" t="inlineStr">
        <is>
          <t>2 invoices</t>
        </is>
      </c>
      <c r="F12" s="6">
        <f>IF(B12="","",IFERROR(INDEX(Products!$E:$E,MATCH(B12,Products!$A:$A,0)),0))</f>
        <v/>
      </c>
      <c r="G12" s="6">
        <f>IF(B12="","",N(C12)*N(F12))</f>
        <v/>
      </c>
      <c r="H12">
        <f>IF(B12="","",IFERROR(INDEX(Products!$B:$B,MATCH(B12,Products!$A:$A,0)),"SKU not found"))</f>
        <v/>
      </c>
    </row>
    <row r="13">
      <c r="A13" s="7" t="n">
        <v>40848</v>
      </c>
      <c r="B13" s="4" t="inlineStr">
        <is>
          <t>22469</t>
        </is>
      </c>
      <c r="C13" s="4" t="n">
        <v>12</v>
      </c>
      <c r="D13" s="4" t="inlineStr">
        <is>
          <t>Ireland</t>
        </is>
      </c>
      <c r="E13" s="4" t="inlineStr">
        <is>
          <t>1 invoices</t>
        </is>
      </c>
      <c r="F13" s="6">
        <f>IF(B13="","",IFERROR(INDEX(Products!$E:$E,MATCH(B13,Products!$A:$A,0)),0))</f>
        <v/>
      </c>
      <c r="G13" s="6">
        <f>IF(B13="","",N(C13)*N(F13))</f>
        <v/>
      </c>
      <c r="H13">
        <f>IF(B13="","",IFERROR(INDEX(Products!$B:$B,MATCH(B13,Products!$A:$A,0)),"SKU not found"))</f>
        <v/>
      </c>
    </row>
    <row r="14">
      <c r="A14" s="7" t="n">
        <v>40848</v>
      </c>
      <c r="B14" s="4" t="inlineStr">
        <is>
          <t>22469</t>
        </is>
      </c>
      <c r="C14" s="4" t="n">
        <v>50</v>
      </c>
      <c r="D14" s="4" t="inlineStr">
        <is>
          <t>UK</t>
        </is>
      </c>
      <c r="E14" s="4" t="inlineStr">
        <is>
          <t>4 invoices</t>
        </is>
      </c>
      <c r="F14" s="6">
        <f>IF(B14="","",IFERROR(INDEX(Products!$E:$E,MATCH(B14,Products!$A:$A,0)),0))</f>
        <v/>
      </c>
      <c r="G14" s="6">
        <f>IF(B14="","",N(C14)*N(F14))</f>
        <v/>
      </c>
      <c r="H14">
        <f>IF(B14="","",IFERROR(INDEX(Products!$B:$B,MATCH(B14,Products!$A:$A,0)),"SKU not found"))</f>
        <v/>
      </c>
    </row>
    <row r="15">
      <c r="A15" s="7" t="n">
        <v>40848</v>
      </c>
      <c r="B15" s="4" t="inlineStr">
        <is>
          <t>22720</t>
        </is>
      </c>
      <c r="C15" s="4" t="n">
        <v>89</v>
      </c>
      <c r="D15" s="4" t="inlineStr">
        <is>
          <t>UK</t>
        </is>
      </c>
      <c r="E15" s="4" t="inlineStr">
        <is>
          <t>5 invoices</t>
        </is>
      </c>
      <c r="F15" s="6">
        <f>IF(B15="","",IFERROR(INDEX(Products!$E:$E,MATCH(B15,Products!$A:$A,0)),0))</f>
        <v/>
      </c>
      <c r="G15" s="6">
        <f>IF(B15="","",N(C15)*N(F15))</f>
        <v/>
      </c>
      <c r="H15">
        <f>IF(B15="","",IFERROR(INDEX(Products!$B:$B,MATCH(B15,Products!$A:$A,0)),"SKU not found"))</f>
        <v/>
      </c>
    </row>
    <row r="16">
      <c r="A16" s="7" t="n">
        <v>40848</v>
      </c>
      <c r="B16" s="4" t="inlineStr">
        <is>
          <t>47566</t>
        </is>
      </c>
      <c r="C16" s="4" t="n">
        <v>5</v>
      </c>
      <c r="D16" s="4" t="inlineStr">
        <is>
          <t>UK</t>
        </is>
      </c>
      <c r="E16" s="4" t="inlineStr">
        <is>
          <t>2 invoices</t>
        </is>
      </c>
      <c r="F16" s="6">
        <f>IF(B16="","",IFERROR(INDEX(Products!$E:$E,MATCH(B16,Products!$A:$A,0)),0))</f>
        <v/>
      </c>
      <c r="G16" s="6">
        <f>IF(B16="","",N(C16)*N(F16))</f>
        <v/>
      </c>
      <c r="H16">
        <f>IF(B16="","",IFERROR(INDEX(Products!$B:$B,MATCH(B16,Products!$A:$A,0)),"SKU not found"))</f>
        <v/>
      </c>
    </row>
    <row r="17">
      <c r="A17" s="7" t="n">
        <v>40848</v>
      </c>
      <c r="B17" s="4" t="inlineStr">
        <is>
          <t>84879</t>
        </is>
      </c>
      <c r="C17" s="4" t="n">
        <v>24</v>
      </c>
      <c r="D17" s="4" t="inlineStr">
        <is>
          <t>Ireland</t>
        </is>
      </c>
      <c r="E17" s="4" t="inlineStr">
        <is>
          <t>1 invoices</t>
        </is>
      </c>
      <c r="F17" s="6">
        <f>IF(B17="","",IFERROR(INDEX(Products!$E:$E,MATCH(B17,Products!$A:$A,0)),0))</f>
        <v/>
      </c>
      <c r="G17" s="6">
        <f>IF(B17="","",N(C17)*N(F17))</f>
        <v/>
      </c>
      <c r="H17">
        <f>IF(B17="","",IFERROR(INDEX(Products!$B:$B,MATCH(B17,Products!$A:$A,0)),"SKU not found"))</f>
        <v/>
      </c>
    </row>
    <row r="18">
      <c r="A18" s="7" t="n">
        <v>40848</v>
      </c>
      <c r="B18" s="4" t="inlineStr">
        <is>
          <t>84879</t>
        </is>
      </c>
      <c r="C18" s="4" t="n">
        <v>270</v>
      </c>
      <c r="D18" s="4" t="inlineStr">
        <is>
          <t>UK</t>
        </is>
      </c>
      <c r="E18" s="4" t="inlineStr">
        <is>
          <t>8 invoices</t>
        </is>
      </c>
      <c r="F18" s="6">
        <f>IF(B18="","",IFERROR(INDEX(Products!$E:$E,MATCH(B18,Products!$A:$A,0)),0))</f>
        <v/>
      </c>
      <c r="G18" s="6">
        <f>IF(B18="","",N(C18)*N(F18))</f>
        <v/>
      </c>
      <c r="H18">
        <f>IF(B18="","",IFERROR(INDEX(Products!$B:$B,MATCH(B18,Products!$A:$A,0)),"SKU not found"))</f>
        <v/>
      </c>
    </row>
    <row r="19">
      <c r="A19" s="7" t="n">
        <v>40848</v>
      </c>
      <c r="B19" s="4" t="inlineStr">
        <is>
          <t>85099B</t>
        </is>
      </c>
      <c r="C19" s="4" t="n">
        <v>84</v>
      </c>
      <c r="D19" s="4" t="inlineStr">
        <is>
          <t>UK</t>
        </is>
      </c>
      <c r="E19" s="4" t="inlineStr">
        <is>
          <t>6 invoices</t>
        </is>
      </c>
      <c r="F19" s="6">
        <f>IF(B19="","",IFERROR(INDEX(Products!$E:$E,MATCH(B19,Products!$A:$A,0)),0))</f>
        <v/>
      </c>
      <c r="G19" s="6">
        <f>IF(B19="","",N(C19)*N(F19))</f>
        <v/>
      </c>
      <c r="H19">
        <f>IF(B19="","",IFERROR(INDEX(Products!$B:$B,MATCH(B19,Products!$A:$A,0)),"SKU not found"))</f>
        <v/>
      </c>
    </row>
    <row r="20">
      <c r="A20" s="7" t="n">
        <v>40848</v>
      </c>
      <c r="B20" s="4" t="inlineStr">
        <is>
          <t>85123A</t>
        </is>
      </c>
      <c r="C20" s="4" t="n">
        <v>39</v>
      </c>
      <c r="D20" s="4" t="inlineStr">
        <is>
          <t>UK</t>
        </is>
      </c>
      <c r="E20" s="4" t="inlineStr">
        <is>
          <t>9 invoices</t>
        </is>
      </c>
      <c r="F20" s="6">
        <f>IF(B20="","",IFERROR(INDEX(Products!$E:$E,MATCH(B20,Products!$A:$A,0)),0))</f>
        <v/>
      </c>
      <c r="G20" s="6">
        <f>IF(B20="","",N(C20)*N(F20))</f>
        <v/>
      </c>
      <c r="H20">
        <f>IF(B20="","",IFERROR(INDEX(Products!$B:$B,MATCH(B20,Products!$A:$A,0)),"SKU not found"))</f>
        <v/>
      </c>
    </row>
    <row r="21">
      <c r="A21" s="7" t="n">
        <v>40849</v>
      </c>
      <c r="B21" s="4" t="inlineStr">
        <is>
          <t>20725</t>
        </is>
      </c>
      <c r="C21" s="4" t="n">
        <v>17</v>
      </c>
      <c r="D21" s="4" t="inlineStr">
        <is>
          <t>UK</t>
        </is>
      </c>
      <c r="E21" s="4" t="inlineStr">
        <is>
          <t>3 invoices</t>
        </is>
      </c>
      <c r="F21" s="6">
        <f>IF(B21="","",IFERROR(INDEX(Products!$E:$E,MATCH(B21,Products!$A:$A,0)),0))</f>
        <v/>
      </c>
      <c r="G21" s="6">
        <f>IF(B21="","",N(C21)*N(F21))</f>
        <v/>
      </c>
      <c r="H21">
        <f>IF(B21="","",IFERROR(INDEX(Products!$B:$B,MATCH(B21,Products!$A:$A,0)),"SKU not found"))</f>
        <v/>
      </c>
    </row>
    <row r="22">
      <c r="A22" s="7" t="n">
        <v>40849</v>
      </c>
      <c r="B22" s="4" t="inlineStr">
        <is>
          <t>20725</t>
        </is>
      </c>
      <c r="C22" s="4" t="n">
        <v>100</v>
      </c>
      <c r="D22" s="4" t="inlineStr">
        <is>
          <t>Other EU/Intl</t>
        </is>
      </c>
      <c r="E22" s="4" t="inlineStr">
        <is>
          <t>1 invoices</t>
        </is>
      </c>
      <c r="F22" s="6">
        <f>IF(B22="","",IFERROR(INDEX(Products!$E:$E,MATCH(B22,Products!$A:$A,0)),0))</f>
        <v/>
      </c>
      <c r="G22" s="6">
        <f>IF(B22="","",N(C22)*N(F22))</f>
        <v/>
      </c>
      <c r="H22">
        <f>IF(B22="","",IFERROR(INDEX(Products!$B:$B,MATCH(B22,Products!$A:$A,0)),"SKU not found"))</f>
        <v/>
      </c>
    </row>
    <row r="23">
      <c r="A23" s="7" t="n">
        <v>40849</v>
      </c>
      <c r="B23" s="4" t="inlineStr">
        <is>
          <t>20727</t>
        </is>
      </c>
      <c r="C23" s="4" t="n">
        <v>16</v>
      </c>
      <c r="D23" s="4" t="inlineStr">
        <is>
          <t>UK</t>
        </is>
      </c>
      <c r="E23" s="4" t="inlineStr">
        <is>
          <t>3 invoices</t>
        </is>
      </c>
      <c r="F23" s="6">
        <f>IF(B23="","",IFERROR(INDEX(Products!$E:$E,MATCH(B23,Products!$A:$A,0)),0))</f>
        <v/>
      </c>
      <c r="G23" s="6">
        <f>IF(B23="","",N(C23)*N(F23))</f>
        <v/>
      </c>
      <c r="H23">
        <f>IF(B23="","",IFERROR(INDEX(Products!$B:$B,MATCH(B23,Products!$A:$A,0)),"SKU not found"))</f>
        <v/>
      </c>
    </row>
    <row r="24">
      <c r="A24" s="7" t="n">
        <v>40849</v>
      </c>
      <c r="B24" s="4" t="inlineStr">
        <is>
          <t>21212</t>
        </is>
      </c>
      <c r="C24" s="4" t="n">
        <v>99</v>
      </c>
      <c r="D24" s="4" t="inlineStr">
        <is>
          <t>UK</t>
        </is>
      </c>
      <c r="E24" s="4" t="inlineStr">
        <is>
          <t>7 invoices</t>
        </is>
      </c>
      <c r="F24" s="6">
        <f>IF(B24="","",IFERROR(INDEX(Products!$E:$E,MATCH(B24,Products!$A:$A,0)),0))</f>
        <v/>
      </c>
      <c r="G24" s="6">
        <f>IF(B24="","",N(C24)*N(F24))</f>
        <v/>
      </c>
      <c r="H24">
        <f>IF(B24="","",IFERROR(INDEX(Products!$B:$B,MATCH(B24,Products!$A:$A,0)),"SKU not found"))</f>
        <v/>
      </c>
    </row>
    <row r="25">
      <c r="A25" s="7" t="n">
        <v>40849</v>
      </c>
      <c r="B25" s="4" t="inlineStr">
        <is>
          <t>21212</t>
        </is>
      </c>
      <c r="C25" s="4" t="n">
        <v>120</v>
      </c>
      <c r="D25" s="4" t="inlineStr">
        <is>
          <t>Other EU/Intl</t>
        </is>
      </c>
      <c r="E25" s="4" t="inlineStr">
        <is>
          <t>1 invoices</t>
        </is>
      </c>
      <c r="F25" s="6">
        <f>IF(B25="","",IFERROR(INDEX(Products!$E:$E,MATCH(B25,Products!$A:$A,0)),0))</f>
        <v/>
      </c>
      <c r="G25" s="6">
        <f>IF(B25="","",N(C25)*N(F25))</f>
        <v/>
      </c>
      <c r="H25">
        <f>IF(B25="","",IFERROR(INDEX(Products!$B:$B,MATCH(B25,Products!$A:$A,0)),"SKU not found"))</f>
        <v/>
      </c>
    </row>
    <row r="26">
      <c r="A26" s="7" t="n">
        <v>40849</v>
      </c>
      <c r="B26" s="4" t="inlineStr">
        <is>
          <t>21931</t>
        </is>
      </c>
      <c r="C26" s="4" t="n">
        <v>13</v>
      </c>
      <c r="D26" s="4" t="inlineStr">
        <is>
          <t>UK</t>
        </is>
      </c>
      <c r="E26" s="4" t="inlineStr">
        <is>
          <t>3 invoices</t>
        </is>
      </c>
      <c r="F26" s="6">
        <f>IF(B26="","",IFERROR(INDEX(Products!$E:$E,MATCH(B26,Products!$A:$A,0)),0))</f>
        <v/>
      </c>
      <c r="G26" s="6">
        <f>IF(B26="","",N(C26)*N(F26))</f>
        <v/>
      </c>
      <c r="H26">
        <f>IF(B26="","",IFERROR(INDEX(Products!$B:$B,MATCH(B26,Products!$A:$A,0)),"SKU not found"))</f>
        <v/>
      </c>
    </row>
    <row r="27">
      <c r="A27" s="7" t="n">
        <v>40849</v>
      </c>
      <c r="B27" s="4" t="inlineStr">
        <is>
          <t>22197</t>
        </is>
      </c>
      <c r="C27" s="4" t="n">
        <v>172</v>
      </c>
      <c r="D27" s="4" t="inlineStr">
        <is>
          <t>UK</t>
        </is>
      </c>
      <c r="E27" s="4" t="inlineStr">
        <is>
          <t>8 invoices</t>
        </is>
      </c>
      <c r="F27" s="6">
        <f>IF(B27="","",IFERROR(INDEX(Products!$E:$E,MATCH(B27,Products!$A:$A,0)),0))</f>
        <v/>
      </c>
      <c r="G27" s="6">
        <f>IF(B27="","",N(C27)*N(F27))</f>
        <v/>
      </c>
      <c r="H27">
        <f>IF(B27="","",IFERROR(INDEX(Products!$B:$B,MATCH(B27,Products!$A:$A,0)),"SKU not found"))</f>
        <v/>
      </c>
    </row>
    <row r="28">
      <c r="A28" s="7" t="n">
        <v>40849</v>
      </c>
      <c r="B28" s="4" t="inlineStr">
        <is>
          <t>22383</t>
        </is>
      </c>
      <c r="C28" s="4" t="n">
        <v>21</v>
      </c>
      <c r="D28" s="4" t="inlineStr">
        <is>
          <t>UK</t>
        </is>
      </c>
      <c r="E28" s="4" t="inlineStr">
        <is>
          <t>2 invoices</t>
        </is>
      </c>
      <c r="F28" s="6">
        <f>IF(B28="","",IFERROR(INDEX(Products!$E:$E,MATCH(B28,Products!$A:$A,0)),0))</f>
        <v/>
      </c>
      <c r="G28" s="6">
        <f>IF(B28="","",N(C28)*N(F28))</f>
        <v/>
      </c>
      <c r="H28">
        <f>IF(B28="","",IFERROR(INDEX(Products!$B:$B,MATCH(B28,Products!$A:$A,0)),"SKU not found"))</f>
        <v/>
      </c>
    </row>
    <row r="29">
      <c r="A29" s="7" t="n">
        <v>40849</v>
      </c>
      <c r="B29" s="4" t="inlineStr">
        <is>
          <t>22386</t>
        </is>
      </c>
      <c r="C29" s="4" t="n">
        <v>10</v>
      </c>
      <c r="D29" s="4" t="inlineStr">
        <is>
          <t>France</t>
        </is>
      </c>
      <c r="E29" s="4" t="inlineStr">
        <is>
          <t>1 invoices</t>
        </is>
      </c>
      <c r="F29" s="6">
        <f>IF(B29="","",IFERROR(INDEX(Products!$E:$E,MATCH(B29,Products!$A:$A,0)),0))</f>
        <v/>
      </c>
      <c r="G29" s="6">
        <f>IF(B29="","",N(C29)*N(F29))</f>
        <v/>
      </c>
      <c r="H29">
        <f>IF(B29="","",IFERROR(INDEX(Products!$B:$B,MATCH(B29,Products!$A:$A,0)),"SKU not found"))</f>
        <v/>
      </c>
    </row>
    <row r="30">
      <c r="A30" s="7" t="n">
        <v>40849</v>
      </c>
      <c r="B30" s="4" t="inlineStr">
        <is>
          <t>22386</t>
        </is>
      </c>
      <c r="C30" s="4" t="n">
        <v>101</v>
      </c>
      <c r="D30" s="4" t="inlineStr">
        <is>
          <t>UK</t>
        </is>
      </c>
      <c r="E30" s="4" t="inlineStr">
        <is>
          <t>2 invoices</t>
        </is>
      </c>
      <c r="F30" s="6">
        <f>IF(B30="","",IFERROR(INDEX(Products!$E:$E,MATCH(B30,Products!$A:$A,0)),0))</f>
        <v/>
      </c>
      <c r="G30" s="6">
        <f>IF(B30="","",N(C30)*N(F30))</f>
        <v/>
      </c>
      <c r="H30">
        <f>IF(B30="","",IFERROR(INDEX(Products!$B:$B,MATCH(B30,Products!$A:$A,0)),"SKU not found"))</f>
        <v/>
      </c>
    </row>
    <row r="31">
      <c r="A31" s="7" t="n">
        <v>40849</v>
      </c>
      <c r="B31" s="4" t="inlineStr">
        <is>
          <t>22423</t>
        </is>
      </c>
      <c r="C31" s="4" t="n">
        <v>1</v>
      </c>
      <c r="D31" s="4" t="inlineStr">
        <is>
          <t>Germany</t>
        </is>
      </c>
      <c r="E31" s="4" t="inlineStr">
        <is>
          <t>1 invoices</t>
        </is>
      </c>
      <c r="F31" s="6">
        <f>IF(B31="","",IFERROR(INDEX(Products!$E:$E,MATCH(B31,Products!$A:$A,0)),0))</f>
        <v/>
      </c>
      <c r="G31" s="6">
        <f>IF(B31="","",N(C31)*N(F31))</f>
        <v/>
      </c>
      <c r="H31">
        <f>IF(B31="","",IFERROR(INDEX(Products!$B:$B,MATCH(B31,Products!$A:$A,0)),"SKU not found"))</f>
        <v/>
      </c>
    </row>
    <row r="32">
      <c r="A32" s="7" t="n">
        <v>40849</v>
      </c>
      <c r="B32" s="4" t="inlineStr">
        <is>
          <t>22423</t>
        </is>
      </c>
      <c r="C32" s="4" t="n">
        <v>4</v>
      </c>
      <c r="D32" s="4" t="inlineStr">
        <is>
          <t>UK</t>
        </is>
      </c>
      <c r="E32" s="4" t="inlineStr">
        <is>
          <t>3 invoices</t>
        </is>
      </c>
      <c r="F32" s="6">
        <f>IF(B32="","",IFERROR(INDEX(Products!$E:$E,MATCH(B32,Products!$A:$A,0)),0))</f>
        <v/>
      </c>
      <c r="G32" s="6">
        <f>IF(B32="","",N(C32)*N(F32))</f>
        <v/>
      </c>
      <c r="H32">
        <f>IF(B32="","",IFERROR(INDEX(Products!$B:$B,MATCH(B32,Products!$A:$A,0)),"SKU not found"))</f>
        <v/>
      </c>
    </row>
    <row r="33">
      <c r="A33" s="7" t="n">
        <v>40849</v>
      </c>
      <c r="B33" s="4" t="inlineStr">
        <is>
          <t>22457</t>
        </is>
      </c>
      <c r="C33" s="4" t="n">
        <v>8</v>
      </c>
      <c r="D33" s="4" t="inlineStr">
        <is>
          <t>UK</t>
        </is>
      </c>
      <c r="E33" s="4" t="inlineStr">
        <is>
          <t>2 invoices</t>
        </is>
      </c>
      <c r="F33" s="6">
        <f>IF(B33="","",IFERROR(INDEX(Products!$E:$E,MATCH(B33,Products!$A:$A,0)),0))</f>
        <v/>
      </c>
      <c r="G33" s="6">
        <f>IF(B33="","",N(C33)*N(F33))</f>
        <v/>
      </c>
      <c r="H33">
        <f>IF(B33="","",IFERROR(INDEX(Products!$B:$B,MATCH(B33,Products!$A:$A,0)),"SKU not found"))</f>
        <v/>
      </c>
    </row>
    <row r="34">
      <c r="A34" s="7" t="n">
        <v>40849</v>
      </c>
      <c r="B34" s="4" t="inlineStr">
        <is>
          <t>22469</t>
        </is>
      </c>
      <c r="C34" s="4" t="n">
        <v>3</v>
      </c>
      <c r="D34" s="4" t="inlineStr">
        <is>
          <t>UK</t>
        </is>
      </c>
      <c r="E34" s="4" t="inlineStr">
        <is>
          <t>1 invoices</t>
        </is>
      </c>
      <c r="F34" s="6">
        <f>IF(B34="","",IFERROR(INDEX(Products!$E:$E,MATCH(B34,Products!$A:$A,0)),0))</f>
        <v/>
      </c>
      <c r="G34" s="6">
        <f>IF(B34="","",N(C34)*N(F34))</f>
        <v/>
      </c>
      <c r="H34">
        <f>IF(B34="","",IFERROR(INDEX(Products!$B:$B,MATCH(B34,Products!$A:$A,0)),"SKU not found"))</f>
        <v/>
      </c>
    </row>
    <row r="35">
      <c r="A35" s="7" t="n">
        <v>40849</v>
      </c>
      <c r="B35" s="4" t="inlineStr">
        <is>
          <t>22469</t>
        </is>
      </c>
      <c r="C35" s="4" t="n">
        <v>12</v>
      </c>
      <c r="D35" s="4" t="inlineStr">
        <is>
          <t>Other EU/Intl</t>
        </is>
      </c>
      <c r="E35" s="4" t="inlineStr">
        <is>
          <t>1 invoices</t>
        </is>
      </c>
      <c r="F35" s="6">
        <f>IF(B35="","",IFERROR(INDEX(Products!$E:$E,MATCH(B35,Products!$A:$A,0)),0))</f>
        <v/>
      </c>
      <c r="G35" s="6">
        <f>IF(B35="","",N(C35)*N(F35))</f>
        <v/>
      </c>
      <c r="H35">
        <f>IF(B35="","",IFERROR(INDEX(Products!$B:$B,MATCH(B35,Products!$A:$A,0)),"SKU not found"))</f>
        <v/>
      </c>
    </row>
    <row r="36">
      <c r="A36" s="7" t="n">
        <v>40849</v>
      </c>
      <c r="B36" s="4" t="inlineStr">
        <is>
          <t>22720</t>
        </is>
      </c>
      <c r="C36" s="4" t="n">
        <v>3</v>
      </c>
      <c r="D36" s="4" t="inlineStr">
        <is>
          <t>Germany</t>
        </is>
      </c>
      <c r="E36" s="4" t="inlineStr">
        <is>
          <t>1 invoices</t>
        </is>
      </c>
      <c r="F36" s="6">
        <f>IF(B36="","",IFERROR(INDEX(Products!$E:$E,MATCH(B36,Products!$A:$A,0)),0))</f>
        <v/>
      </c>
      <c r="G36" s="6">
        <f>IF(B36="","",N(C36)*N(F36))</f>
        <v/>
      </c>
      <c r="H36">
        <f>IF(B36="","",IFERROR(INDEX(Products!$B:$B,MATCH(B36,Products!$A:$A,0)),"SKU not found"))</f>
        <v/>
      </c>
    </row>
    <row r="37">
      <c r="A37" s="7" t="n">
        <v>40849</v>
      </c>
      <c r="B37" s="4" t="inlineStr">
        <is>
          <t>22720</t>
        </is>
      </c>
      <c r="C37" s="4" t="n">
        <v>20</v>
      </c>
      <c r="D37" s="4" t="inlineStr">
        <is>
          <t>UK</t>
        </is>
      </c>
      <c r="E37" s="4" t="inlineStr">
        <is>
          <t>8 invoices</t>
        </is>
      </c>
      <c r="F37" s="6">
        <f>IF(B37="","",IFERROR(INDEX(Products!$E:$E,MATCH(B37,Products!$A:$A,0)),0))</f>
        <v/>
      </c>
      <c r="G37" s="6">
        <f>IF(B37="","",N(C37)*N(F37))</f>
        <v/>
      </c>
      <c r="H37">
        <f>IF(B37="","",IFERROR(INDEX(Products!$B:$B,MATCH(B37,Products!$A:$A,0)),"SKU not found"))</f>
        <v/>
      </c>
    </row>
    <row r="38">
      <c r="A38" s="7" t="n">
        <v>40849</v>
      </c>
      <c r="B38" s="4" t="inlineStr">
        <is>
          <t>47566</t>
        </is>
      </c>
      <c r="C38" s="4" t="n">
        <v>8</v>
      </c>
      <c r="D38" s="4" t="inlineStr">
        <is>
          <t>UK</t>
        </is>
      </c>
      <c r="E38" s="4" t="inlineStr">
        <is>
          <t>1 invoices</t>
        </is>
      </c>
      <c r="F38" s="6">
        <f>IF(B38="","",IFERROR(INDEX(Products!$E:$E,MATCH(B38,Products!$A:$A,0)),0))</f>
        <v/>
      </c>
      <c r="G38" s="6">
        <f>IF(B38="","",N(C38)*N(F38))</f>
        <v/>
      </c>
      <c r="H38">
        <f>IF(B38="","",IFERROR(INDEX(Products!$B:$B,MATCH(B38,Products!$A:$A,0)),"SKU not found"))</f>
        <v/>
      </c>
    </row>
    <row r="39">
      <c r="A39" s="7" t="n">
        <v>40849</v>
      </c>
      <c r="B39" s="4" t="inlineStr">
        <is>
          <t>84879</t>
        </is>
      </c>
      <c r="C39" s="4" t="n">
        <v>128</v>
      </c>
      <c r="D39" s="4" t="inlineStr">
        <is>
          <t>UK</t>
        </is>
      </c>
      <c r="E39" s="4" t="inlineStr">
        <is>
          <t>8 invoices</t>
        </is>
      </c>
      <c r="F39" s="6">
        <f>IF(B39="","",IFERROR(INDEX(Products!$E:$E,MATCH(B39,Products!$A:$A,0)),0))</f>
        <v/>
      </c>
      <c r="G39" s="6">
        <f>IF(B39="","",N(C39)*N(F39))</f>
        <v/>
      </c>
      <c r="H39">
        <f>IF(B39="","",IFERROR(INDEX(Products!$B:$B,MATCH(B39,Products!$A:$A,0)),"SKU not found"))</f>
        <v/>
      </c>
    </row>
    <row r="40">
      <c r="A40" s="7" t="n">
        <v>40849</v>
      </c>
      <c r="B40" s="4" t="inlineStr">
        <is>
          <t>85099B</t>
        </is>
      </c>
      <c r="C40" s="4" t="n">
        <v>20</v>
      </c>
      <c r="D40" s="4" t="inlineStr">
        <is>
          <t>France</t>
        </is>
      </c>
      <c r="E40" s="4" t="inlineStr">
        <is>
          <t>1 invoices</t>
        </is>
      </c>
      <c r="F40" s="6">
        <f>IF(B40="","",IFERROR(INDEX(Products!$E:$E,MATCH(B40,Products!$A:$A,0)),0))</f>
        <v/>
      </c>
      <c r="G40" s="6">
        <f>IF(B40="","",N(C40)*N(F40))</f>
        <v/>
      </c>
      <c r="H40">
        <f>IF(B40="","",IFERROR(INDEX(Products!$B:$B,MATCH(B40,Products!$A:$A,0)),"SKU not found"))</f>
        <v/>
      </c>
    </row>
    <row r="41">
      <c r="A41" s="7" t="n">
        <v>40849</v>
      </c>
      <c r="B41" s="4" t="inlineStr">
        <is>
          <t>85099B</t>
        </is>
      </c>
      <c r="C41" s="4" t="n">
        <v>24</v>
      </c>
      <c r="D41" s="4" t="inlineStr">
        <is>
          <t>UK</t>
        </is>
      </c>
      <c r="E41" s="4" t="inlineStr">
        <is>
          <t>5 invoices</t>
        </is>
      </c>
      <c r="F41" s="6">
        <f>IF(B41="","",IFERROR(INDEX(Products!$E:$E,MATCH(B41,Products!$A:$A,0)),0))</f>
        <v/>
      </c>
      <c r="G41" s="6">
        <f>IF(B41="","",N(C41)*N(F41))</f>
        <v/>
      </c>
      <c r="H41">
        <f>IF(B41="","",IFERROR(INDEX(Products!$B:$B,MATCH(B41,Products!$A:$A,0)),"SKU not found"))</f>
        <v/>
      </c>
    </row>
    <row r="42">
      <c r="A42" s="7" t="n">
        <v>40849</v>
      </c>
      <c r="B42" s="4" t="inlineStr">
        <is>
          <t>85099B</t>
        </is>
      </c>
      <c r="C42" s="4" t="n">
        <v>200</v>
      </c>
      <c r="D42" s="4" t="inlineStr">
        <is>
          <t>Other EU/Intl</t>
        </is>
      </c>
      <c r="E42" s="4" t="inlineStr">
        <is>
          <t>1 invoices</t>
        </is>
      </c>
      <c r="F42" s="6">
        <f>IF(B42="","",IFERROR(INDEX(Products!$E:$E,MATCH(B42,Products!$A:$A,0)),0))</f>
        <v/>
      </c>
      <c r="G42" s="6">
        <f>IF(B42="","",N(C42)*N(F42))</f>
        <v/>
      </c>
      <c r="H42">
        <f>IF(B42="","",IFERROR(INDEX(Products!$B:$B,MATCH(B42,Products!$A:$A,0)),"SKU not found"))</f>
        <v/>
      </c>
    </row>
    <row r="43">
      <c r="A43" s="7" t="n">
        <v>40849</v>
      </c>
      <c r="B43" s="4" t="inlineStr">
        <is>
          <t>85123A</t>
        </is>
      </c>
      <c r="C43" s="4" t="n">
        <v>80</v>
      </c>
      <c r="D43" s="4" t="inlineStr">
        <is>
          <t>UK</t>
        </is>
      </c>
      <c r="E43" s="4" t="inlineStr">
        <is>
          <t>6 invoices</t>
        </is>
      </c>
      <c r="F43" s="6">
        <f>IF(B43="","",IFERROR(INDEX(Products!$E:$E,MATCH(B43,Products!$A:$A,0)),0))</f>
        <v/>
      </c>
      <c r="G43" s="6">
        <f>IF(B43="","",N(C43)*N(F43))</f>
        <v/>
      </c>
      <c r="H43">
        <f>IF(B43="","",IFERROR(INDEX(Products!$B:$B,MATCH(B43,Products!$A:$A,0)),"SKU not found"))</f>
        <v/>
      </c>
    </row>
    <row r="44">
      <c r="A44" s="7" t="n">
        <v>40850</v>
      </c>
      <c r="B44" s="4" t="inlineStr">
        <is>
          <t>20725</t>
        </is>
      </c>
      <c r="C44" s="4" t="n">
        <v>30</v>
      </c>
      <c r="D44" s="4" t="inlineStr">
        <is>
          <t>UK</t>
        </is>
      </c>
      <c r="E44" s="4" t="inlineStr">
        <is>
          <t>2 invoices</t>
        </is>
      </c>
      <c r="F44" s="6">
        <f>IF(B44="","",IFERROR(INDEX(Products!$E:$E,MATCH(B44,Products!$A:$A,0)),0))</f>
        <v/>
      </c>
      <c r="G44" s="6">
        <f>IF(B44="","",N(C44)*N(F44))</f>
        <v/>
      </c>
      <c r="H44">
        <f>IF(B44="","",IFERROR(INDEX(Products!$B:$B,MATCH(B44,Products!$A:$A,0)),"SKU not found"))</f>
        <v/>
      </c>
    </row>
    <row r="45">
      <c r="A45" s="7" t="n">
        <v>40850</v>
      </c>
      <c r="B45" s="4" t="inlineStr">
        <is>
          <t>20727</t>
        </is>
      </c>
      <c r="C45" s="4" t="n">
        <v>5</v>
      </c>
      <c r="D45" s="4" t="inlineStr">
        <is>
          <t>UK</t>
        </is>
      </c>
      <c r="E45" s="4" t="inlineStr">
        <is>
          <t>1 invoices</t>
        </is>
      </c>
      <c r="F45" s="6">
        <f>IF(B45="","",IFERROR(INDEX(Products!$E:$E,MATCH(B45,Products!$A:$A,0)),0))</f>
        <v/>
      </c>
      <c r="G45" s="6">
        <f>IF(B45="","",N(C45)*N(F45))</f>
        <v/>
      </c>
      <c r="H45">
        <f>IF(B45="","",IFERROR(INDEX(Products!$B:$B,MATCH(B45,Products!$A:$A,0)),"SKU not found"))</f>
        <v/>
      </c>
    </row>
    <row r="46">
      <c r="A46" s="7" t="n">
        <v>40850</v>
      </c>
      <c r="B46" s="4" t="inlineStr">
        <is>
          <t>21212</t>
        </is>
      </c>
      <c r="C46" s="4" t="n">
        <v>24</v>
      </c>
      <c r="D46" s="4" t="inlineStr">
        <is>
          <t>France</t>
        </is>
      </c>
      <c r="E46" s="4" t="inlineStr">
        <is>
          <t>1 invoices</t>
        </is>
      </c>
      <c r="F46" s="6">
        <f>IF(B46="","",IFERROR(INDEX(Products!$E:$E,MATCH(B46,Products!$A:$A,0)),0))</f>
        <v/>
      </c>
      <c r="G46" s="6">
        <f>IF(B46="","",N(C46)*N(F46))</f>
        <v/>
      </c>
      <c r="H46">
        <f>IF(B46="","",IFERROR(INDEX(Products!$B:$B,MATCH(B46,Products!$A:$A,0)),"SKU not found"))</f>
        <v/>
      </c>
    </row>
    <row r="47">
      <c r="A47" s="7" t="n">
        <v>40850</v>
      </c>
      <c r="B47" s="4" t="inlineStr">
        <is>
          <t>21212</t>
        </is>
      </c>
      <c r="C47" s="4" t="n">
        <v>505</v>
      </c>
      <c r="D47" s="4" t="inlineStr">
        <is>
          <t>UK</t>
        </is>
      </c>
      <c r="E47" s="4" t="inlineStr">
        <is>
          <t>3 invoices</t>
        </is>
      </c>
      <c r="F47" s="6">
        <f>IF(B47="","",IFERROR(INDEX(Products!$E:$E,MATCH(B47,Products!$A:$A,0)),0))</f>
        <v/>
      </c>
      <c r="G47" s="6">
        <f>IF(B47="","",N(C47)*N(F47))</f>
        <v/>
      </c>
      <c r="H47">
        <f>IF(B47="","",IFERROR(INDEX(Products!$B:$B,MATCH(B47,Products!$A:$A,0)),"SKU not found"))</f>
        <v/>
      </c>
    </row>
    <row r="48">
      <c r="A48" s="7" t="n">
        <v>40850</v>
      </c>
      <c r="B48" s="4" t="inlineStr">
        <is>
          <t>21931</t>
        </is>
      </c>
      <c r="C48" s="4" t="n">
        <v>16</v>
      </c>
      <c r="D48" s="4" t="inlineStr">
        <is>
          <t>UK</t>
        </is>
      </c>
      <c r="E48" s="4" t="inlineStr">
        <is>
          <t>4 invoices</t>
        </is>
      </c>
      <c r="F48" s="6">
        <f>IF(B48="","",IFERROR(INDEX(Products!$E:$E,MATCH(B48,Products!$A:$A,0)),0))</f>
        <v/>
      </c>
      <c r="G48" s="6">
        <f>IF(B48="","",N(C48)*N(F48))</f>
        <v/>
      </c>
      <c r="H48">
        <f>IF(B48="","",IFERROR(INDEX(Products!$B:$B,MATCH(B48,Products!$A:$A,0)),"SKU not found"))</f>
        <v/>
      </c>
    </row>
    <row r="49">
      <c r="A49" s="7" t="n">
        <v>40850</v>
      </c>
      <c r="B49" s="4" t="inlineStr">
        <is>
          <t>22197</t>
        </is>
      </c>
      <c r="C49" s="4" t="n">
        <v>8</v>
      </c>
      <c r="D49" s="4" t="inlineStr">
        <is>
          <t>UK</t>
        </is>
      </c>
      <c r="E49" s="4" t="inlineStr">
        <is>
          <t>2 invoices</t>
        </is>
      </c>
      <c r="F49" s="6">
        <f>IF(B49="","",IFERROR(INDEX(Products!$E:$E,MATCH(B49,Products!$A:$A,0)),0))</f>
        <v/>
      </c>
      <c r="G49" s="6">
        <f>IF(B49="","",N(C49)*N(F49))</f>
        <v/>
      </c>
      <c r="H49">
        <f>IF(B49="","",IFERROR(INDEX(Products!$B:$B,MATCH(B49,Products!$A:$A,0)),"SKU not found"))</f>
        <v/>
      </c>
    </row>
    <row r="50">
      <c r="A50" s="7" t="n">
        <v>40850</v>
      </c>
      <c r="B50" s="4" t="inlineStr">
        <is>
          <t>22197</t>
        </is>
      </c>
      <c r="C50" s="4" t="n">
        <v>12</v>
      </c>
      <c r="D50" s="4" t="inlineStr">
        <is>
          <t>France</t>
        </is>
      </c>
      <c r="E50" s="4" t="inlineStr">
        <is>
          <t>1 invoices</t>
        </is>
      </c>
      <c r="F50" s="6">
        <f>IF(B50="","",IFERROR(INDEX(Products!$E:$E,MATCH(B50,Products!$A:$A,0)),0))</f>
        <v/>
      </c>
      <c r="G50" s="6">
        <f>IF(B50="","",N(C50)*N(F50))</f>
        <v/>
      </c>
      <c r="H50">
        <f>IF(B50="","",IFERROR(INDEX(Products!$B:$B,MATCH(B50,Products!$A:$A,0)),"SKU not found"))</f>
        <v/>
      </c>
    </row>
    <row r="51">
      <c r="A51" s="7" t="n">
        <v>40850</v>
      </c>
      <c r="B51" s="4" t="inlineStr">
        <is>
          <t>22386</t>
        </is>
      </c>
      <c r="C51" s="4" t="n">
        <v>10</v>
      </c>
      <c r="D51" s="4" t="inlineStr">
        <is>
          <t>Other EU/Intl</t>
        </is>
      </c>
      <c r="E51" s="4" t="inlineStr">
        <is>
          <t>1 invoices</t>
        </is>
      </c>
      <c r="F51" s="6">
        <f>IF(B51="","",IFERROR(INDEX(Products!$E:$E,MATCH(B51,Products!$A:$A,0)),0))</f>
        <v/>
      </c>
      <c r="G51" s="6">
        <f>IF(B51="","",N(C51)*N(F51))</f>
        <v/>
      </c>
      <c r="H51">
        <f>IF(B51="","",IFERROR(INDEX(Products!$B:$B,MATCH(B51,Products!$A:$A,0)),"SKU not found"))</f>
        <v/>
      </c>
    </row>
    <row r="52">
      <c r="A52" s="7" t="n">
        <v>40850</v>
      </c>
      <c r="B52" s="4" t="inlineStr">
        <is>
          <t>22386</t>
        </is>
      </c>
      <c r="C52" s="4" t="n">
        <v>10</v>
      </c>
      <c r="D52" s="4" t="inlineStr">
        <is>
          <t>UK</t>
        </is>
      </c>
      <c r="E52" s="4" t="inlineStr">
        <is>
          <t>1 invoices</t>
        </is>
      </c>
      <c r="F52" s="6">
        <f>IF(B52="","",IFERROR(INDEX(Products!$E:$E,MATCH(B52,Products!$A:$A,0)),0))</f>
        <v/>
      </c>
      <c r="G52" s="6">
        <f>IF(B52="","",N(C52)*N(F52))</f>
        <v/>
      </c>
      <c r="H52">
        <f>IF(B52="","",IFERROR(INDEX(Products!$B:$B,MATCH(B52,Products!$A:$A,0)),"SKU not found"))</f>
        <v/>
      </c>
    </row>
    <row r="53">
      <c r="A53" s="7" t="n">
        <v>40850</v>
      </c>
      <c r="B53" s="4" t="inlineStr">
        <is>
          <t>22423</t>
        </is>
      </c>
      <c r="C53" s="4" t="n">
        <v>65</v>
      </c>
      <c r="D53" s="4" t="inlineStr">
        <is>
          <t>UK</t>
        </is>
      </c>
      <c r="E53" s="4" t="inlineStr">
        <is>
          <t>7 invoices</t>
        </is>
      </c>
      <c r="F53" s="6">
        <f>IF(B53="","",IFERROR(INDEX(Products!$E:$E,MATCH(B53,Products!$A:$A,0)),0))</f>
        <v/>
      </c>
      <c r="G53" s="6">
        <f>IF(B53="","",N(C53)*N(F53))</f>
        <v/>
      </c>
      <c r="H53">
        <f>IF(B53="","",IFERROR(INDEX(Products!$B:$B,MATCH(B53,Products!$A:$A,0)),"SKU not found"))</f>
        <v/>
      </c>
    </row>
    <row r="54">
      <c r="A54" s="7" t="n">
        <v>40850</v>
      </c>
      <c r="B54" s="4" t="inlineStr">
        <is>
          <t>22457</t>
        </is>
      </c>
      <c r="C54" s="4" t="n">
        <v>29</v>
      </c>
      <c r="D54" s="4" t="inlineStr">
        <is>
          <t>UK</t>
        </is>
      </c>
      <c r="E54" s="4" t="inlineStr">
        <is>
          <t>3 invoices</t>
        </is>
      </c>
      <c r="F54" s="6">
        <f>IF(B54="","",IFERROR(INDEX(Products!$E:$E,MATCH(B54,Products!$A:$A,0)),0))</f>
        <v/>
      </c>
      <c r="G54" s="6">
        <f>IF(B54="","",N(C54)*N(F54))</f>
        <v/>
      </c>
      <c r="H54">
        <f>IF(B54="","",IFERROR(INDEX(Products!$B:$B,MATCH(B54,Products!$A:$A,0)),"SKU not found"))</f>
        <v/>
      </c>
    </row>
    <row r="55">
      <c r="A55" s="7" t="n">
        <v>40850</v>
      </c>
      <c r="B55" s="4" t="inlineStr">
        <is>
          <t>22469</t>
        </is>
      </c>
      <c r="C55" s="4" t="n">
        <v>696</v>
      </c>
      <c r="D55" s="4" t="inlineStr">
        <is>
          <t>UK</t>
        </is>
      </c>
      <c r="E55" s="4" t="inlineStr">
        <is>
          <t>7 invoices</t>
        </is>
      </c>
      <c r="F55" s="6">
        <f>IF(B55="","",IFERROR(INDEX(Products!$E:$E,MATCH(B55,Products!$A:$A,0)),0))</f>
        <v/>
      </c>
      <c r="G55" s="6">
        <f>IF(B55="","",N(C55)*N(F55))</f>
        <v/>
      </c>
      <c r="H55">
        <f>IF(B55="","",IFERROR(INDEX(Products!$B:$B,MATCH(B55,Products!$A:$A,0)),"SKU not found"))</f>
        <v/>
      </c>
    </row>
    <row r="56">
      <c r="A56" s="7" t="n">
        <v>40850</v>
      </c>
      <c r="B56" s="4" t="inlineStr">
        <is>
          <t>22720</t>
        </is>
      </c>
      <c r="C56" s="4" t="n">
        <v>16</v>
      </c>
      <c r="D56" s="4" t="inlineStr">
        <is>
          <t>UK</t>
        </is>
      </c>
      <c r="E56" s="4" t="inlineStr">
        <is>
          <t>7 invoices</t>
        </is>
      </c>
      <c r="F56" s="6">
        <f>IF(B56="","",IFERROR(INDEX(Products!$E:$E,MATCH(B56,Products!$A:$A,0)),0))</f>
        <v/>
      </c>
      <c r="G56" s="6">
        <f>IF(B56="","",N(C56)*N(F56))</f>
        <v/>
      </c>
      <c r="H56">
        <f>IF(B56="","",IFERROR(INDEX(Products!$B:$B,MATCH(B56,Products!$A:$A,0)),"SKU not found"))</f>
        <v/>
      </c>
    </row>
    <row r="57">
      <c r="A57" s="7" t="n">
        <v>40850</v>
      </c>
      <c r="B57" s="4" t="inlineStr">
        <is>
          <t>47566</t>
        </is>
      </c>
      <c r="C57" s="4" t="n">
        <v>4</v>
      </c>
      <c r="D57" s="4" t="inlineStr">
        <is>
          <t>UK</t>
        </is>
      </c>
      <c r="E57" s="4" t="inlineStr">
        <is>
          <t>1 invoices</t>
        </is>
      </c>
      <c r="F57" s="6">
        <f>IF(B57="","",IFERROR(INDEX(Products!$E:$E,MATCH(B57,Products!$A:$A,0)),0))</f>
        <v/>
      </c>
      <c r="G57" s="6">
        <f>IF(B57="","",N(C57)*N(F57))</f>
        <v/>
      </c>
      <c r="H57">
        <f>IF(B57="","",IFERROR(INDEX(Products!$B:$B,MATCH(B57,Products!$A:$A,0)),"SKU not found"))</f>
        <v/>
      </c>
    </row>
    <row r="58">
      <c r="A58" s="7" t="n">
        <v>40850</v>
      </c>
      <c r="B58" s="4" t="inlineStr">
        <is>
          <t>84879</t>
        </is>
      </c>
      <c r="C58" s="4" t="n">
        <v>8</v>
      </c>
      <c r="D58" s="4" t="inlineStr">
        <is>
          <t>Other EU/Intl</t>
        </is>
      </c>
      <c r="E58" s="4" t="inlineStr">
        <is>
          <t>1 invoices</t>
        </is>
      </c>
      <c r="F58" s="6">
        <f>IF(B58="","",IFERROR(INDEX(Products!$E:$E,MATCH(B58,Products!$A:$A,0)),0))</f>
        <v/>
      </c>
      <c r="G58" s="6">
        <f>IF(B58="","",N(C58)*N(F58))</f>
        <v/>
      </c>
      <c r="H58">
        <f>IF(B58="","",IFERROR(INDEX(Products!$B:$B,MATCH(B58,Products!$A:$A,0)),"SKU not found"))</f>
        <v/>
      </c>
    </row>
    <row r="59">
      <c r="A59" s="7" t="n">
        <v>40850</v>
      </c>
      <c r="B59" s="4" t="inlineStr">
        <is>
          <t>84879</t>
        </is>
      </c>
      <c r="C59" s="4" t="n">
        <v>16</v>
      </c>
      <c r="D59" s="4" t="inlineStr">
        <is>
          <t>France</t>
        </is>
      </c>
      <c r="E59" s="4" t="inlineStr">
        <is>
          <t>1 invoices</t>
        </is>
      </c>
      <c r="F59" s="6">
        <f>IF(B59="","",IFERROR(INDEX(Products!$E:$E,MATCH(B59,Products!$A:$A,0)),0))</f>
        <v/>
      </c>
      <c r="G59" s="6">
        <f>IF(B59="","",N(C59)*N(F59))</f>
        <v/>
      </c>
      <c r="H59">
        <f>IF(B59="","",IFERROR(INDEX(Products!$B:$B,MATCH(B59,Products!$A:$A,0)),"SKU not found"))</f>
        <v/>
      </c>
    </row>
    <row r="60">
      <c r="A60" s="7" t="n">
        <v>40850</v>
      </c>
      <c r="B60" s="4" t="inlineStr">
        <is>
          <t>84879</t>
        </is>
      </c>
      <c r="C60" s="4" t="n">
        <v>186</v>
      </c>
      <c r="D60" s="4" t="inlineStr">
        <is>
          <t>UK</t>
        </is>
      </c>
      <c r="E60" s="4" t="inlineStr">
        <is>
          <t>9 invoices</t>
        </is>
      </c>
      <c r="F60" s="6">
        <f>IF(B60="","",IFERROR(INDEX(Products!$E:$E,MATCH(B60,Products!$A:$A,0)),0))</f>
        <v/>
      </c>
      <c r="G60" s="6">
        <f>IF(B60="","",N(C60)*N(F60))</f>
        <v/>
      </c>
      <c r="H60">
        <f>IF(B60="","",IFERROR(INDEX(Products!$B:$B,MATCH(B60,Products!$A:$A,0)),"SKU not found"))</f>
        <v/>
      </c>
    </row>
    <row r="61">
      <c r="A61" s="7" t="n">
        <v>40850</v>
      </c>
      <c r="B61" s="4" t="inlineStr">
        <is>
          <t>85099B</t>
        </is>
      </c>
      <c r="C61" s="4" t="n">
        <v>452</v>
      </c>
      <c r="D61" s="4" t="inlineStr">
        <is>
          <t>UK</t>
        </is>
      </c>
      <c r="E61" s="4" t="inlineStr">
        <is>
          <t>5 invoices</t>
        </is>
      </c>
      <c r="F61" s="6">
        <f>IF(B61="","",IFERROR(INDEX(Products!$E:$E,MATCH(B61,Products!$A:$A,0)),0))</f>
        <v/>
      </c>
      <c r="G61" s="6">
        <f>IF(B61="","",N(C61)*N(F61))</f>
        <v/>
      </c>
      <c r="H61">
        <f>IF(B61="","",IFERROR(INDEX(Products!$B:$B,MATCH(B61,Products!$A:$A,0)),"SKU not found"))</f>
        <v/>
      </c>
    </row>
    <row r="62">
      <c r="A62" s="7" t="n">
        <v>40850</v>
      </c>
      <c r="B62" s="4" t="inlineStr">
        <is>
          <t>85123A</t>
        </is>
      </c>
      <c r="C62" s="4" t="n">
        <v>1265</v>
      </c>
      <c r="D62" s="4" t="inlineStr">
        <is>
          <t>UK</t>
        </is>
      </c>
      <c r="E62" s="4" t="inlineStr">
        <is>
          <t>7 invoices</t>
        </is>
      </c>
      <c r="F62" s="6">
        <f>IF(B62="","",IFERROR(INDEX(Products!$E:$E,MATCH(B62,Products!$A:$A,0)),0))</f>
        <v/>
      </c>
      <c r="G62" s="6">
        <f>IF(B62="","",N(C62)*N(F62))</f>
        <v/>
      </c>
      <c r="H62">
        <f>IF(B62="","",IFERROR(INDEX(Products!$B:$B,MATCH(B62,Products!$A:$A,0)),"SKU not found"))</f>
        <v/>
      </c>
    </row>
    <row r="63">
      <c r="A63" s="7" t="n">
        <v>40851</v>
      </c>
      <c r="B63" s="4" t="inlineStr">
        <is>
          <t>20725</t>
        </is>
      </c>
      <c r="C63" s="4" t="n">
        <v>38</v>
      </c>
      <c r="D63" s="4" t="inlineStr">
        <is>
          <t>UK</t>
        </is>
      </c>
      <c r="E63" s="4" t="inlineStr">
        <is>
          <t>2 invoices</t>
        </is>
      </c>
      <c r="F63" s="6">
        <f>IF(B63="","",IFERROR(INDEX(Products!$E:$E,MATCH(B63,Products!$A:$A,0)),0))</f>
        <v/>
      </c>
      <c r="G63" s="6">
        <f>IF(B63="","",N(C63)*N(F63))</f>
        <v/>
      </c>
      <c r="H63">
        <f>IF(B63="","",IFERROR(INDEX(Products!$B:$B,MATCH(B63,Products!$A:$A,0)),"SKU not found"))</f>
        <v/>
      </c>
    </row>
    <row r="64">
      <c r="A64" s="7" t="n">
        <v>40851</v>
      </c>
      <c r="B64" s="4" t="inlineStr">
        <is>
          <t>20727</t>
        </is>
      </c>
      <c r="C64" s="4" t="n">
        <v>34</v>
      </c>
      <c r="D64" s="4" t="inlineStr">
        <is>
          <t>UK</t>
        </is>
      </c>
      <c r="E64" s="4" t="inlineStr">
        <is>
          <t>4 invoices</t>
        </is>
      </c>
      <c r="F64" s="6">
        <f>IF(B64="","",IFERROR(INDEX(Products!$E:$E,MATCH(B64,Products!$A:$A,0)),0))</f>
        <v/>
      </c>
      <c r="G64" s="6">
        <f>IF(B64="","",N(C64)*N(F64))</f>
        <v/>
      </c>
      <c r="H64">
        <f>IF(B64="","",IFERROR(INDEX(Products!$B:$B,MATCH(B64,Products!$A:$A,0)),"SKU not found"))</f>
        <v/>
      </c>
    </row>
    <row r="65">
      <c r="A65" s="7" t="n">
        <v>40851</v>
      </c>
      <c r="B65" s="4" t="inlineStr">
        <is>
          <t>21212</t>
        </is>
      </c>
      <c r="C65" s="4" t="n">
        <v>56</v>
      </c>
      <c r="D65" s="4" t="inlineStr">
        <is>
          <t>UK</t>
        </is>
      </c>
      <c r="E65" s="4" t="inlineStr">
        <is>
          <t>5 invoices</t>
        </is>
      </c>
      <c r="F65" s="6">
        <f>IF(B65="","",IFERROR(INDEX(Products!$E:$E,MATCH(B65,Products!$A:$A,0)),0))</f>
        <v/>
      </c>
      <c r="G65" s="6">
        <f>IF(B65="","",N(C65)*N(F65))</f>
        <v/>
      </c>
      <c r="H65">
        <f>IF(B65="","",IFERROR(INDEX(Products!$B:$B,MATCH(B65,Products!$A:$A,0)),"SKU not found"))</f>
        <v/>
      </c>
    </row>
    <row r="66">
      <c r="A66" s="7" t="n">
        <v>40851</v>
      </c>
      <c r="B66" s="4" t="inlineStr">
        <is>
          <t>21931</t>
        </is>
      </c>
      <c r="C66" s="4" t="n">
        <v>13</v>
      </c>
      <c r="D66" s="4" t="inlineStr">
        <is>
          <t>UK</t>
        </is>
      </c>
      <c r="E66" s="4" t="inlineStr">
        <is>
          <t>2 invoices</t>
        </is>
      </c>
      <c r="F66" s="6">
        <f>IF(B66="","",IFERROR(INDEX(Products!$E:$E,MATCH(B66,Products!$A:$A,0)),0))</f>
        <v/>
      </c>
      <c r="G66" s="6">
        <f>IF(B66="","",N(C66)*N(F66))</f>
        <v/>
      </c>
      <c r="H66">
        <f>IF(B66="","",IFERROR(INDEX(Products!$B:$B,MATCH(B66,Products!$A:$A,0)),"SKU not found"))</f>
        <v/>
      </c>
    </row>
    <row r="67">
      <c r="A67" s="7" t="n">
        <v>40851</v>
      </c>
      <c r="B67" s="4" t="inlineStr">
        <is>
          <t>22197</t>
        </is>
      </c>
      <c r="C67" s="4" t="n">
        <v>6</v>
      </c>
      <c r="D67" s="4" t="inlineStr">
        <is>
          <t>France</t>
        </is>
      </c>
      <c r="E67" s="4" t="inlineStr">
        <is>
          <t>1 invoices</t>
        </is>
      </c>
      <c r="F67" s="6">
        <f>IF(B67="","",IFERROR(INDEX(Products!$E:$E,MATCH(B67,Products!$A:$A,0)),0))</f>
        <v/>
      </c>
      <c r="G67" s="6">
        <f>IF(B67="","",N(C67)*N(F67))</f>
        <v/>
      </c>
      <c r="H67">
        <f>IF(B67="","",IFERROR(INDEX(Products!$B:$B,MATCH(B67,Products!$A:$A,0)),"SKU not found"))</f>
        <v/>
      </c>
    </row>
    <row r="68">
      <c r="A68" s="7" t="n">
        <v>40851</v>
      </c>
      <c r="B68" s="4" t="inlineStr">
        <is>
          <t>22197</t>
        </is>
      </c>
      <c r="C68" s="4" t="n">
        <v>48</v>
      </c>
      <c r="D68" s="4" t="inlineStr">
        <is>
          <t>Other EU/Intl</t>
        </is>
      </c>
      <c r="E68" s="4" t="inlineStr">
        <is>
          <t>2 invoices</t>
        </is>
      </c>
      <c r="F68" s="6">
        <f>IF(B68="","",IFERROR(INDEX(Products!$E:$E,MATCH(B68,Products!$A:$A,0)),0))</f>
        <v/>
      </c>
      <c r="G68" s="6">
        <f>IF(B68="","",N(C68)*N(F68))</f>
        <v/>
      </c>
      <c r="H68">
        <f>IF(B68="","",IFERROR(INDEX(Products!$B:$B,MATCH(B68,Products!$A:$A,0)),"SKU not found"))</f>
        <v/>
      </c>
    </row>
    <row r="69">
      <c r="A69" s="7" t="n">
        <v>40851</v>
      </c>
      <c r="B69" s="4" t="inlineStr">
        <is>
          <t>22197</t>
        </is>
      </c>
      <c r="C69" s="4" t="n">
        <v>120</v>
      </c>
      <c r="D69" s="4" t="inlineStr">
        <is>
          <t>UK</t>
        </is>
      </c>
      <c r="E69" s="4" t="inlineStr">
        <is>
          <t>9 invoices</t>
        </is>
      </c>
      <c r="F69" s="6">
        <f>IF(B69="","",IFERROR(INDEX(Products!$E:$E,MATCH(B69,Products!$A:$A,0)),0))</f>
        <v/>
      </c>
      <c r="G69" s="6">
        <f>IF(B69="","",N(C69)*N(F69))</f>
        <v/>
      </c>
      <c r="H69">
        <f>IF(B69="","",IFERROR(INDEX(Products!$B:$B,MATCH(B69,Products!$A:$A,0)),"SKU not found"))</f>
        <v/>
      </c>
    </row>
    <row r="70">
      <c r="A70" s="7" t="n">
        <v>40851</v>
      </c>
      <c r="B70" s="4" t="inlineStr">
        <is>
          <t>22383</t>
        </is>
      </c>
      <c r="C70" s="4" t="n">
        <v>41</v>
      </c>
      <c r="D70" s="4" t="inlineStr">
        <is>
          <t>UK</t>
        </is>
      </c>
      <c r="E70" s="4" t="inlineStr">
        <is>
          <t>3 invoices</t>
        </is>
      </c>
      <c r="F70" s="6">
        <f>IF(B70="","",IFERROR(INDEX(Products!$E:$E,MATCH(B70,Products!$A:$A,0)),0))</f>
        <v/>
      </c>
      <c r="G70" s="6">
        <f>IF(B70="","",N(C70)*N(F70))</f>
        <v/>
      </c>
      <c r="H70">
        <f>IF(B70="","",IFERROR(INDEX(Products!$B:$B,MATCH(B70,Products!$A:$A,0)),"SKU not found"))</f>
        <v/>
      </c>
    </row>
    <row r="71">
      <c r="A71" s="7" t="n">
        <v>40851</v>
      </c>
      <c r="B71" s="4" t="inlineStr">
        <is>
          <t>22386</t>
        </is>
      </c>
      <c r="C71" s="4" t="n">
        <v>17</v>
      </c>
      <c r="D71" s="4" t="inlineStr">
        <is>
          <t>UK</t>
        </is>
      </c>
      <c r="E71" s="4" t="inlineStr">
        <is>
          <t>3 invoices</t>
        </is>
      </c>
      <c r="F71" s="6">
        <f>IF(B71="","",IFERROR(INDEX(Products!$E:$E,MATCH(B71,Products!$A:$A,0)),0))</f>
        <v/>
      </c>
      <c r="G71" s="6">
        <f>IF(B71="","",N(C71)*N(F71))</f>
        <v/>
      </c>
      <c r="H71">
        <f>IF(B71="","",IFERROR(INDEX(Products!$B:$B,MATCH(B71,Products!$A:$A,0)),"SKU not found"))</f>
        <v/>
      </c>
    </row>
    <row r="72">
      <c r="A72" s="7" t="n">
        <v>40851</v>
      </c>
      <c r="B72" s="4" t="inlineStr">
        <is>
          <t>22423</t>
        </is>
      </c>
      <c r="C72" s="4" t="n">
        <v>10</v>
      </c>
      <c r="D72" s="4" t="inlineStr">
        <is>
          <t>Other EU/Intl</t>
        </is>
      </c>
      <c r="E72" s="4" t="inlineStr">
        <is>
          <t>1 invoices</t>
        </is>
      </c>
      <c r="F72" s="6">
        <f>IF(B72="","",IFERROR(INDEX(Products!$E:$E,MATCH(B72,Products!$A:$A,0)),0))</f>
        <v/>
      </c>
      <c r="G72" s="6">
        <f>IF(B72="","",N(C72)*N(F72))</f>
        <v/>
      </c>
      <c r="H72">
        <f>IF(B72="","",IFERROR(INDEX(Products!$B:$B,MATCH(B72,Products!$A:$A,0)),"SKU not found"))</f>
        <v/>
      </c>
    </row>
    <row r="73">
      <c r="A73" s="7" t="n">
        <v>40851</v>
      </c>
      <c r="B73" s="4" t="inlineStr">
        <is>
          <t>22423</t>
        </is>
      </c>
      <c r="C73" s="4" t="n">
        <v>101</v>
      </c>
      <c r="D73" s="4" t="inlineStr">
        <is>
          <t>UK</t>
        </is>
      </c>
      <c r="E73" s="4" t="inlineStr">
        <is>
          <t>9 invoices</t>
        </is>
      </c>
      <c r="F73" s="6">
        <f>IF(B73="","",IFERROR(INDEX(Products!$E:$E,MATCH(B73,Products!$A:$A,0)),0))</f>
        <v/>
      </c>
      <c r="G73" s="6">
        <f>IF(B73="","",N(C73)*N(F73))</f>
        <v/>
      </c>
      <c r="H73">
        <f>IF(B73="","",IFERROR(INDEX(Products!$B:$B,MATCH(B73,Products!$A:$A,0)),"SKU not found"))</f>
        <v/>
      </c>
    </row>
    <row r="74">
      <c r="A74" s="7" t="n">
        <v>40851</v>
      </c>
      <c r="B74" s="4" t="inlineStr">
        <is>
          <t>22457</t>
        </is>
      </c>
      <c r="C74" s="4" t="n">
        <v>22</v>
      </c>
      <c r="D74" s="4" t="inlineStr">
        <is>
          <t>UK</t>
        </is>
      </c>
      <c r="E74" s="4" t="inlineStr">
        <is>
          <t>6 invoices</t>
        </is>
      </c>
      <c r="F74" s="6">
        <f>IF(B74="","",IFERROR(INDEX(Products!$E:$E,MATCH(B74,Products!$A:$A,0)),0))</f>
        <v/>
      </c>
      <c r="G74" s="6">
        <f>IF(B74="","",N(C74)*N(F74))</f>
        <v/>
      </c>
      <c r="H74">
        <f>IF(B74="","",IFERROR(INDEX(Products!$B:$B,MATCH(B74,Products!$A:$A,0)),"SKU not found"))</f>
        <v/>
      </c>
    </row>
    <row r="75">
      <c r="A75" s="7" t="n">
        <v>40851</v>
      </c>
      <c r="B75" s="4" t="inlineStr">
        <is>
          <t>22469</t>
        </is>
      </c>
      <c r="C75" s="4" t="n">
        <v>12</v>
      </c>
      <c r="D75" s="4" t="inlineStr">
        <is>
          <t>Other EU/Intl</t>
        </is>
      </c>
      <c r="E75" s="4" t="inlineStr">
        <is>
          <t>1 invoices</t>
        </is>
      </c>
      <c r="F75" s="6">
        <f>IF(B75="","",IFERROR(INDEX(Products!$E:$E,MATCH(B75,Products!$A:$A,0)),0))</f>
        <v/>
      </c>
      <c r="G75" s="6">
        <f>IF(B75="","",N(C75)*N(F75))</f>
        <v/>
      </c>
      <c r="H75">
        <f>IF(B75="","",IFERROR(INDEX(Products!$B:$B,MATCH(B75,Products!$A:$A,0)),"SKU not found"))</f>
        <v/>
      </c>
    </row>
    <row r="76">
      <c r="A76" s="7" t="n">
        <v>40851</v>
      </c>
      <c r="B76" s="4" t="inlineStr">
        <is>
          <t>22469</t>
        </is>
      </c>
      <c r="C76" s="4" t="n">
        <v>135</v>
      </c>
      <c r="D76" s="4" t="inlineStr">
        <is>
          <t>UK</t>
        </is>
      </c>
      <c r="E76" s="4" t="inlineStr">
        <is>
          <t>4 invoices</t>
        </is>
      </c>
      <c r="F76" s="6">
        <f>IF(B76="","",IFERROR(INDEX(Products!$E:$E,MATCH(B76,Products!$A:$A,0)),0))</f>
        <v/>
      </c>
      <c r="G76" s="6">
        <f>IF(B76="","",N(C76)*N(F76))</f>
        <v/>
      </c>
      <c r="H76">
        <f>IF(B76="","",IFERROR(INDEX(Products!$B:$B,MATCH(B76,Products!$A:$A,0)),"SKU not found"))</f>
        <v/>
      </c>
    </row>
    <row r="77">
      <c r="A77" s="7" t="n">
        <v>40851</v>
      </c>
      <c r="B77" s="4" t="inlineStr">
        <is>
          <t>22720</t>
        </is>
      </c>
      <c r="C77" s="4" t="n">
        <v>3</v>
      </c>
      <c r="D77" s="4" t="inlineStr">
        <is>
          <t>Other EU/Intl</t>
        </is>
      </c>
      <c r="E77" s="4" t="inlineStr">
        <is>
          <t>1 invoices</t>
        </is>
      </c>
      <c r="F77" s="6">
        <f>IF(B77="","",IFERROR(INDEX(Products!$E:$E,MATCH(B77,Products!$A:$A,0)),0))</f>
        <v/>
      </c>
      <c r="G77" s="6">
        <f>IF(B77="","",N(C77)*N(F77))</f>
        <v/>
      </c>
      <c r="H77">
        <f>IF(B77="","",IFERROR(INDEX(Products!$B:$B,MATCH(B77,Products!$A:$A,0)),"SKU not found"))</f>
        <v/>
      </c>
    </row>
    <row r="78">
      <c r="A78" s="7" t="n">
        <v>40851</v>
      </c>
      <c r="B78" s="4" t="inlineStr">
        <is>
          <t>22720</t>
        </is>
      </c>
      <c r="C78" s="4" t="n">
        <v>12</v>
      </c>
      <c r="D78" s="4" t="inlineStr">
        <is>
          <t>UK</t>
        </is>
      </c>
      <c r="E78" s="4" t="inlineStr">
        <is>
          <t>5 invoices</t>
        </is>
      </c>
      <c r="F78" s="6">
        <f>IF(B78="","",IFERROR(INDEX(Products!$E:$E,MATCH(B78,Products!$A:$A,0)),0))</f>
        <v/>
      </c>
      <c r="G78" s="6">
        <f>IF(B78="","",N(C78)*N(F78))</f>
        <v/>
      </c>
      <c r="H78">
        <f>IF(B78="","",IFERROR(INDEX(Products!$B:$B,MATCH(B78,Products!$A:$A,0)),"SKU not found"))</f>
        <v/>
      </c>
    </row>
    <row r="79">
      <c r="A79" s="7" t="n">
        <v>40851</v>
      </c>
      <c r="B79" s="4" t="inlineStr">
        <is>
          <t>47566</t>
        </is>
      </c>
      <c r="C79" s="4" t="n">
        <v>39</v>
      </c>
      <c r="D79" s="4" t="inlineStr">
        <is>
          <t>UK</t>
        </is>
      </c>
      <c r="E79" s="4" t="inlineStr">
        <is>
          <t>3 invoices</t>
        </is>
      </c>
      <c r="F79" s="6">
        <f>IF(B79="","",IFERROR(INDEX(Products!$E:$E,MATCH(B79,Products!$A:$A,0)),0))</f>
        <v/>
      </c>
      <c r="G79" s="6">
        <f>IF(B79="","",N(C79)*N(F79))</f>
        <v/>
      </c>
      <c r="H79">
        <f>IF(B79="","",IFERROR(INDEX(Products!$B:$B,MATCH(B79,Products!$A:$A,0)),"SKU not found"))</f>
        <v/>
      </c>
    </row>
    <row r="80">
      <c r="A80" s="7" t="n">
        <v>40851</v>
      </c>
      <c r="B80" s="4" t="inlineStr">
        <is>
          <t>84879</t>
        </is>
      </c>
      <c r="C80" s="4" t="n">
        <v>80</v>
      </c>
      <c r="D80" s="4" t="inlineStr">
        <is>
          <t>UK</t>
        </is>
      </c>
      <c r="E80" s="4" t="inlineStr">
        <is>
          <t>4 invoices</t>
        </is>
      </c>
      <c r="F80" s="6">
        <f>IF(B80="","",IFERROR(INDEX(Products!$E:$E,MATCH(B80,Products!$A:$A,0)),0))</f>
        <v/>
      </c>
      <c r="G80" s="6">
        <f>IF(B80="","",N(C80)*N(F80))</f>
        <v/>
      </c>
      <c r="H80">
        <f>IF(B80="","",IFERROR(INDEX(Products!$B:$B,MATCH(B80,Products!$A:$A,0)),"SKU not found"))</f>
        <v/>
      </c>
    </row>
    <row r="81">
      <c r="A81" s="7" t="n">
        <v>40851</v>
      </c>
      <c r="B81" s="4" t="inlineStr">
        <is>
          <t>85099B</t>
        </is>
      </c>
      <c r="C81" s="4" t="n">
        <v>58</v>
      </c>
      <c r="D81" s="4" t="inlineStr">
        <is>
          <t>UK</t>
        </is>
      </c>
      <c r="E81" s="4" t="inlineStr">
        <is>
          <t>8 invoices</t>
        </is>
      </c>
      <c r="F81" s="6">
        <f>IF(B81="","",IFERROR(INDEX(Products!$E:$E,MATCH(B81,Products!$A:$A,0)),0))</f>
        <v/>
      </c>
      <c r="G81" s="6">
        <f>IF(B81="","",N(C81)*N(F81))</f>
        <v/>
      </c>
      <c r="H81">
        <f>IF(B81="","",IFERROR(INDEX(Products!$B:$B,MATCH(B81,Products!$A:$A,0)),"SKU not found"))</f>
        <v/>
      </c>
    </row>
    <row r="82">
      <c r="A82" s="7" t="n">
        <v>40851</v>
      </c>
      <c r="B82" s="4" t="inlineStr">
        <is>
          <t>85123A</t>
        </is>
      </c>
      <c r="C82" s="4" t="n">
        <v>4</v>
      </c>
      <c r="D82" s="4" t="inlineStr">
        <is>
          <t>Other EU/Intl</t>
        </is>
      </c>
      <c r="E82" s="4" t="inlineStr">
        <is>
          <t>1 invoices</t>
        </is>
      </c>
      <c r="F82" s="6">
        <f>IF(B82="","",IFERROR(INDEX(Products!$E:$E,MATCH(B82,Products!$A:$A,0)),0))</f>
        <v/>
      </c>
      <c r="G82" s="6">
        <f>IF(B82="","",N(C82)*N(F82))</f>
        <v/>
      </c>
      <c r="H82">
        <f>IF(B82="","",IFERROR(INDEX(Products!$B:$B,MATCH(B82,Products!$A:$A,0)),"SKU not found"))</f>
        <v/>
      </c>
    </row>
    <row r="83">
      <c r="A83" s="7" t="n">
        <v>40851</v>
      </c>
      <c r="B83" s="4" t="inlineStr">
        <is>
          <t>85123A</t>
        </is>
      </c>
      <c r="C83" s="4" t="n">
        <v>81</v>
      </c>
      <c r="D83" s="4" t="inlineStr">
        <is>
          <t>UK</t>
        </is>
      </c>
      <c r="E83" s="4" t="inlineStr">
        <is>
          <t>10 invoices</t>
        </is>
      </c>
      <c r="F83" s="6">
        <f>IF(B83="","",IFERROR(INDEX(Products!$E:$E,MATCH(B83,Products!$A:$A,0)),0))</f>
        <v/>
      </c>
      <c r="G83" s="6">
        <f>IF(B83="","",N(C83)*N(F83))</f>
        <v/>
      </c>
      <c r="H83">
        <f>IF(B83="","",IFERROR(INDEX(Products!$B:$B,MATCH(B83,Products!$A:$A,0)),"SKU not found"))</f>
        <v/>
      </c>
    </row>
    <row r="84">
      <c r="A84" s="7" t="n">
        <v>40853</v>
      </c>
      <c r="B84" s="4" t="inlineStr">
        <is>
          <t>20725</t>
        </is>
      </c>
      <c r="C84" s="4" t="n">
        <v>122</v>
      </c>
      <c r="D84" s="4" t="inlineStr">
        <is>
          <t>UK</t>
        </is>
      </c>
      <c r="E84" s="4" t="inlineStr">
        <is>
          <t>5 invoices</t>
        </is>
      </c>
      <c r="F84" s="6">
        <f>IF(B84="","",IFERROR(INDEX(Products!$E:$E,MATCH(B84,Products!$A:$A,0)),0))</f>
        <v/>
      </c>
      <c r="G84" s="6">
        <f>IF(B84="","",N(C84)*N(F84))</f>
        <v/>
      </c>
      <c r="H84">
        <f>IF(B84="","",IFERROR(INDEX(Products!$B:$B,MATCH(B84,Products!$A:$A,0)),"SKU not found"))</f>
        <v/>
      </c>
    </row>
    <row r="85">
      <c r="A85" s="7" t="n">
        <v>40853</v>
      </c>
      <c r="B85" s="4" t="inlineStr">
        <is>
          <t>20727</t>
        </is>
      </c>
      <c r="C85" s="4" t="n">
        <v>8</v>
      </c>
      <c r="D85" s="4" t="inlineStr">
        <is>
          <t>UK</t>
        </is>
      </c>
      <c r="E85" s="4" t="inlineStr">
        <is>
          <t>3 invoices</t>
        </is>
      </c>
      <c r="F85" s="6">
        <f>IF(B85="","",IFERROR(INDEX(Products!$E:$E,MATCH(B85,Products!$A:$A,0)),0))</f>
        <v/>
      </c>
      <c r="G85" s="6">
        <f>IF(B85="","",N(C85)*N(F85))</f>
        <v/>
      </c>
      <c r="H85">
        <f>IF(B85="","",IFERROR(INDEX(Products!$B:$B,MATCH(B85,Products!$A:$A,0)),"SKU not found"))</f>
        <v/>
      </c>
    </row>
    <row r="86">
      <c r="A86" s="7" t="n">
        <v>40853</v>
      </c>
      <c r="B86" s="4" t="inlineStr">
        <is>
          <t>21212</t>
        </is>
      </c>
      <c r="C86" s="4" t="n">
        <v>48</v>
      </c>
      <c r="D86" s="4" t="inlineStr">
        <is>
          <t>Germany</t>
        </is>
      </c>
      <c r="E86" s="4" t="inlineStr">
        <is>
          <t>1 invoices</t>
        </is>
      </c>
      <c r="F86" s="6">
        <f>IF(B86="","",IFERROR(INDEX(Products!$E:$E,MATCH(B86,Products!$A:$A,0)),0))</f>
        <v/>
      </c>
      <c r="G86" s="6">
        <f>IF(B86="","",N(C86)*N(F86))</f>
        <v/>
      </c>
      <c r="H86">
        <f>IF(B86="","",IFERROR(INDEX(Products!$B:$B,MATCH(B86,Products!$A:$A,0)),"SKU not found"))</f>
        <v/>
      </c>
    </row>
    <row r="87">
      <c r="A87" s="7" t="n">
        <v>40853</v>
      </c>
      <c r="B87" s="4" t="inlineStr">
        <is>
          <t>21212</t>
        </is>
      </c>
      <c r="C87" s="4" t="n">
        <v>48</v>
      </c>
      <c r="D87" s="4" t="inlineStr">
        <is>
          <t>Other EU/Intl</t>
        </is>
      </c>
      <c r="E87" s="4" t="inlineStr">
        <is>
          <t>2 invoices</t>
        </is>
      </c>
      <c r="F87" s="6">
        <f>IF(B87="","",IFERROR(INDEX(Products!$E:$E,MATCH(B87,Products!$A:$A,0)),0))</f>
        <v/>
      </c>
      <c r="G87" s="6">
        <f>IF(B87="","",N(C87)*N(F87))</f>
        <v/>
      </c>
      <c r="H87">
        <f>IF(B87="","",IFERROR(INDEX(Products!$B:$B,MATCH(B87,Products!$A:$A,0)),"SKU not found"))</f>
        <v/>
      </c>
    </row>
    <row r="88">
      <c r="A88" s="7" t="n">
        <v>40853</v>
      </c>
      <c r="B88" s="4" t="inlineStr">
        <is>
          <t>21212</t>
        </is>
      </c>
      <c r="C88" s="4" t="n">
        <v>50</v>
      </c>
      <c r="D88" s="4" t="inlineStr">
        <is>
          <t>UK</t>
        </is>
      </c>
      <c r="E88" s="4" t="inlineStr">
        <is>
          <t>3 invoices</t>
        </is>
      </c>
      <c r="F88" s="6">
        <f>IF(B88="","",IFERROR(INDEX(Products!$E:$E,MATCH(B88,Products!$A:$A,0)),0))</f>
        <v/>
      </c>
      <c r="G88" s="6">
        <f>IF(B88="","",N(C88)*N(F88))</f>
        <v/>
      </c>
      <c r="H88">
        <f>IF(B88="","",IFERROR(INDEX(Products!$B:$B,MATCH(B88,Products!$A:$A,0)),"SKU not found"))</f>
        <v/>
      </c>
    </row>
    <row r="89">
      <c r="A89" s="7" t="n">
        <v>40853</v>
      </c>
      <c r="B89" s="4" t="inlineStr">
        <is>
          <t>21931</t>
        </is>
      </c>
      <c r="C89" s="4" t="n">
        <v>43</v>
      </c>
      <c r="D89" s="4" t="inlineStr">
        <is>
          <t>UK</t>
        </is>
      </c>
      <c r="E89" s="4" t="inlineStr">
        <is>
          <t>3 invoices</t>
        </is>
      </c>
      <c r="F89" s="6">
        <f>IF(B89="","",IFERROR(INDEX(Products!$E:$E,MATCH(B89,Products!$A:$A,0)),0))</f>
        <v/>
      </c>
      <c r="G89" s="6">
        <f>IF(B89="","",N(C89)*N(F89))</f>
        <v/>
      </c>
      <c r="H89">
        <f>IF(B89="","",IFERROR(INDEX(Products!$B:$B,MATCH(B89,Products!$A:$A,0)),"SKU not found"))</f>
        <v/>
      </c>
    </row>
    <row r="90">
      <c r="A90" s="7" t="n">
        <v>40853</v>
      </c>
      <c r="B90" s="4" t="inlineStr">
        <is>
          <t>22197</t>
        </is>
      </c>
      <c r="C90" s="4" t="n">
        <v>294</v>
      </c>
      <c r="D90" s="4" t="inlineStr">
        <is>
          <t>UK</t>
        </is>
      </c>
      <c r="E90" s="4" t="inlineStr">
        <is>
          <t>8 invoices</t>
        </is>
      </c>
      <c r="F90" s="6">
        <f>IF(B90="","",IFERROR(INDEX(Products!$E:$E,MATCH(B90,Products!$A:$A,0)),0))</f>
        <v/>
      </c>
      <c r="G90" s="6">
        <f>IF(B90="","",N(C90)*N(F90))</f>
        <v/>
      </c>
      <c r="H90">
        <f>IF(B90="","",IFERROR(INDEX(Products!$B:$B,MATCH(B90,Products!$A:$A,0)),"SKU not found"))</f>
        <v/>
      </c>
    </row>
    <row r="91">
      <c r="A91" s="7" t="n">
        <v>40853</v>
      </c>
      <c r="B91" s="4" t="inlineStr">
        <is>
          <t>22383</t>
        </is>
      </c>
      <c r="C91" s="4" t="n">
        <v>129</v>
      </c>
      <c r="D91" s="4" t="inlineStr">
        <is>
          <t>UK</t>
        </is>
      </c>
      <c r="E91" s="4" t="inlineStr">
        <is>
          <t>7 invoices</t>
        </is>
      </c>
      <c r="F91" s="6">
        <f>IF(B91="","",IFERROR(INDEX(Products!$E:$E,MATCH(B91,Products!$A:$A,0)),0))</f>
        <v/>
      </c>
      <c r="G91" s="6">
        <f>IF(B91="","",N(C91)*N(F91))</f>
        <v/>
      </c>
      <c r="H91">
        <f>IF(B91="","",IFERROR(INDEX(Products!$B:$B,MATCH(B91,Products!$A:$A,0)),"SKU not found"))</f>
        <v/>
      </c>
    </row>
    <row r="92">
      <c r="A92" s="7" t="n">
        <v>40853</v>
      </c>
      <c r="B92" s="4" t="inlineStr">
        <is>
          <t>22386</t>
        </is>
      </c>
      <c r="C92" s="4" t="n">
        <v>82</v>
      </c>
      <c r="D92" s="4" t="inlineStr">
        <is>
          <t>UK</t>
        </is>
      </c>
      <c r="E92" s="4" t="inlineStr">
        <is>
          <t>7 invoices</t>
        </is>
      </c>
      <c r="F92" s="6">
        <f>IF(B92="","",IFERROR(INDEX(Products!$E:$E,MATCH(B92,Products!$A:$A,0)),0))</f>
        <v/>
      </c>
      <c r="G92" s="6">
        <f>IF(B92="","",N(C92)*N(F92))</f>
        <v/>
      </c>
      <c r="H92">
        <f>IF(B92="","",IFERROR(INDEX(Products!$B:$B,MATCH(B92,Products!$A:$A,0)),"SKU not found"))</f>
        <v/>
      </c>
    </row>
    <row r="93">
      <c r="A93" s="7" t="n">
        <v>40853</v>
      </c>
      <c r="B93" s="4" t="inlineStr">
        <is>
          <t>22423</t>
        </is>
      </c>
      <c r="C93" s="4" t="n">
        <v>10</v>
      </c>
      <c r="D93" s="4" t="inlineStr">
        <is>
          <t>Other EU/Intl</t>
        </is>
      </c>
      <c r="E93" s="4" t="inlineStr">
        <is>
          <t>2 invoices</t>
        </is>
      </c>
      <c r="F93" s="6">
        <f>IF(B93="","",IFERROR(INDEX(Products!$E:$E,MATCH(B93,Products!$A:$A,0)),0))</f>
        <v/>
      </c>
      <c r="G93" s="6">
        <f>IF(B93="","",N(C93)*N(F93))</f>
        <v/>
      </c>
      <c r="H93">
        <f>IF(B93="","",IFERROR(INDEX(Products!$B:$B,MATCH(B93,Products!$A:$A,0)),"SKU not found"))</f>
        <v/>
      </c>
    </row>
    <row r="94">
      <c r="A94" s="7" t="n">
        <v>40853</v>
      </c>
      <c r="B94" s="4" t="inlineStr">
        <is>
          <t>22423</t>
        </is>
      </c>
      <c r="C94" s="4" t="n">
        <v>15</v>
      </c>
      <c r="D94" s="4" t="inlineStr">
        <is>
          <t>UK</t>
        </is>
      </c>
      <c r="E94" s="4" t="inlineStr">
        <is>
          <t>8 invoices</t>
        </is>
      </c>
      <c r="F94" s="6">
        <f>IF(B94="","",IFERROR(INDEX(Products!$E:$E,MATCH(B94,Products!$A:$A,0)),0))</f>
        <v/>
      </c>
      <c r="G94" s="6">
        <f>IF(B94="","",N(C94)*N(F94))</f>
        <v/>
      </c>
      <c r="H94">
        <f>IF(B94="","",IFERROR(INDEX(Products!$B:$B,MATCH(B94,Products!$A:$A,0)),"SKU not found"))</f>
        <v/>
      </c>
    </row>
    <row r="95">
      <c r="A95" s="7" t="n">
        <v>40853</v>
      </c>
      <c r="B95" s="4" t="inlineStr">
        <is>
          <t>22457</t>
        </is>
      </c>
      <c r="C95" s="4" t="n">
        <v>39</v>
      </c>
      <c r="D95" s="4" t="inlineStr">
        <is>
          <t>UK</t>
        </is>
      </c>
      <c r="E95" s="4" t="inlineStr">
        <is>
          <t>6 invoices</t>
        </is>
      </c>
      <c r="F95" s="6">
        <f>IF(B95="","",IFERROR(INDEX(Products!$E:$E,MATCH(B95,Products!$A:$A,0)),0))</f>
        <v/>
      </c>
      <c r="G95" s="6">
        <f>IF(B95="","",N(C95)*N(F95))</f>
        <v/>
      </c>
      <c r="H95">
        <f>IF(B95="","",IFERROR(INDEX(Products!$B:$B,MATCH(B95,Products!$A:$A,0)),"SKU not found"))</f>
        <v/>
      </c>
    </row>
    <row r="96">
      <c r="A96" s="7" t="n">
        <v>40853</v>
      </c>
      <c r="B96" s="4" t="inlineStr">
        <is>
          <t>22469</t>
        </is>
      </c>
      <c r="C96" s="4" t="n">
        <v>86</v>
      </c>
      <c r="D96" s="4" t="inlineStr">
        <is>
          <t>UK</t>
        </is>
      </c>
      <c r="E96" s="4" t="inlineStr">
        <is>
          <t>13 invoices</t>
        </is>
      </c>
      <c r="F96" s="6">
        <f>IF(B96="","",IFERROR(INDEX(Products!$E:$E,MATCH(B96,Products!$A:$A,0)),0))</f>
        <v/>
      </c>
      <c r="G96" s="6">
        <f>IF(B96="","",N(C96)*N(F96))</f>
        <v/>
      </c>
      <c r="H96">
        <f>IF(B96="","",IFERROR(INDEX(Products!$B:$B,MATCH(B96,Products!$A:$A,0)),"SKU not found"))</f>
        <v/>
      </c>
    </row>
    <row r="97">
      <c r="A97" s="7" t="n">
        <v>40853</v>
      </c>
      <c r="B97" s="4" t="inlineStr">
        <is>
          <t>22720</t>
        </is>
      </c>
      <c r="C97" s="4" t="n">
        <v>6</v>
      </c>
      <c r="D97" s="4" t="inlineStr">
        <is>
          <t>Other EU/Intl</t>
        </is>
      </c>
      <c r="E97" s="4" t="inlineStr">
        <is>
          <t>1 invoices</t>
        </is>
      </c>
      <c r="F97" s="6">
        <f>IF(B97="","",IFERROR(INDEX(Products!$E:$E,MATCH(B97,Products!$A:$A,0)),0))</f>
        <v/>
      </c>
      <c r="G97" s="6">
        <f>IF(B97="","",N(C97)*N(F97))</f>
        <v/>
      </c>
      <c r="H97">
        <f>IF(B97="","",IFERROR(INDEX(Products!$B:$B,MATCH(B97,Products!$A:$A,0)),"SKU not found"))</f>
        <v/>
      </c>
    </row>
    <row r="98">
      <c r="A98" s="7" t="n">
        <v>40853</v>
      </c>
      <c r="B98" s="4" t="inlineStr">
        <is>
          <t>22720</t>
        </is>
      </c>
      <c r="C98" s="4" t="n">
        <v>14</v>
      </c>
      <c r="D98" s="4" t="inlineStr">
        <is>
          <t>UK</t>
        </is>
      </c>
      <c r="E98" s="4" t="inlineStr">
        <is>
          <t>6 invoices</t>
        </is>
      </c>
      <c r="F98" s="6">
        <f>IF(B98="","",IFERROR(INDEX(Products!$E:$E,MATCH(B98,Products!$A:$A,0)),0))</f>
        <v/>
      </c>
      <c r="G98" s="6">
        <f>IF(B98="","",N(C98)*N(F98))</f>
        <v/>
      </c>
      <c r="H98">
        <f>IF(B98="","",IFERROR(INDEX(Products!$B:$B,MATCH(B98,Products!$A:$A,0)),"SKU not found"))</f>
        <v/>
      </c>
    </row>
    <row r="99">
      <c r="A99" s="7" t="n">
        <v>40853</v>
      </c>
      <c r="B99" s="4" t="inlineStr">
        <is>
          <t>47566</t>
        </is>
      </c>
      <c r="C99" s="4" t="n">
        <v>14</v>
      </c>
      <c r="D99" s="4" t="inlineStr">
        <is>
          <t>UK</t>
        </is>
      </c>
      <c r="E99" s="4" t="inlineStr">
        <is>
          <t>5 invoices</t>
        </is>
      </c>
      <c r="F99" s="6">
        <f>IF(B99="","",IFERROR(INDEX(Products!$E:$E,MATCH(B99,Products!$A:$A,0)),0))</f>
        <v/>
      </c>
      <c r="G99" s="6">
        <f>IF(B99="","",N(C99)*N(F99))</f>
        <v/>
      </c>
      <c r="H99">
        <f>IF(B99="","",IFERROR(INDEX(Products!$B:$B,MATCH(B99,Products!$A:$A,0)),"SKU not found"))</f>
        <v/>
      </c>
    </row>
    <row r="100">
      <c r="A100" s="7" t="n">
        <v>40853</v>
      </c>
      <c r="B100" s="4" t="inlineStr">
        <is>
          <t>84879</t>
        </is>
      </c>
      <c r="C100" s="4" t="n">
        <v>136</v>
      </c>
      <c r="D100" s="4" t="inlineStr">
        <is>
          <t>UK</t>
        </is>
      </c>
      <c r="E100" s="4" t="inlineStr">
        <is>
          <t>12 invoices</t>
        </is>
      </c>
      <c r="F100" s="6">
        <f>IF(B100="","",IFERROR(INDEX(Products!$E:$E,MATCH(B100,Products!$A:$A,0)),0))</f>
        <v/>
      </c>
      <c r="G100" s="6">
        <f>IF(B100="","",N(C100)*N(F100))</f>
        <v/>
      </c>
      <c r="H100">
        <f>IF(B100="","",IFERROR(INDEX(Products!$B:$B,MATCH(B100,Products!$A:$A,0)),"SKU not found"))</f>
        <v/>
      </c>
    </row>
    <row r="101">
      <c r="A101" s="7" t="n">
        <v>40853</v>
      </c>
      <c r="B101" s="4" t="inlineStr">
        <is>
          <t>85099B</t>
        </is>
      </c>
      <c r="C101" s="4" t="n">
        <v>10</v>
      </c>
      <c r="D101" s="4" t="inlineStr">
        <is>
          <t>Other EU/Intl</t>
        </is>
      </c>
      <c r="E101" s="4" t="inlineStr">
        <is>
          <t>1 invoices</t>
        </is>
      </c>
      <c r="F101" s="6">
        <f>IF(B101="","",IFERROR(INDEX(Products!$E:$E,MATCH(B101,Products!$A:$A,0)),0))</f>
        <v/>
      </c>
      <c r="G101" s="6">
        <f>IF(B101="","",N(C101)*N(F101))</f>
        <v/>
      </c>
      <c r="H101">
        <f>IF(B101="","",IFERROR(INDEX(Products!$B:$B,MATCH(B101,Products!$A:$A,0)),"SKU not found"))</f>
        <v/>
      </c>
    </row>
    <row r="102">
      <c r="A102" s="7" t="n">
        <v>40853</v>
      </c>
      <c r="B102" s="4" t="inlineStr">
        <is>
          <t>85099B</t>
        </is>
      </c>
      <c r="C102" s="4" t="n">
        <v>110</v>
      </c>
      <c r="D102" s="4" t="inlineStr">
        <is>
          <t>UK</t>
        </is>
      </c>
      <c r="E102" s="4" t="inlineStr">
        <is>
          <t>9 invoices</t>
        </is>
      </c>
      <c r="F102" s="6">
        <f>IF(B102="","",IFERROR(INDEX(Products!$E:$E,MATCH(B102,Products!$A:$A,0)),0))</f>
        <v/>
      </c>
      <c r="G102" s="6">
        <f>IF(B102="","",N(C102)*N(F102))</f>
        <v/>
      </c>
      <c r="H102">
        <f>IF(B102="","",IFERROR(INDEX(Products!$B:$B,MATCH(B102,Products!$A:$A,0)),"SKU not found"))</f>
        <v/>
      </c>
    </row>
    <row r="103">
      <c r="A103" s="7" t="n">
        <v>40853</v>
      </c>
      <c r="B103" s="4" t="inlineStr">
        <is>
          <t>85123A</t>
        </is>
      </c>
      <c r="C103" s="4" t="n">
        <v>12</v>
      </c>
      <c r="D103" s="4" t="inlineStr">
        <is>
          <t>Other EU/Intl</t>
        </is>
      </c>
      <c r="E103" s="4" t="inlineStr">
        <is>
          <t>1 invoices</t>
        </is>
      </c>
      <c r="F103" s="6">
        <f>IF(B103="","",IFERROR(INDEX(Products!$E:$E,MATCH(B103,Products!$A:$A,0)),0))</f>
        <v/>
      </c>
      <c r="G103" s="6">
        <f>IF(B103="","",N(C103)*N(F103))</f>
        <v/>
      </c>
      <c r="H103">
        <f>IF(B103="","",IFERROR(INDEX(Products!$B:$B,MATCH(B103,Products!$A:$A,0)),"SKU not found"))</f>
        <v/>
      </c>
    </row>
    <row r="104">
      <c r="A104" s="7" t="n">
        <v>40853</v>
      </c>
      <c r="B104" s="4" t="inlineStr">
        <is>
          <t>85123A</t>
        </is>
      </c>
      <c r="C104" s="4" t="n">
        <v>74</v>
      </c>
      <c r="D104" s="4" t="inlineStr">
        <is>
          <t>UK</t>
        </is>
      </c>
      <c r="E104" s="4" t="inlineStr">
        <is>
          <t>8 invoices</t>
        </is>
      </c>
      <c r="F104" s="6">
        <f>IF(B104="","",IFERROR(INDEX(Products!$E:$E,MATCH(B104,Products!$A:$A,0)),0))</f>
        <v/>
      </c>
      <c r="G104" s="6">
        <f>IF(B104="","",N(C104)*N(F104))</f>
        <v/>
      </c>
      <c r="H104">
        <f>IF(B104="","",IFERROR(INDEX(Products!$B:$B,MATCH(B104,Products!$A:$A,0)),"SKU not found"))</f>
        <v/>
      </c>
    </row>
    <row r="105">
      <c r="A105" s="7" t="n">
        <v>40854</v>
      </c>
      <c r="B105" s="4" t="inlineStr">
        <is>
          <t>20725</t>
        </is>
      </c>
      <c r="C105" s="4" t="n">
        <v>130</v>
      </c>
      <c r="D105" s="4" t="inlineStr">
        <is>
          <t>UK</t>
        </is>
      </c>
      <c r="E105" s="4" t="inlineStr">
        <is>
          <t>4 invoices</t>
        </is>
      </c>
      <c r="F105" s="6">
        <f>IF(B105="","",IFERROR(INDEX(Products!$E:$E,MATCH(B105,Products!$A:$A,0)),0))</f>
        <v/>
      </c>
      <c r="G105" s="6">
        <f>IF(B105="","",N(C105)*N(F105))</f>
        <v/>
      </c>
      <c r="H105">
        <f>IF(B105="","",IFERROR(INDEX(Products!$B:$B,MATCH(B105,Products!$A:$A,0)),"SKU not found"))</f>
        <v/>
      </c>
    </row>
    <row r="106">
      <c r="A106" s="7" t="n">
        <v>40854</v>
      </c>
      <c r="B106" s="4" t="inlineStr">
        <is>
          <t>20727</t>
        </is>
      </c>
      <c r="C106" s="4" t="n">
        <v>40</v>
      </c>
      <c r="D106" s="4" t="inlineStr">
        <is>
          <t>UK</t>
        </is>
      </c>
      <c r="E106" s="4" t="inlineStr">
        <is>
          <t>3 invoices</t>
        </is>
      </c>
      <c r="F106" s="6">
        <f>IF(B106="","",IFERROR(INDEX(Products!$E:$E,MATCH(B106,Products!$A:$A,0)),0))</f>
        <v/>
      </c>
      <c r="G106" s="6">
        <f>IF(B106="","",N(C106)*N(F106))</f>
        <v/>
      </c>
      <c r="H106">
        <f>IF(B106="","",IFERROR(INDEX(Products!$B:$B,MATCH(B106,Products!$A:$A,0)),"SKU not found"))</f>
        <v/>
      </c>
    </row>
    <row r="107">
      <c r="A107" s="7" t="n">
        <v>40854</v>
      </c>
      <c r="B107" s="4" t="inlineStr">
        <is>
          <t>21212</t>
        </is>
      </c>
      <c r="C107" s="4" t="n">
        <v>77</v>
      </c>
      <c r="D107" s="4" t="inlineStr">
        <is>
          <t>UK</t>
        </is>
      </c>
      <c r="E107" s="4" t="inlineStr">
        <is>
          <t>5 invoices</t>
        </is>
      </c>
      <c r="F107" s="6">
        <f>IF(B107="","",IFERROR(INDEX(Products!$E:$E,MATCH(B107,Products!$A:$A,0)),0))</f>
        <v/>
      </c>
      <c r="G107" s="6">
        <f>IF(B107="","",N(C107)*N(F107))</f>
        <v/>
      </c>
      <c r="H107">
        <f>IF(B107="","",IFERROR(INDEX(Products!$B:$B,MATCH(B107,Products!$A:$A,0)),"SKU not found"))</f>
        <v/>
      </c>
    </row>
    <row r="108">
      <c r="A108" s="7" t="n">
        <v>40854</v>
      </c>
      <c r="B108" s="4" t="inlineStr">
        <is>
          <t>21931</t>
        </is>
      </c>
      <c r="C108" s="4" t="n">
        <v>53</v>
      </c>
      <c r="D108" s="4" t="inlineStr">
        <is>
          <t>UK</t>
        </is>
      </c>
      <c r="E108" s="4" t="inlineStr">
        <is>
          <t>7 invoices</t>
        </is>
      </c>
      <c r="F108" s="6">
        <f>IF(B108="","",IFERROR(INDEX(Products!$E:$E,MATCH(B108,Products!$A:$A,0)),0))</f>
        <v/>
      </c>
      <c r="G108" s="6">
        <f>IF(B108="","",N(C108)*N(F108))</f>
        <v/>
      </c>
      <c r="H108">
        <f>IF(B108="","",IFERROR(INDEX(Products!$B:$B,MATCH(B108,Products!$A:$A,0)),"SKU not found"))</f>
        <v/>
      </c>
    </row>
    <row r="109">
      <c r="A109" s="7" t="n">
        <v>40854</v>
      </c>
      <c r="B109" s="4" t="inlineStr">
        <is>
          <t>22197</t>
        </is>
      </c>
      <c r="C109" s="4" t="n">
        <v>2012</v>
      </c>
      <c r="D109" s="4" t="inlineStr">
        <is>
          <t>UK</t>
        </is>
      </c>
      <c r="E109" s="4" t="inlineStr">
        <is>
          <t>5 invoices</t>
        </is>
      </c>
      <c r="F109" s="6">
        <f>IF(B109="","",IFERROR(INDEX(Products!$E:$E,MATCH(B109,Products!$A:$A,0)),0))</f>
        <v/>
      </c>
      <c r="G109" s="6">
        <f>IF(B109="","",N(C109)*N(F109))</f>
        <v/>
      </c>
      <c r="H109">
        <f>IF(B109="","",IFERROR(INDEX(Products!$B:$B,MATCH(B109,Products!$A:$A,0)),"SKU not found"))</f>
        <v/>
      </c>
    </row>
    <row r="110">
      <c r="A110" s="7" t="n">
        <v>40854</v>
      </c>
      <c r="B110" s="4" t="inlineStr">
        <is>
          <t>22383</t>
        </is>
      </c>
      <c r="C110" s="4" t="n">
        <v>13</v>
      </c>
      <c r="D110" s="4" t="inlineStr">
        <is>
          <t>UK</t>
        </is>
      </c>
      <c r="E110" s="4" t="inlineStr">
        <is>
          <t>2 invoices</t>
        </is>
      </c>
      <c r="F110" s="6">
        <f>IF(B110="","",IFERROR(INDEX(Products!$E:$E,MATCH(B110,Products!$A:$A,0)),0))</f>
        <v/>
      </c>
      <c r="G110" s="6">
        <f>IF(B110="","",N(C110)*N(F110))</f>
        <v/>
      </c>
      <c r="H110">
        <f>IF(B110="","",IFERROR(INDEX(Products!$B:$B,MATCH(B110,Products!$A:$A,0)),"SKU not found"))</f>
        <v/>
      </c>
    </row>
    <row r="111">
      <c r="A111" s="7" t="n">
        <v>40854</v>
      </c>
      <c r="B111" s="4" t="inlineStr">
        <is>
          <t>22386</t>
        </is>
      </c>
      <c r="C111" s="4" t="n">
        <v>35</v>
      </c>
      <c r="D111" s="4" t="inlineStr">
        <is>
          <t>UK</t>
        </is>
      </c>
      <c r="E111" s="4" t="inlineStr">
        <is>
          <t>5 invoices</t>
        </is>
      </c>
      <c r="F111" s="6">
        <f>IF(B111="","",IFERROR(INDEX(Products!$E:$E,MATCH(B111,Products!$A:$A,0)),0))</f>
        <v/>
      </c>
      <c r="G111" s="6">
        <f>IF(B111="","",N(C111)*N(F111))</f>
        <v/>
      </c>
      <c r="H111">
        <f>IF(B111="","",IFERROR(INDEX(Products!$B:$B,MATCH(B111,Products!$A:$A,0)),"SKU not found"))</f>
        <v/>
      </c>
    </row>
    <row r="112">
      <c r="A112" s="7" t="n">
        <v>40854</v>
      </c>
      <c r="B112" s="4" t="inlineStr">
        <is>
          <t>22423</t>
        </is>
      </c>
      <c r="C112" s="4" t="n">
        <v>35</v>
      </c>
      <c r="D112" s="4" t="inlineStr">
        <is>
          <t>UK</t>
        </is>
      </c>
      <c r="E112" s="4" t="inlineStr">
        <is>
          <t>3 invoices</t>
        </is>
      </c>
      <c r="F112" s="6">
        <f>IF(B112="","",IFERROR(INDEX(Products!$E:$E,MATCH(B112,Products!$A:$A,0)),0))</f>
        <v/>
      </c>
      <c r="G112" s="6">
        <f>IF(B112="","",N(C112)*N(F112))</f>
        <v/>
      </c>
      <c r="H112">
        <f>IF(B112="","",IFERROR(INDEX(Products!$B:$B,MATCH(B112,Products!$A:$A,0)),"SKU not found"))</f>
        <v/>
      </c>
    </row>
    <row r="113">
      <c r="A113" s="7" t="n">
        <v>40854</v>
      </c>
      <c r="B113" s="4" t="inlineStr">
        <is>
          <t>22457</t>
        </is>
      </c>
      <c r="C113" s="4" t="n">
        <v>20</v>
      </c>
      <c r="D113" s="4" t="inlineStr">
        <is>
          <t>UK</t>
        </is>
      </c>
      <c r="E113" s="4" t="inlineStr">
        <is>
          <t>5 invoices</t>
        </is>
      </c>
      <c r="F113" s="6">
        <f>IF(B113="","",IFERROR(INDEX(Products!$E:$E,MATCH(B113,Products!$A:$A,0)),0))</f>
        <v/>
      </c>
      <c r="G113" s="6">
        <f>IF(B113="","",N(C113)*N(F113))</f>
        <v/>
      </c>
      <c r="H113">
        <f>IF(B113="","",IFERROR(INDEX(Products!$B:$B,MATCH(B113,Products!$A:$A,0)),"SKU not found"))</f>
        <v/>
      </c>
    </row>
    <row r="114">
      <c r="A114" s="7" t="n">
        <v>40854</v>
      </c>
      <c r="B114" s="4" t="inlineStr">
        <is>
          <t>22469</t>
        </is>
      </c>
      <c r="C114" s="4" t="n">
        <v>12</v>
      </c>
      <c r="D114" s="4" t="inlineStr">
        <is>
          <t>Ireland</t>
        </is>
      </c>
      <c r="E114" s="4" t="inlineStr">
        <is>
          <t>1 invoices</t>
        </is>
      </c>
      <c r="F114" s="6">
        <f>IF(B114="","",IFERROR(INDEX(Products!$E:$E,MATCH(B114,Products!$A:$A,0)),0))</f>
        <v/>
      </c>
      <c r="G114" s="6">
        <f>IF(B114="","",N(C114)*N(F114))</f>
        <v/>
      </c>
      <c r="H114">
        <f>IF(B114="","",IFERROR(INDEX(Products!$B:$B,MATCH(B114,Products!$A:$A,0)),"SKU not found"))</f>
        <v/>
      </c>
    </row>
    <row r="115">
      <c r="A115" s="7" t="n">
        <v>40854</v>
      </c>
      <c r="B115" s="4" t="inlineStr">
        <is>
          <t>22469</t>
        </is>
      </c>
      <c r="C115" s="4" t="n">
        <v>79</v>
      </c>
      <c r="D115" s="4" t="inlineStr">
        <is>
          <t>UK</t>
        </is>
      </c>
      <c r="E115" s="4" t="inlineStr">
        <is>
          <t>2 invoices</t>
        </is>
      </c>
      <c r="F115" s="6">
        <f>IF(B115="","",IFERROR(INDEX(Products!$E:$E,MATCH(B115,Products!$A:$A,0)),0))</f>
        <v/>
      </c>
      <c r="G115" s="6">
        <f>IF(B115="","",N(C115)*N(F115))</f>
        <v/>
      </c>
      <c r="H115">
        <f>IF(B115="","",IFERROR(INDEX(Products!$B:$B,MATCH(B115,Products!$A:$A,0)),"SKU not found"))</f>
        <v/>
      </c>
    </row>
    <row r="116">
      <c r="A116" s="7" t="n">
        <v>40854</v>
      </c>
      <c r="B116" s="4" t="inlineStr">
        <is>
          <t>22720</t>
        </is>
      </c>
      <c r="C116" s="4" t="n">
        <v>10</v>
      </c>
      <c r="D116" s="4" t="inlineStr">
        <is>
          <t>UK</t>
        </is>
      </c>
      <c r="E116" s="4" t="inlineStr">
        <is>
          <t>4 invoices</t>
        </is>
      </c>
      <c r="F116" s="6">
        <f>IF(B116="","",IFERROR(INDEX(Products!$E:$E,MATCH(B116,Products!$A:$A,0)),0))</f>
        <v/>
      </c>
      <c r="G116" s="6">
        <f>IF(B116="","",N(C116)*N(F116))</f>
        <v/>
      </c>
      <c r="H116">
        <f>IF(B116="","",IFERROR(INDEX(Products!$B:$B,MATCH(B116,Products!$A:$A,0)),"SKU not found"))</f>
        <v/>
      </c>
    </row>
    <row r="117">
      <c r="A117" s="7" t="n">
        <v>40854</v>
      </c>
      <c r="B117" s="4" t="inlineStr">
        <is>
          <t>47566</t>
        </is>
      </c>
      <c r="C117" s="4" t="n">
        <v>18</v>
      </c>
      <c r="D117" s="4" t="inlineStr">
        <is>
          <t>UK</t>
        </is>
      </c>
      <c r="E117" s="4" t="inlineStr">
        <is>
          <t>5 invoices</t>
        </is>
      </c>
      <c r="F117" s="6">
        <f>IF(B117="","",IFERROR(INDEX(Products!$E:$E,MATCH(B117,Products!$A:$A,0)),0))</f>
        <v/>
      </c>
      <c r="G117" s="6">
        <f>IF(B117="","",N(C117)*N(F117))</f>
        <v/>
      </c>
      <c r="H117">
        <f>IF(B117="","",IFERROR(INDEX(Products!$B:$B,MATCH(B117,Products!$A:$A,0)),"SKU not found"))</f>
        <v/>
      </c>
    </row>
    <row r="118">
      <c r="A118" s="7" t="n">
        <v>40854</v>
      </c>
      <c r="B118" s="4" t="inlineStr">
        <is>
          <t>84879</t>
        </is>
      </c>
      <c r="C118" s="4" t="n">
        <v>24</v>
      </c>
      <c r="D118" s="4" t="inlineStr">
        <is>
          <t>UK</t>
        </is>
      </c>
      <c r="E118" s="4" t="inlineStr">
        <is>
          <t>2 invoices</t>
        </is>
      </c>
      <c r="F118" s="6">
        <f>IF(B118="","",IFERROR(INDEX(Products!$E:$E,MATCH(B118,Products!$A:$A,0)),0))</f>
        <v/>
      </c>
      <c r="G118" s="6">
        <f>IF(B118="","",N(C118)*N(F118))</f>
        <v/>
      </c>
      <c r="H118">
        <f>IF(B118="","",IFERROR(INDEX(Products!$B:$B,MATCH(B118,Products!$A:$A,0)),"SKU not found"))</f>
        <v/>
      </c>
    </row>
    <row r="119">
      <c r="A119" s="7" t="n">
        <v>40854</v>
      </c>
      <c r="B119" s="4" t="inlineStr">
        <is>
          <t>85099B</t>
        </is>
      </c>
      <c r="C119" s="4" t="n">
        <v>146</v>
      </c>
      <c r="D119" s="4" t="inlineStr">
        <is>
          <t>UK</t>
        </is>
      </c>
      <c r="E119" s="4" t="inlineStr">
        <is>
          <t>10 invoices</t>
        </is>
      </c>
      <c r="F119" s="6">
        <f>IF(B119="","",IFERROR(INDEX(Products!$E:$E,MATCH(B119,Products!$A:$A,0)),0))</f>
        <v/>
      </c>
      <c r="G119" s="6">
        <f>IF(B119="","",N(C119)*N(F119))</f>
        <v/>
      </c>
      <c r="H119">
        <f>IF(B119="","",IFERROR(INDEX(Products!$B:$B,MATCH(B119,Products!$A:$A,0)),"SKU not found"))</f>
        <v/>
      </c>
    </row>
    <row r="120">
      <c r="A120" s="7" t="n">
        <v>40854</v>
      </c>
      <c r="B120" s="4" t="inlineStr">
        <is>
          <t>85123A</t>
        </is>
      </c>
      <c r="C120" s="4" t="n">
        <v>31</v>
      </c>
      <c r="D120" s="4" t="inlineStr">
        <is>
          <t>UK</t>
        </is>
      </c>
      <c r="E120" s="4" t="inlineStr">
        <is>
          <t>6 invoices</t>
        </is>
      </c>
      <c r="F120" s="6">
        <f>IF(B120="","",IFERROR(INDEX(Products!$E:$E,MATCH(B120,Products!$A:$A,0)),0))</f>
        <v/>
      </c>
      <c r="G120" s="6">
        <f>IF(B120="","",N(C120)*N(F120))</f>
        <v/>
      </c>
      <c r="H120">
        <f>IF(B120="","",IFERROR(INDEX(Products!$B:$B,MATCH(B120,Products!$A:$A,0)),"SKU not found"))</f>
        <v/>
      </c>
    </row>
    <row r="121">
      <c r="A121" s="7" t="n">
        <v>40854</v>
      </c>
      <c r="B121" s="4" t="inlineStr">
        <is>
          <t>85123A</t>
        </is>
      </c>
      <c r="C121" s="4" t="n">
        <v>64</v>
      </c>
      <c r="D121" s="4" t="inlineStr">
        <is>
          <t>Ireland</t>
        </is>
      </c>
      <c r="E121" s="4" t="inlineStr">
        <is>
          <t>1 invoices</t>
        </is>
      </c>
      <c r="F121" s="6">
        <f>IF(B121="","",IFERROR(INDEX(Products!$E:$E,MATCH(B121,Products!$A:$A,0)),0))</f>
        <v/>
      </c>
      <c r="G121" s="6">
        <f>IF(B121="","",N(C121)*N(F121))</f>
        <v/>
      </c>
      <c r="H121">
        <f>IF(B121="","",IFERROR(INDEX(Products!$B:$B,MATCH(B121,Products!$A:$A,0)),"SKU not found"))</f>
        <v/>
      </c>
    </row>
    <row r="122">
      <c r="A122" s="7" t="n">
        <v>40855</v>
      </c>
      <c r="B122" s="4" t="inlineStr">
        <is>
          <t>20725</t>
        </is>
      </c>
      <c r="C122" s="4" t="n">
        <v>61</v>
      </c>
      <c r="D122" s="4" t="inlineStr">
        <is>
          <t>UK</t>
        </is>
      </c>
      <c r="E122" s="4" t="inlineStr">
        <is>
          <t>7 invoices</t>
        </is>
      </c>
      <c r="F122" s="6">
        <f>IF(B122="","",IFERROR(INDEX(Products!$E:$E,MATCH(B122,Products!$A:$A,0)),0))</f>
        <v/>
      </c>
      <c r="G122" s="6">
        <f>IF(B122="","",N(C122)*N(F122))</f>
        <v/>
      </c>
      <c r="H122">
        <f>IF(B122="","",IFERROR(INDEX(Products!$B:$B,MATCH(B122,Products!$A:$A,0)),"SKU not found"))</f>
        <v/>
      </c>
    </row>
    <row r="123">
      <c r="A123" s="7" t="n">
        <v>40855</v>
      </c>
      <c r="B123" s="4" t="inlineStr">
        <is>
          <t>20727</t>
        </is>
      </c>
      <c r="C123" s="4" t="n">
        <v>52</v>
      </c>
      <c r="D123" s="4" t="inlineStr">
        <is>
          <t>UK</t>
        </is>
      </c>
      <c r="E123" s="4" t="inlineStr">
        <is>
          <t>9 invoices</t>
        </is>
      </c>
      <c r="F123" s="6">
        <f>IF(B123="","",IFERROR(INDEX(Products!$E:$E,MATCH(B123,Products!$A:$A,0)),0))</f>
        <v/>
      </c>
      <c r="G123" s="6">
        <f>IF(B123="","",N(C123)*N(F123))</f>
        <v/>
      </c>
      <c r="H123">
        <f>IF(B123="","",IFERROR(INDEX(Products!$B:$B,MATCH(B123,Products!$A:$A,0)),"SKU not found"))</f>
        <v/>
      </c>
    </row>
    <row r="124">
      <c r="A124" s="7" t="n">
        <v>40855</v>
      </c>
      <c r="B124" s="4" t="inlineStr">
        <is>
          <t>21212</t>
        </is>
      </c>
      <c r="C124" s="4" t="n">
        <v>66</v>
      </c>
      <c r="D124" s="4" t="inlineStr">
        <is>
          <t>UK</t>
        </is>
      </c>
      <c r="E124" s="4" t="inlineStr">
        <is>
          <t>5 invoices</t>
        </is>
      </c>
      <c r="F124" s="6">
        <f>IF(B124="","",IFERROR(INDEX(Products!$E:$E,MATCH(B124,Products!$A:$A,0)),0))</f>
        <v/>
      </c>
      <c r="G124" s="6">
        <f>IF(B124="","",N(C124)*N(F124))</f>
        <v/>
      </c>
      <c r="H124">
        <f>IF(B124="","",IFERROR(INDEX(Products!$B:$B,MATCH(B124,Products!$A:$A,0)),"SKU not found"))</f>
        <v/>
      </c>
    </row>
    <row r="125">
      <c r="A125" s="7" t="n">
        <v>40855</v>
      </c>
      <c r="B125" s="4" t="inlineStr">
        <is>
          <t>21931</t>
        </is>
      </c>
      <c r="C125" s="4" t="n">
        <v>156</v>
      </c>
      <c r="D125" s="4" t="inlineStr">
        <is>
          <t>UK</t>
        </is>
      </c>
      <c r="E125" s="4" t="inlineStr">
        <is>
          <t>10 invoices</t>
        </is>
      </c>
      <c r="F125" s="6">
        <f>IF(B125="","",IFERROR(INDEX(Products!$E:$E,MATCH(B125,Products!$A:$A,0)),0))</f>
        <v/>
      </c>
      <c r="G125" s="6">
        <f>IF(B125="","",N(C125)*N(F125))</f>
        <v/>
      </c>
      <c r="H125">
        <f>IF(B125="","",IFERROR(INDEX(Products!$B:$B,MATCH(B125,Products!$A:$A,0)),"SKU not found"))</f>
        <v/>
      </c>
    </row>
    <row r="126">
      <c r="A126" s="7" t="n">
        <v>40855</v>
      </c>
      <c r="B126" s="4" t="inlineStr">
        <is>
          <t>22197</t>
        </is>
      </c>
      <c r="C126" s="4" t="n">
        <v>24</v>
      </c>
      <c r="D126" s="4" t="inlineStr">
        <is>
          <t>France</t>
        </is>
      </c>
      <c r="E126" s="4" t="inlineStr">
        <is>
          <t>1 invoices</t>
        </is>
      </c>
      <c r="F126" s="6">
        <f>IF(B126="","",IFERROR(INDEX(Products!$E:$E,MATCH(B126,Products!$A:$A,0)),0))</f>
        <v/>
      </c>
      <c r="G126" s="6">
        <f>IF(B126="","",N(C126)*N(F126))</f>
        <v/>
      </c>
      <c r="H126">
        <f>IF(B126="","",IFERROR(INDEX(Products!$B:$B,MATCH(B126,Products!$A:$A,0)),"SKU not found"))</f>
        <v/>
      </c>
    </row>
    <row r="127">
      <c r="A127" s="7" t="n">
        <v>40855</v>
      </c>
      <c r="B127" s="4" t="inlineStr">
        <is>
          <t>22197</t>
        </is>
      </c>
      <c r="C127" s="4" t="n">
        <v>148</v>
      </c>
      <c r="D127" s="4" t="inlineStr">
        <is>
          <t>UK</t>
        </is>
      </c>
      <c r="E127" s="4" t="inlineStr">
        <is>
          <t>9 invoices</t>
        </is>
      </c>
      <c r="F127" s="6">
        <f>IF(B127="","",IFERROR(INDEX(Products!$E:$E,MATCH(B127,Products!$A:$A,0)),0))</f>
        <v/>
      </c>
      <c r="G127" s="6">
        <f>IF(B127="","",N(C127)*N(F127))</f>
        <v/>
      </c>
      <c r="H127">
        <f>IF(B127="","",IFERROR(INDEX(Products!$B:$B,MATCH(B127,Products!$A:$A,0)),"SKU not found"))</f>
        <v/>
      </c>
    </row>
    <row r="128">
      <c r="A128" s="7" t="n">
        <v>40855</v>
      </c>
      <c r="B128" s="4" t="inlineStr">
        <is>
          <t>22383</t>
        </is>
      </c>
      <c r="C128" s="4" t="n">
        <v>56</v>
      </c>
      <c r="D128" s="4" t="inlineStr">
        <is>
          <t>UK</t>
        </is>
      </c>
      <c r="E128" s="4" t="inlineStr">
        <is>
          <t>7 invoices</t>
        </is>
      </c>
      <c r="F128" s="6">
        <f>IF(B128="","",IFERROR(INDEX(Products!$E:$E,MATCH(B128,Products!$A:$A,0)),0))</f>
        <v/>
      </c>
      <c r="G128" s="6">
        <f>IF(B128="","",N(C128)*N(F128))</f>
        <v/>
      </c>
      <c r="H128">
        <f>IF(B128="","",IFERROR(INDEX(Products!$B:$B,MATCH(B128,Products!$A:$A,0)),"SKU not found"))</f>
        <v/>
      </c>
    </row>
    <row r="129">
      <c r="A129" s="7" t="n">
        <v>40855</v>
      </c>
      <c r="B129" s="4" t="inlineStr">
        <is>
          <t>22386</t>
        </is>
      </c>
      <c r="C129" s="4" t="n">
        <v>71</v>
      </c>
      <c r="D129" s="4" t="inlineStr">
        <is>
          <t>UK</t>
        </is>
      </c>
      <c r="E129" s="4" t="inlineStr">
        <is>
          <t>6 invoices</t>
        </is>
      </c>
      <c r="F129" s="6">
        <f>IF(B129="","",IFERROR(INDEX(Products!$E:$E,MATCH(B129,Products!$A:$A,0)),0))</f>
        <v/>
      </c>
      <c r="G129" s="6">
        <f>IF(B129="","",N(C129)*N(F129))</f>
        <v/>
      </c>
      <c r="H129">
        <f>IF(B129="","",IFERROR(INDEX(Products!$B:$B,MATCH(B129,Products!$A:$A,0)),"SKU not found"))</f>
        <v/>
      </c>
    </row>
    <row r="130">
      <c r="A130" s="7" t="n">
        <v>40855</v>
      </c>
      <c r="B130" s="4" t="inlineStr">
        <is>
          <t>22423</t>
        </is>
      </c>
      <c r="C130" s="4" t="n">
        <v>1</v>
      </c>
      <c r="D130" s="4" t="inlineStr">
        <is>
          <t>Other EU/Intl</t>
        </is>
      </c>
      <c r="E130" s="4" t="inlineStr">
        <is>
          <t>1 invoices</t>
        </is>
      </c>
      <c r="F130" s="6">
        <f>IF(B130="","",IFERROR(INDEX(Products!$E:$E,MATCH(B130,Products!$A:$A,0)),0))</f>
        <v/>
      </c>
      <c r="G130" s="6">
        <f>IF(B130="","",N(C130)*N(F130))</f>
        <v/>
      </c>
      <c r="H130">
        <f>IF(B130="","",IFERROR(INDEX(Products!$B:$B,MATCH(B130,Products!$A:$A,0)),"SKU not found"))</f>
        <v/>
      </c>
    </row>
    <row r="131">
      <c r="A131" s="7" t="n">
        <v>40855</v>
      </c>
      <c r="B131" s="4" t="inlineStr">
        <is>
          <t>22423</t>
        </is>
      </c>
      <c r="C131" s="4" t="n">
        <v>10</v>
      </c>
      <c r="D131" s="4" t="inlineStr">
        <is>
          <t>UK</t>
        </is>
      </c>
      <c r="E131" s="4" t="inlineStr">
        <is>
          <t>6 invoices</t>
        </is>
      </c>
      <c r="F131" s="6">
        <f>IF(B131="","",IFERROR(INDEX(Products!$E:$E,MATCH(B131,Products!$A:$A,0)),0))</f>
        <v/>
      </c>
      <c r="G131" s="6">
        <f>IF(B131="","",N(C131)*N(F131))</f>
        <v/>
      </c>
      <c r="H131">
        <f>IF(B131="","",IFERROR(INDEX(Products!$B:$B,MATCH(B131,Products!$A:$A,0)),"SKU not found"))</f>
        <v/>
      </c>
    </row>
    <row r="132">
      <c r="A132" s="7" t="n">
        <v>40855</v>
      </c>
      <c r="B132" s="4" t="inlineStr">
        <is>
          <t>22457</t>
        </is>
      </c>
      <c r="C132" s="4" t="n">
        <v>49</v>
      </c>
      <c r="D132" s="4" t="inlineStr">
        <is>
          <t>UK</t>
        </is>
      </c>
      <c r="E132" s="4" t="inlineStr">
        <is>
          <t>8 invoices</t>
        </is>
      </c>
      <c r="F132" s="6">
        <f>IF(B132="","",IFERROR(INDEX(Products!$E:$E,MATCH(B132,Products!$A:$A,0)),0))</f>
        <v/>
      </c>
      <c r="G132" s="6">
        <f>IF(B132="","",N(C132)*N(F132))</f>
        <v/>
      </c>
      <c r="H132">
        <f>IF(B132="","",IFERROR(INDEX(Products!$B:$B,MATCH(B132,Products!$A:$A,0)),"SKU not found"))</f>
        <v/>
      </c>
    </row>
    <row r="133">
      <c r="A133" s="7" t="n">
        <v>40855</v>
      </c>
      <c r="B133" s="4" t="inlineStr">
        <is>
          <t>22469</t>
        </is>
      </c>
      <c r="C133" s="4" t="n">
        <v>53</v>
      </c>
      <c r="D133" s="4" t="inlineStr">
        <is>
          <t>UK</t>
        </is>
      </c>
      <c r="E133" s="4" t="inlineStr">
        <is>
          <t>8 invoices</t>
        </is>
      </c>
      <c r="F133" s="6">
        <f>IF(B133="","",IFERROR(INDEX(Products!$E:$E,MATCH(B133,Products!$A:$A,0)),0))</f>
        <v/>
      </c>
      <c r="G133" s="6">
        <f>IF(B133="","",N(C133)*N(F133))</f>
        <v/>
      </c>
      <c r="H133">
        <f>IF(B133="","",IFERROR(INDEX(Products!$B:$B,MATCH(B133,Products!$A:$A,0)),"SKU not found"))</f>
        <v/>
      </c>
    </row>
    <row r="134">
      <c r="A134" s="7" t="n">
        <v>40855</v>
      </c>
      <c r="B134" s="4" t="inlineStr">
        <is>
          <t>22720</t>
        </is>
      </c>
      <c r="C134" s="4" t="n">
        <v>26</v>
      </c>
      <c r="D134" s="4" t="inlineStr">
        <is>
          <t>UK</t>
        </is>
      </c>
      <c r="E134" s="4" t="inlineStr">
        <is>
          <t>9 invoices</t>
        </is>
      </c>
      <c r="F134" s="6">
        <f>IF(B134="","",IFERROR(INDEX(Products!$E:$E,MATCH(B134,Products!$A:$A,0)),0))</f>
        <v/>
      </c>
      <c r="G134" s="6">
        <f>IF(B134="","",N(C134)*N(F134))</f>
        <v/>
      </c>
      <c r="H134">
        <f>IF(B134="","",IFERROR(INDEX(Products!$B:$B,MATCH(B134,Products!$A:$A,0)),"SKU not found"))</f>
        <v/>
      </c>
    </row>
    <row r="135">
      <c r="A135" s="7" t="n">
        <v>40855</v>
      </c>
      <c r="B135" s="4" t="inlineStr">
        <is>
          <t>47566</t>
        </is>
      </c>
      <c r="C135" s="4" t="n">
        <v>14</v>
      </c>
      <c r="D135" s="4" t="inlineStr">
        <is>
          <t>UK</t>
        </is>
      </c>
      <c r="E135" s="4" t="inlineStr">
        <is>
          <t>4 invoices</t>
        </is>
      </c>
      <c r="F135" s="6">
        <f>IF(B135="","",IFERROR(INDEX(Products!$E:$E,MATCH(B135,Products!$A:$A,0)),0))</f>
        <v/>
      </c>
      <c r="G135" s="6">
        <f>IF(B135="","",N(C135)*N(F135))</f>
        <v/>
      </c>
      <c r="H135">
        <f>IF(B135="","",IFERROR(INDEX(Products!$B:$B,MATCH(B135,Products!$A:$A,0)),"SKU not found"))</f>
        <v/>
      </c>
    </row>
    <row r="136">
      <c r="A136" s="7" t="n">
        <v>40855</v>
      </c>
      <c r="B136" s="4" t="inlineStr">
        <is>
          <t>84879</t>
        </is>
      </c>
      <c r="C136" s="4" t="n">
        <v>56</v>
      </c>
      <c r="D136" s="4" t="inlineStr">
        <is>
          <t>UK</t>
        </is>
      </c>
      <c r="E136" s="4" t="inlineStr">
        <is>
          <t>3 invoices</t>
        </is>
      </c>
      <c r="F136" s="6">
        <f>IF(B136="","",IFERROR(INDEX(Products!$E:$E,MATCH(B136,Products!$A:$A,0)),0))</f>
        <v/>
      </c>
      <c r="G136" s="6">
        <f>IF(B136="","",N(C136)*N(F136))</f>
        <v/>
      </c>
      <c r="H136">
        <f>IF(B136="","",IFERROR(INDEX(Products!$B:$B,MATCH(B136,Products!$A:$A,0)),"SKU not found"))</f>
        <v/>
      </c>
    </row>
    <row r="137">
      <c r="A137" s="7" t="n">
        <v>40855</v>
      </c>
      <c r="B137" s="4" t="inlineStr">
        <is>
          <t>85099B</t>
        </is>
      </c>
      <c r="C137" s="4" t="n">
        <v>10</v>
      </c>
      <c r="D137" s="4" t="inlineStr">
        <is>
          <t>France</t>
        </is>
      </c>
      <c r="E137" s="4" t="inlineStr">
        <is>
          <t>1 invoices</t>
        </is>
      </c>
      <c r="F137" s="6">
        <f>IF(B137="","",IFERROR(INDEX(Products!$E:$E,MATCH(B137,Products!$A:$A,0)),0))</f>
        <v/>
      </c>
      <c r="G137" s="6">
        <f>IF(B137="","",N(C137)*N(F137))</f>
        <v/>
      </c>
      <c r="H137">
        <f>IF(B137="","",IFERROR(INDEX(Products!$B:$B,MATCH(B137,Products!$A:$A,0)),"SKU not found"))</f>
        <v/>
      </c>
    </row>
    <row r="138">
      <c r="A138" s="7" t="n">
        <v>40855</v>
      </c>
      <c r="B138" s="4" t="inlineStr">
        <is>
          <t>85099B</t>
        </is>
      </c>
      <c r="C138" s="4" t="n">
        <v>149</v>
      </c>
      <c r="D138" s="4" t="inlineStr">
        <is>
          <t>UK</t>
        </is>
      </c>
      <c r="E138" s="4" t="inlineStr">
        <is>
          <t>13 invoices</t>
        </is>
      </c>
      <c r="F138" s="6">
        <f>IF(B138="","",IFERROR(INDEX(Products!$E:$E,MATCH(B138,Products!$A:$A,0)),0))</f>
        <v/>
      </c>
      <c r="G138" s="6">
        <f>IF(B138="","",N(C138)*N(F138))</f>
        <v/>
      </c>
      <c r="H138">
        <f>IF(B138="","",IFERROR(INDEX(Products!$B:$B,MATCH(B138,Products!$A:$A,0)),"SKU not found"))</f>
        <v/>
      </c>
    </row>
    <row r="139">
      <c r="A139" s="7" t="n">
        <v>40855</v>
      </c>
      <c r="B139" s="4" t="inlineStr">
        <is>
          <t>85123A</t>
        </is>
      </c>
      <c r="C139" s="4" t="n">
        <v>97</v>
      </c>
      <c r="D139" s="4" t="inlineStr">
        <is>
          <t>UK</t>
        </is>
      </c>
      <c r="E139" s="4" t="inlineStr">
        <is>
          <t>11 invoices</t>
        </is>
      </c>
      <c r="F139" s="6">
        <f>IF(B139="","",IFERROR(INDEX(Products!$E:$E,MATCH(B139,Products!$A:$A,0)),0))</f>
        <v/>
      </c>
      <c r="G139" s="6">
        <f>IF(B139="","",N(C139)*N(F139))</f>
        <v/>
      </c>
      <c r="H139">
        <f>IF(B139="","",IFERROR(INDEX(Products!$B:$B,MATCH(B139,Products!$A:$A,0)),"SKU not found"))</f>
        <v/>
      </c>
    </row>
    <row r="140">
      <c r="A140" s="7" t="n">
        <v>40856</v>
      </c>
      <c r="B140" s="4" t="inlineStr">
        <is>
          <t>20725</t>
        </is>
      </c>
      <c r="C140" s="4" t="n">
        <v>161</v>
      </c>
      <c r="D140" s="4" t="inlineStr">
        <is>
          <t>UK</t>
        </is>
      </c>
      <c r="E140" s="4" t="inlineStr">
        <is>
          <t>7 invoices</t>
        </is>
      </c>
      <c r="F140" s="6">
        <f>IF(B140="","",IFERROR(INDEX(Products!$E:$E,MATCH(B140,Products!$A:$A,0)),0))</f>
        <v/>
      </c>
      <c r="G140" s="6">
        <f>IF(B140="","",N(C140)*N(F140))</f>
        <v/>
      </c>
      <c r="H140">
        <f>IF(B140="","",IFERROR(INDEX(Products!$B:$B,MATCH(B140,Products!$A:$A,0)),"SKU not found"))</f>
        <v/>
      </c>
    </row>
    <row r="141">
      <c r="A141" s="7" t="n">
        <v>40856</v>
      </c>
      <c r="B141" s="4" t="inlineStr">
        <is>
          <t>20727</t>
        </is>
      </c>
      <c r="C141" s="4" t="n">
        <v>52</v>
      </c>
      <c r="D141" s="4" t="inlineStr">
        <is>
          <t>UK</t>
        </is>
      </c>
      <c r="E141" s="4" t="inlineStr">
        <is>
          <t>6 invoices</t>
        </is>
      </c>
      <c r="F141" s="6">
        <f>IF(B141="","",IFERROR(INDEX(Products!$E:$E,MATCH(B141,Products!$A:$A,0)),0))</f>
        <v/>
      </c>
      <c r="G141" s="6">
        <f>IF(B141="","",N(C141)*N(F141))</f>
        <v/>
      </c>
      <c r="H141">
        <f>IF(B141="","",IFERROR(INDEX(Products!$B:$B,MATCH(B141,Products!$A:$A,0)),"SKU not found"))</f>
        <v/>
      </c>
    </row>
    <row r="142">
      <c r="A142" s="7" t="n">
        <v>40856</v>
      </c>
      <c r="B142" s="4" t="inlineStr">
        <is>
          <t>21212</t>
        </is>
      </c>
      <c r="C142" s="4" t="n">
        <v>4</v>
      </c>
      <c r="D142" s="4" t="inlineStr">
        <is>
          <t>UK</t>
        </is>
      </c>
      <c r="E142" s="4" t="inlineStr">
        <is>
          <t>1 invoices</t>
        </is>
      </c>
      <c r="F142" s="6">
        <f>IF(B142="","",IFERROR(INDEX(Products!$E:$E,MATCH(B142,Products!$A:$A,0)),0))</f>
        <v/>
      </c>
      <c r="G142" s="6">
        <f>IF(B142="","",N(C142)*N(F142))</f>
        <v/>
      </c>
      <c r="H142">
        <f>IF(B142="","",IFERROR(INDEX(Products!$B:$B,MATCH(B142,Products!$A:$A,0)),"SKU not found"))</f>
        <v/>
      </c>
    </row>
    <row r="143">
      <c r="A143" s="7" t="n">
        <v>40856</v>
      </c>
      <c r="B143" s="4" t="inlineStr">
        <is>
          <t>21931</t>
        </is>
      </c>
      <c r="C143" s="4" t="n">
        <v>226</v>
      </c>
      <c r="D143" s="4" t="inlineStr">
        <is>
          <t>UK</t>
        </is>
      </c>
      <c r="E143" s="4" t="inlineStr">
        <is>
          <t>6 invoices</t>
        </is>
      </c>
      <c r="F143" s="6">
        <f>IF(B143="","",IFERROR(INDEX(Products!$E:$E,MATCH(B143,Products!$A:$A,0)),0))</f>
        <v/>
      </c>
      <c r="G143" s="6">
        <f>IF(B143="","",N(C143)*N(F143))</f>
        <v/>
      </c>
      <c r="H143">
        <f>IF(B143="","",IFERROR(INDEX(Products!$B:$B,MATCH(B143,Products!$A:$A,0)),"SKU not found"))</f>
        <v/>
      </c>
    </row>
    <row r="144">
      <c r="A144" s="7" t="n">
        <v>40856</v>
      </c>
      <c r="B144" s="4" t="inlineStr">
        <is>
          <t>22197</t>
        </is>
      </c>
      <c r="C144" s="4" t="n">
        <v>1079</v>
      </c>
      <c r="D144" s="4" t="inlineStr">
        <is>
          <t>UK</t>
        </is>
      </c>
      <c r="E144" s="4" t="inlineStr">
        <is>
          <t>7 invoices</t>
        </is>
      </c>
      <c r="F144" s="6">
        <f>IF(B144="","",IFERROR(INDEX(Products!$E:$E,MATCH(B144,Products!$A:$A,0)),0))</f>
        <v/>
      </c>
      <c r="G144" s="6">
        <f>IF(B144="","",N(C144)*N(F144))</f>
        <v/>
      </c>
      <c r="H144">
        <f>IF(B144="","",IFERROR(INDEX(Products!$B:$B,MATCH(B144,Products!$A:$A,0)),"SKU not found"))</f>
        <v/>
      </c>
    </row>
    <row r="145">
      <c r="A145" s="7" t="n">
        <v>40856</v>
      </c>
      <c r="B145" s="4" t="inlineStr">
        <is>
          <t>22383</t>
        </is>
      </c>
      <c r="C145" s="4" t="n">
        <v>52</v>
      </c>
      <c r="D145" s="4" t="inlineStr">
        <is>
          <t>UK</t>
        </is>
      </c>
      <c r="E145" s="4" t="inlineStr">
        <is>
          <t>4 invoices</t>
        </is>
      </c>
      <c r="F145" s="6">
        <f>IF(B145="","",IFERROR(INDEX(Products!$E:$E,MATCH(B145,Products!$A:$A,0)),0))</f>
        <v/>
      </c>
      <c r="G145" s="6">
        <f>IF(B145="","",N(C145)*N(F145))</f>
        <v/>
      </c>
      <c r="H145">
        <f>IF(B145="","",IFERROR(INDEX(Products!$B:$B,MATCH(B145,Products!$A:$A,0)),"SKU not found"))</f>
        <v/>
      </c>
    </row>
    <row r="146">
      <c r="A146" s="7" t="n">
        <v>40856</v>
      </c>
      <c r="B146" s="4" t="inlineStr">
        <is>
          <t>22386</t>
        </is>
      </c>
      <c r="C146" s="4" t="n">
        <v>254</v>
      </c>
      <c r="D146" s="4" t="inlineStr">
        <is>
          <t>UK</t>
        </is>
      </c>
      <c r="E146" s="4" t="inlineStr">
        <is>
          <t>6 invoices</t>
        </is>
      </c>
      <c r="F146" s="6">
        <f>IF(B146="","",IFERROR(INDEX(Products!$E:$E,MATCH(B146,Products!$A:$A,0)),0))</f>
        <v/>
      </c>
      <c r="G146" s="6">
        <f>IF(B146="","",N(C146)*N(F146))</f>
        <v/>
      </c>
      <c r="H146">
        <f>IF(B146="","",IFERROR(INDEX(Products!$B:$B,MATCH(B146,Products!$A:$A,0)),"SKU not found"))</f>
        <v/>
      </c>
    </row>
    <row r="147">
      <c r="A147" s="7" t="n">
        <v>40856</v>
      </c>
      <c r="B147" s="4" t="inlineStr">
        <is>
          <t>22423</t>
        </is>
      </c>
      <c r="C147" s="4" t="n">
        <v>1</v>
      </c>
      <c r="D147" s="4" t="inlineStr">
        <is>
          <t>France</t>
        </is>
      </c>
      <c r="E147" s="4" t="inlineStr">
        <is>
          <t>1 invoices</t>
        </is>
      </c>
      <c r="F147" s="6">
        <f>IF(B147="","",IFERROR(INDEX(Products!$E:$E,MATCH(B147,Products!$A:$A,0)),0))</f>
        <v/>
      </c>
      <c r="G147" s="6">
        <f>IF(B147="","",N(C147)*N(F147))</f>
        <v/>
      </c>
      <c r="H147">
        <f>IF(B147="","",IFERROR(INDEX(Products!$B:$B,MATCH(B147,Products!$A:$A,0)),"SKU not found"))</f>
        <v/>
      </c>
    </row>
    <row r="148">
      <c r="A148" s="7" t="n">
        <v>40856</v>
      </c>
      <c r="B148" s="4" t="inlineStr">
        <is>
          <t>22423</t>
        </is>
      </c>
      <c r="C148" s="4" t="n">
        <v>15</v>
      </c>
      <c r="D148" s="4" t="inlineStr">
        <is>
          <t>UK</t>
        </is>
      </c>
      <c r="E148" s="4" t="inlineStr">
        <is>
          <t>7 invoices</t>
        </is>
      </c>
      <c r="F148" s="6">
        <f>IF(B148="","",IFERROR(INDEX(Products!$E:$E,MATCH(B148,Products!$A:$A,0)),0))</f>
        <v/>
      </c>
      <c r="G148" s="6">
        <f>IF(B148="","",N(C148)*N(F148))</f>
        <v/>
      </c>
      <c r="H148">
        <f>IF(B148="","",IFERROR(INDEX(Products!$B:$B,MATCH(B148,Products!$A:$A,0)),"SKU not found"))</f>
        <v/>
      </c>
    </row>
    <row r="149">
      <c r="A149" s="7" t="n">
        <v>40856</v>
      </c>
      <c r="B149" s="4" t="inlineStr">
        <is>
          <t>22457</t>
        </is>
      </c>
      <c r="C149" s="4" t="n">
        <v>30</v>
      </c>
      <c r="D149" s="4" t="inlineStr">
        <is>
          <t>UK</t>
        </is>
      </c>
      <c r="E149" s="4" t="inlineStr">
        <is>
          <t>3 invoices</t>
        </is>
      </c>
      <c r="F149" s="6">
        <f>IF(B149="","",IFERROR(INDEX(Products!$E:$E,MATCH(B149,Products!$A:$A,0)),0))</f>
        <v/>
      </c>
      <c r="G149" s="6">
        <f>IF(B149="","",N(C149)*N(F149))</f>
        <v/>
      </c>
      <c r="H149">
        <f>IF(B149="","",IFERROR(INDEX(Products!$B:$B,MATCH(B149,Products!$A:$A,0)),"SKU not found"))</f>
        <v/>
      </c>
    </row>
    <row r="150">
      <c r="A150" s="7" t="n">
        <v>40856</v>
      </c>
      <c r="B150" s="4" t="inlineStr">
        <is>
          <t>22469</t>
        </is>
      </c>
      <c r="C150" s="4" t="n">
        <v>6</v>
      </c>
      <c r="D150" s="4" t="inlineStr">
        <is>
          <t>UK</t>
        </is>
      </c>
      <c r="E150" s="4" t="inlineStr">
        <is>
          <t>2 invoices</t>
        </is>
      </c>
      <c r="F150" s="6">
        <f>IF(B150="","",IFERROR(INDEX(Products!$E:$E,MATCH(B150,Products!$A:$A,0)),0))</f>
        <v/>
      </c>
      <c r="G150" s="6">
        <f>IF(B150="","",N(C150)*N(F150))</f>
        <v/>
      </c>
      <c r="H150">
        <f>IF(B150="","",IFERROR(INDEX(Products!$B:$B,MATCH(B150,Products!$A:$A,0)),"SKU not found"))</f>
        <v/>
      </c>
    </row>
    <row r="151">
      <c r="A151" s="7" t="n">
        <v>40856</v>
      </c>
      <c r="B151" s="4" t="inlineStr">
        <is>
          <t>22720</t>
        </is>
      </c>
      <c r="C151" s="4" t="n">
        <v>14</v>
      </c>
      <c r="D151" s="4" t="inlineStr">
        <is>
          <t>UK</t>
        </is>
      </c>
      <c r="E151" s="4" t="inlineStr">
        <is>
          <t>5 invoices</t>
        </is>
      </c>
      <c r="F151" s="6">
        <f>IF(B151="","",IFERROR(INDEX(Products!$E:$E,MATCH(B151,Products!$A:$A,0)),0))</f>
        <v/>
      </c>
      <c r="G151" s="6">
        <f>IF(B151="","",N(C151)*N(F151))</f>
        <v/>
      </c>
      <c r="H151">
        <f>IF(B151="","",IFERROR(INDEX(Products!$B:$B,MATCH(B151,Products!$A:$A,0)),"SKU not found"))</f>
        <v/>
      </c>
    </row>
    <row r="152">
      <c r="A152" s="7" t="n">
        <v>40856</v>
      </c>
      <c r="B152" s="4" t="inlineStr">
        <is>
          <t>47566</t>
        </is>
      </c>
      <c r="C152" s="4" t="n">
        <v>29</v>
      </c>
      <c r="D152" s="4" t="inlineStr">
        <is>
          <t>UK</t>
        </is>
      </c>
      <c r="E152" s="4" t="inlineStr">
        <is>
          <t>5 invoices</t>
        </is>
      </c>
      <c r="F152" s="6">
        <f>IF(B152="","",IFERROR(INDEX(Products!$E:$E,MATCH(B152,Products!$A:$A,0)),0))</f>
        <v/>
      </c>
      <c r="G152" s="6">
        <f>IF(B152="","",N(C152)*N(F152))</f>
        <v/>
      </c>
      <c r="H152">
        <f>IF(B152="","",IFERROR(INDEX(Products!$B:$B,MATCH(B152,Products!$A:$A,0)),"SKU not found"))</f>
        <v/>
      </c>
    </row>
    <row r="153">
      <c r="A153" s="7" t="n">
        <v>40856</v>
      </c>
      <c r="B153" s="4" t="inlineStr">
        <is>
          <t>84879</t>
        </is>
      </c>
      <c r="C153" s="4" t="n">
        <v>1312</v>
      </c>
      <c r="D153" s="4" t="inlineStr">
        <is>
          <t>UK</t>
        </is>
      </c>
      <c r="E153" s="4" t="inlineStr">
        <is>
          <t>8 invoices</t>
        </is>
      </c>
      <c r="F153" s="6">
        <f>IF(B153="","",IFERROR(INDEX(Products!$E:$E,MATCH(B153,Products!$A:$A,0)),0))</f>
        <v/>
      </c>
      <c r="G153" s="6">
        <f>IF(B153="","",N(C153)*N(F153))</f>
        <v/>
      </c>
      <c r="H153">
        <f>IF(B153="","",IFERROR(INDEX(Products!$B:$B,MATCH(B153,Products!$A:$A,0)),"SKU not found"))</f>
        <v/>
      </c>
    </row>
    <row r="154">
      <c r="A154" s="7" t="n">
        <v>40856</v>
      </c>
      <c r="B154" s="4" t="inlineStr">
        <is>
          <t>85099B</t>
        </is>
      </c>
      <c r="C154" s="4" t="n">
        <v>725</v>
      </c>
      <c r="D154" s="4" t="inlineStr">
        <is>
          <t>UK</t>
        </is>
      </c>
      <c r="E154" s="4" t="inlineStr">
        <is>
          <t>15 invoices</t>
        </is>
      </c>
      <c r="F154" s="6">
        <f>IF(B154="","",IFERROR(INDEX(Products!$E:$E,MATCH(B154,Products!$A:$A,0)),0))</f>
        <v/>
      </c>
      <c r="G154" s="6">
        <f>IF(B154="","",N(C154)*N(F154))</f>
        <v/>
      </c>
      <c r="H154">
        <f>IF(B154="","",IFERROR(INDEX(Products!$B:$B,MATCH(B154,Products!$A:$A,0)),"SKU not found"))</f>
        <v/>
      </c>
    </row>
    <row r="155">
      <c r="A155" s="7" t="n">
        <v>40856</v>
      </c>
      <c r="B155" s="4" t="inlineStr">
        <is>
          <t>85123A</t>
        </is>
      </c>
      <c r="C155" s="4" t="n">
        <v>113</v>
      </c>
      <c r="D155" s="4" t="inlineStr">
        <is>
          <t>UK</t>
        </is>
      </c>
      <c r="E155" s="4" t="inlineStr">
        <is>
          <t>6 invoices</t>
        </is>
      </c>
      <c r="F155" s="6">
        <f>IF(B155="","",IFERROR(INDEX(Products!$E:$E,MATCH(B155,Products!$A:$A,0)),0))</f>
        <v/>
      </c>
      <c r="G155" s="6">
        <f>IF(B155="","",N(C155)*N(F155))</f>
        <v/>
      </c>
      <c r="H155">
        <f>IF(B155="","",IFERROR(INDEX(Products!$B:$B,MATCH(B155,Products!$A:$A,0)),"SKU not found"))</f>
        <v/>
      </c>
    </row>
    <row r="156">
      <c r="A156" s="7" t="n">
        <v>40857</v>
      </c>
      <c r="B156" s="4" t="inlineStr">
        <is>
          <t>20725</t>
        </is>
      </c>
      <c r="C156" s="4" t="n">
        <v>93</v>
      </c>
      <c r="D156" s="4" t="inlineStr">
        <is>
          <t>UK</t>
        </is>
      </c>
      <c r="E156" s="4" t="inlineStr">
        <is>
          <t>11 invoices</t>
        </is>
      </c>
      <c r="F156" s="6">
        <f>IF(B156="","",IFERROR(INDEX(Products!$E:$E,MATCH(B156,Products!$A:$A,0)),0))</f>
        <v/>
      </c>
      <c r="G156" s="6">
        <f>IF(B156="","",N(C156)*N(F156))</f>
        <v/>
      </c>
      <c r="H156">
        <f>IF(B156="","",IFERROR(INDEX(Products!$B:$B,MATCH(B156,Products!$A:$A,0)),"SKU not found"))</f>
        <v/>
      </c>
    </row>
    <row r="157">
      <c r="A157" s="7" t="n">
        <v>40857</v>
      </c>
      <c r="B157" s="4" t="inlineStr">
        <is>
          <t>20727</t>
        </is>
      </c>
      <c r="C157" s="4" t="n">
        <v>36</v>
      </c>
      <c r="D157" s="4" t="inlineStr">
        <is>
          <t>UK</t>
        </is>
      </c>
      <c r="E157" s="4" t="inlineStr">
        <is>
          <t>6 invoices</t>
        </is>
      </c>
      <c r="F157" s="6">
        <f>IF(B157="","",IFERROR(INDEX(Products!$E:$E,MATCH(B157,Products!$A:$A,0)),0))</f>
        <v/>
      </c>
      <c r="G157" s="6">
        <f>IF(B157="","",N(C157)*N(F157))</f>
        <v/>
      </c>
      <c r="H157">
        <f>IF(B157="","",IFERROR(INDEX(Products!$B:$B,MATCH(B157,Products!$A:$A,0)),"SKU not found"))</f>
        <v/>
      </c>
    </row>
    <row r="158">
      <c r="A158" s="7" t="n">
        <v>40857</v>
      </c>
      <c r="B158" s="4" t="inlineStr">
        <is>
          <t>21212</t>
        </is>
      </c>
      <c r="C158" s="4" t="n">
        <v>78</v>
      </c>
      <c r="D158" s="4" t="inlineStr">
        <is>
          <t>UK</t>
        </is>
      </c>
      <c r="E158" s="4" t="inlineStr">
        <is>
          <t>6 invoices</t>
        </is>
      </c>
      <c r="F158" s="6">
        <f>IF(B158="","",IFERROR(INDEX(Products!$E:$E,MATCH(B158,Products!$A:$A,0)),0))</f>
        <v/>
      </c>
      <c r="G158" s="6">
        <f>IF(B158="","",N(C158)*N(F158))</f>
        <v/>
      </c>
      <c r="H158">
        <f>IF(B158="","",IFERROR(INDEX(Products!$B:$B,MATCH(B158,Products!$A:$A,0)),"SKU not found"))</f>
        <v/>
      </c>
    </row>
    <row r="159">
      <c r="A159" s="7" t="n">
        <v>40857</v>
      </c>
      <c r="B159" s="4" t="inlineStr">
        <is>
          <t>21931</t>
        </is>
      </c>
      <c r="C159" s="4" t="n">
        <v>27</v>
      </c>
      <c r="D159" s="4" t="inlineStr">
        <is>
          <t>UK</t>
        </is>
      </c>
      <c r="E159" s="4" t="inlineStr">
        <is>
          <t>5 invoices</t>
        </is>
      </c>
      <c r="F159" s="6">
        <f>IF(B159="","",IFERROR(INDEX(Products!$E:$E,MATCH(B159,Products!$A:$A,0)),0))</f>
        <v/>
      </c>
      <c r="G159" s="6">
        <f>IF(B159="","",N(C159)*N(F159))</f>
        <v/>
      </c>
      <c r="H159">
        <f>IF(B159="","",IFERROR(INDEX(Products!$B:$B,MATCH(B159,Products!$A:$A,0)),"SKU not found"))</f>
        <v/>
      </c>
    </row>
    <row r="160">
      <c r="A160" s="7" t="n">
        <v>40857</v>
      </c>
      <c r="B160" s="4" t="inlineStr">
        <is>
          <t>22197</t>
        </is>
      </c>
      <c r="C160" s="4" t="n">
        <v>24</v>
      </c>
      <c r="D160" s="4" t="inlineStr">
        <is>
          <t>Other EU/Intl</t>
        </is>
      </c>
      <c r="E160" s="4" t="inlineStr">
        <is>
          <t>1 invoices</t>
        </is>
      </c>
      <c r="F160" s="6">
        <f>IF(B160="","",IFERROR(INDEX(Products!$E:$E,MATCH(B160,Products!$A:$A,0)),0))</f>
        <v/>
      </c>
      <c r="G160" s="6">
        <f>IF(B160="","",N(C160)*N(F160))</f>
        <v/>
      </c>
      <c r="H160">
        <f>IF(B160="","",IFERROR(INDEX(Products!$B:$B,MATCH(B160,Products!$A:$A,0)),"SKU not found"))</f>
        <v/>
      </c>
    </row>
    <row r="161">
      <c r="A161" s="7" t="n">
        <v>40857</v>
      </c>
      <c r="B161" s="4" t="inlineStr">
        <is>
          <t>22197</t>
        </is>
      </c>
      <c r="C161" s="4" t="n">
        <v>315</v>
      </c>
      <c r="D161" s="4" t="inlineStr">
        <is>
          <t>UK</t>
        </is>
      </c>
      <c r="E161" s="4" t="inlineStr">
        <is>
          <t>8 invoices</t>
        </is>
      </c>
      <c r="F161" s="6">
        <f>IF(B161="","",IFERROR(INDEX(Products!$E:$E,MATCH(B161,Products!$A:$A,0)),0))</f>
        <v/>
      </c>
      <c r="G161" s="6">
        <f>IF(B161="","",N(C161)*N(F161))</f>
        <v/>
      </c>
      <c r="H161">
        <f>IF(B161="","",IFERROR(INDEX(Products!$B:$B,MATCH(B161,Products!$A:$A,0)),"SKU not found"))</f>
        <v/>
      </c>
    </row>
    <row r="162">
      <c r="A162" s="7" t="n">
        <v>40857</v>
      </c>
      <c r="B162" s="4" t="inlineStr">
        <is>
          <t>22383</t>
        </is>
      </c>
      <c r="C162" s="4" t="n">
        <v>50</v>
      </c>
      <c r="D162" s="4" t="inlineStr">
        <is>
          <t>UK</t>
        </is>
      </c>
      <c r="E162" s="4" t="inlineStr">
        <is>
          <t>7 invoices</t>
        </is>
      </c>
      <c r="F162" s="6">
        <f>IF(B162="","",IFERROR(INDEX(Products!$E:$E,MATCH(B162,Products!$A:$A,0)),0))</f>
        <v/>
      </c>
      <c r="G162" s="6">
        <f>IF(B162="","",N(C162)*N(F162))</f>
        <v/>
      </c>
      <c r="H162">
        <f>IF(B162="","",IFERROR(INDEX(Products!$B:$B,MATCH(B162,Products!$A:$A,0)),"SKU not found"))</f>
        <v/>
      </c>
    </row>
    <row r="163">
      <c r="A163" s="7" t="n">
        <v>40857</v>
      </c>
      <c r="B163" s="4" t="inlineStr">
        <is>
          <t>22386</t>
        </is>
      </c>
      <c r="C163" s="4" t="n">
        <v>18</v>
      </c>
      <c r="D163" s="4" t="inlineStr">
        <is>
          <t>UK</t>
        </is>
      </c>
      <c r="E163" s="4" t="inlineStr">
        <is>
          <t>5 invoices</t>
        </is>
      </c>
      <c r="F163" s="6">
        <f>IF(B163="","",IFERROR(INDEX(Products!$E:$E,MATCH(B163,Products!$A:$A,0)),0))</f>
        <v/>
      </c>
      <c r="G163" s="6">
        <f>IF(B163="","",N(C163)*N(F163))</f>
        <v/>
      </c>
      <c r="H163">
        <f>IF(B163="","",IFERROR(INDEX(Products!$B:$B,MATCH(B163,Products!$A:$A,0)),"SKU not found"))</f>
        <v/>
      </c>
    </row>
    <row r="164">
      <c r="A164" s="7" t="n">
        <v>40857</v>
      </c>
      <c r="B164" s="4" t="inlineStr">
        <is>
          <t>22423</t>
        </is>
      </c>
      <c r="C164" s="4" t="n">
        <v>46</v>
      </c>
      <c r="D164" s="4" t="inlineStr">
        <is>
          <t>UK</t>
        </is>
      </c>
      <c r="E164" s="4" t="inlineStr">
        <is>
          <t>8 invoices</t>
        </is>
      </c>
      <c r="F164" s="6">
        <f>IF(B164="","",IFERROR(INDEX(Products!$E:$E,MATCH(B164,Products!$A:$A,0)),0))</f>
        <v/>
      </c>
      <c r="G164" s="6">
        <f>IF(B164="","",N(C164)*N(F164))</f>
        <v/>
      </c>
      <c r="H164">
        <f>IF(B164="","",IFERROR(INDEX(Products!$B:$B,MATCH(B164,Products!$A:$A,0)),"SKU not found"))</f>
        <v/>
      </c>
    </row>
    <row r="165">
      <c r="A165" s="7" t="n">
        <v>40857</v>
      </c>
      <c r="B165" s="4" t="inlineStr">
        <is>
          <t>22457</t>
        </is>
      </c>
      <c r="C165" s="4" t="n">
        <v>81</v>
      </c>
      <c r="D165" s="4" t="inlineStr">
        <is>
          <t>UK</t>
        </is>
      </c>
      <c r="E165" s="4" t="inlineStr">
        <is>
          <t>9 invoices</t>
        </is>
      </c>
      <c r="F165" s="6">
        <f>IF(B165="","",IFERROR(INDEX(Products!$E:$E,MATCH(B165,Products!$A:$A,0)),0))</f>
        <v/>
      </c>
      <c r="G165" s="6">
        <f>IF(B165="","",N(C165)*N(F165))</f>
        <v/>
      </c>
      <c r="H165">
        <f>IF(B165="","",IFERROR(INDEX(Products!$B:$B,MATCH(B165,Products!$A:$A,0)),"SKU not found"))</f>
        <v/>
      </c>
    </row>
    <row r="166">
      <c r="A166" s="7" t="n">
        <v>40857</v>
      </c>
      <c r="B166" s="4" t="inlineStr">
        <is>
          <t>22469</t>
        </is>
      </c>
      <c r="C166" s="4" t="n">
        <v>2</v>
      </c>
      <c r="D166" s="4" t="inlineStr">
        <is>
          <t>France</t>
        </is>
      </c>
      <c r="E166" s="4" t="inlineStr">
        <is>
          <t>1 invoices</t>
        </is>
      </c>
      <c r="F166" s="6">
        <f>IF(B166="","",IFERROR(INDEX(Products!$E:$E,MATCH(B166,Products!$A:$A,0)),0))</f>
        <v/>
      </c>
      <c r="G166" s="6">
        <f>IF(B166="","",N(C166)*N(F166))</f>
        <v/>
      </c>
      <c r="H166">
        <f>IF(B166="","",IFERROR(INDEX(Products!$B:$B,MATCH(B166,Products!$A:$A,0)),"SKU not found"))</f>
        <v/>
      </c>
    </row>
    <row r="167">
      <c r="A167" s="7" t="n">
        <v>40857</v>
      </c>
      <c r="B167" s="4" t="inlineStr">
        <is>
          <t>22469</t>
        </is>
      </c>
      <c r="C167" s="4" t="n">
        <v>78</v>
      </c>
      <c r="D167" s="4" t="inlineStr">
        <is>
          <t>UK</t>
        </is>
      </c>
      <c r="E167" s="4" t="inlineStr">
        <is>
          <t>7 invoices</t>
        </is>
      </c>
      <c r="F167" s="6">
        <f>IF(B167="","",IFERROR(INDEX(Products!$E:$E,MATCH(B167,Products!$A:$A,0)),0))</f>
        <v/>
      </c>
      <c r="G167" s="6">
        <f>IF(B167="","",N(C167)*N(F167))</f>
        <v/>
      </c>
      <c r="H167">
        <f>IF(B167="","",IFERROR(INDEX(Products!$B:$B,MATCH(B167,Products!$A:$A,0)),"SKU not found"))</f>
        <v/>
      </c>
    </row>
    <row r="168">
      <c r="A168" s="7" t="n">
        <v>40857</v>
      </c>
      <c r="B168" s="4" t="inlineStr">
        <is>
          <t>22720</t>
        </is>
      </c>
      <c r="C168" s="4" t="n">
        <v>3</v>
      </c>
      <c r="D168" s="4" t="inlineStr">
        <is>
          <t>Other EU/Intl</t>
        </is>
      </c>
      <c r="E168" s="4" t="inlineStr">
        <is>
          <t>1 invoices</t>
        </is>
      </c>
      <c r="F168" s="6">
        <f>IF(B168="","",IFERROR(INDEX(Products!$E:$E,MATCH(B168,Products!$A:$A,0)),0))</f>
        <v/>
      </c>
      <c r="G168" s="6">
        <f>IF(B168="","",N(C168)*N(F168))</f>
        <v/>
      </c>
      <c r="H168">
        <f>IF(B168="","",IFERROR(INDEX(Products!$B:$B,MATCH(B168,Products!$A:$A,0)),"SKU not found"))</f>
        <v/>
      </c>
    </row>
    <row r="169">
      <c r="A169" s="7" t="n">
        <v>40857</v>
      </c>
      <c r="B169" s="4" t="inlineStr">
        <is>
          <t>22720</t>
        </is>
      </c>
      <c r="C169" s="4" t="n">
        <v>19</v>
      </c>
      <c r="D169" s="4" t="inlineStr">
        <is>
          <t>UK</t>
        </is>
      </c>
      <c r="E169" s="4" t="inlineStr">
        <is>
          <t>8 invoices</t>
        </is>
      </c>
      <c r="F169" s="6">
        <f>IF(B169="","",IFERROR(INDEX(Products!$E:$E,MATCH(B169,Products!$A:$A,0)),0))</f>
        <v/>
      </c>
      <c r="G169" s="6">
        <f>IF(B169="","",N(C169)*N(F169))</f>
        <v/>
      </c>
      <c r="H169">
        <f>IF(B169="","",IFERROR(INDEX(Products!$B:$B,MATCH(B169,Products!$A:$A,0)),"SKU not found"))</f>
        <v/>
      </c>
    </row>
    <row r="170">
      <c r="A170" s="7" t="n">
        <v>40857</v>
      </c>
      <c r="B170" s="4" t="inlineStr">
        <is>
          <t>47566</t>
        </is>
      </c>
      <c r="C170" s="4" t="n">
        <v>40</v>
      </c>
      <c r="D170" s="4" t="inlineStr">
        <is>
          <t>UK</t>
        </is>
      </c>
      <c r="E170" s="4" t="inlineStr">
        <is>
          <t>5 invoices</t>
        </is>
      </c>
      <c r="F170" s="6">
        <f>IF(B170="","",IFERROR(INDEX(Products!$E:$E,MATCH(B170,Products!$A:$A,0)),0))</f>
        <v/>
      </c>
      <c r="G170" s="6">
        <f>IF(B170="","",N(C170)*N(F170))</f>
        <v/>
      </c>
      <c r="H170">
        <f>IF(B170="","",IFERROR(INDEX(Products!$B:$B,MATCH(B170,Products!$A:$A,0)),"SKU not found"))</f>
        <v/>
      </c>
    </row>
    <row r="171">
      <c r="A171" s="7" t="n">
        <v>40857</v>
      </c>
      <c r="B171" s="4" t="inlineStr">
        <is>
          <t>84879</t>
        </is>
      </c>
      <c r="C171" s="4" t="n">
        <v>200</v>
      </c>
      <c r="D171" s="4" t="inlineStr">
        <is>
          <t>UK</t>
        </is>
      </c>
      <c r="E171" s="4" t="inlineStr">
        <is>
          <t>11 invoices</t>
        </is>
      </c>
      <c r="F171" s="6">
        <f>IF(B171="","",IFERROR(INDEX(Products!$E:$E,MATCH(B171,Products!$A:$A,0)),0))</f>
        <v/>
      </c>
      <c r="G171" s="6">
        <f>IF(B171="","",N(C171)*N(F171))</f>
        <v/>
      </c>
      <c r="H171">
        <f>IF(B171="","",IFERROR(INDEX(Products!$B:$B,MATCH(B171,Products!$A:$A,0)),"SKU not found"))</f>
        <v/>
      </c>
    </row>
    <row r="172">
      <c r="A172" s="7" t="n">
        <v>40857</v>
      </c>
      <c r="B172" s="4" t="inlineStr">
        <is>
          <t>85099B</t>
        </is>
      </c>
      <c r="C172" s="4" t="n">
        <v>10</v>
      </c>
      <c r="D172" s="4" t="inlineStr">
        <is>
          <t>France</t>
        </is>
      </c>
      <c r="E172" s="4" t="inlineStr">
        <is>
          <t>1 invoices</t>
        </is>
      </c>
      <c r="F172" s="6">
        <f>IF(B172="","",IFERROR(INDEX(Products!$E:$E,MATCH(B172,Products!$A:$A,0)),0))</f>
        <v/>
      </c>
      <c r="G172" s="6">
        <f>IF(B172="","",N(C172)*N(F172))</f>
        <v/>
      </c>
      <c r="H172">
        <f>IF(B172="","",IFERROR(INDEX(Products!$B:$B,MATCH(B172,Products!$A:$A,0)),"SKU not found"))</f>
        <v/>
      </c>
    </row>
    <row r="173">
      <c r="A173" s="7" t="n">
        <v>40857</v>
      </c>
      <c r="B173" s="4" t="inlineStr">
        <is>
          <t>85099B</t>
        </is>
      </c>
      <c r="C173" s="4" t="n">
        <v>1064</v>
      </c>
      <c r="D173" s="4" t="inlineStr">
        <is>
          <t>UK</t>
        </is>
      </c>
      <c r="E173" s="4" t="inlineStr">
        <is>
          <t>11 invoices</t>
        </is>
      </c>
      <c r="F173" s="6">
        <f>IF(B173="","",IFERROR(INDEX(Products!$E:$E,MATCH(B173,Products!$A:$A,0)),0))</f>
        <v/>
      </c>
      <c r="G173" s="6">
        <f>IF(B173="","",N(C173)*N(F173))</f>
        <v/>
      </c>
      <c r="H173">
        <f>IF(B173="","",IFERROR(INDEX(Products!$B:$B,MATCH(B173,Products!$A:$A,0)),"SKU not found"))</f>
        <v/>
      </c>
    </row>
    <row r="174">
      <c r="A174" s="7" t="n">
        <v>40857</v>
      </c>
      <c r="B174" s="4" t="inlineStr">
        <is>
          <t>85123A</t>
        </is>
      </c>
      <c r="C174" s="4" t="n">
        <v>71</v>
      </c>
      <c r="D174" s="4" t="inlineStr">
        <is>
          <t>UK</t>
        </is>
      </c>
      <c r="E174" s="4" t="inlineStr">
        <is>
          <t>11 invoices</t>
        </is>
      </c>
      <c r="F174" s="6">
        <f>IF(B174="","",IFERROR(INDEX(Products!$E:$E,MATCH(B174,Products!$A:$A,0)),0))</f>
        <v/>
      </c>
      <c r="G174" s="6">
        <f>IF(B174="","",N(C174)*N(F174))</f>
        <v/>
      </c>
      <c r="H174">
        <f>IF(B174="","",IFERROR(INDEX(Products!$B:$B,MATCH(B174,Products!$A:$A,0)),"SKU not found"))</f>
        <v/>
      </c>
    </row>
    <row r="175">
      <c r="A175" s="7" t="n">
        <v>40858</v>
      </c>
      <c r="B175" s="4" t="inlineStr">
        <is>
          <t>20725</t>
        </is>
      </c>
      <c r="C175" s="4" t="n">
        <v>30</v>
      </c>
      <c r="D175" s="4" t="inlineStr">
        <is>
          <t>Other EU/Intl</t>
        </is>
      </c>
      <c r="E175" s="4" t="inlineStr">
        <is>
          <t>1 invoices</t>
        </is>
      </c>
      <c r="F175" s="6">
        <f>IF(B175="","",IFERROR(INDEX(Products!$E:$E,MATCH(B175,Products!$A:$A,0)),0))</f>
        <v/>
      </c>
      <c r="G175" s="6">
        <f>IF(B175="","",N(C175)*N(F175))</f>
        <v/>
      </c>
      <c r="H175">
        <f>IF(B175="","",IFERROR(INDEX(Products!$B:$B,MATCH(B175,Products!$A:$A,0)),"SKU not found"))</f>
        <v/>
      </c>
    </row>
    <row r="176">
      <c r="A176" s="7" t="n">
        <v>40858</v>
      </c>
      <c r="B176" s="4" t="inlineStr">
        <is>
          <t>20725</t>
        </is>
      </c>
      <c r="C176" s="4" t="n">
        <v>58</v>
      </c>
      <c r="D176" s="4" t="inlineStr">
        <is>
          <t>UK</t>
        </is>
      </c>
      <c r="E176" s="4" t="inlineStr">
        <is>
          <t>6 invoices</t>
        </is>
      </c>
      <c r="F176" s="6">
        <f>IF(B176="","",IFERROR(INDEX(Products!$E:$E,MATCH(B176,Products!$A:$A,0)),0))</f>
        <v/>
      </c>
      <c r="G176" s="6">
        <f>IF(B176="","",N(C176)*N(F176))</f>
        <v/>
      </c>
      <c r="H176">
        <f>IF(B176="","",IFERROR(INDEX(Products!$B:$B,MATCH(B176,Products!$A:$A,0)),"SKU not found"))</f>
        <v/>
      </c>
    </row>
    <row r="177">
      <c r="A177" s="7" t="n">
        <v>40858</v>
      </c>
      <c r="B177" s="4" t="inlineStr">
        <is>
          <t>20727</t>
        </is>
      </c>
      <c r="C177" s="4" t="n">
        <v>2</v>
      </c>
      <c r="D177" s="4" t="inlineStr">
        <is>
          <t>Germany</t>
        </is>
      </c>
      <c r="E177" s="4" t="inlineStr">
        <is>
          <t>1 invoices</t>
        </is>
      </c>
      <c r="F177" s="6">
        <f>IF(B177="","",IFERROR(INDEX(Products!$E:$E,MATCH(B177,Products!$A:$A,0)),0))</f>
        <v/>
      </c>
      <c r="G177" s="6">
        <f>IF(B177="","",N(C177)*N(F177))</f>
        <v/>
      </c>
      <c r="H177">
        <f>IF(B177="","",IFERROR(INDEX(Products!$B:$B,MATCH(B177,Products!$A:$A,0)),"SKU not found"))</f>
        <v/>
      </c>
    </row>
    <row r="178">
      <c r="A178" s="7" t="n">
        <v>40858</v>
      </c>
      <c r="B178" s="4" t="inlineStr">
        <is>
          <t>20727</t>
        </is>
      </c>
      <c r="C178" s="4" t="n">
        <v>20</v>
      </c>
      <c r="D178" s="4" t="inlineStr">
        <is>
          <t>Ireland</t>
        </is>
      </c>
      <c r="E178" s="4" t="inlineStr">
        <is>
          <t>1 invoices</t>
        </is>
      </c>
      <c r="F178" s="6">
        <f>IF(B178="","",IFERROR(INDEX(Products!$E:$E,MATCH(B178,Products!$A:$A,0)),0))</f>
        <v/>
      </c>
      <c r="G178" s="6">
        <f>IF(B178="","",N(C178)*N(F178))</f>
        <v/>
      </c>
      <c r="H178">
        <f>IF(B178="","",IFERROR(INDEX(Products!$B:$B,MATCH(B178,Products!$A:$A,0)),"SKU not found"))</f>
        <v/>
      </c>
    </row>
    <row r="179">
      <c r="A179" s="7" t="n">
        <v>40858</v>
      </c>
      <c r="B179" s="4" t="inlineStr">
        <is>
          <t>20727</t>
        </is>
      </c>
      <c r="C179" s="4" t="n">
        <v>24</v>
      </c>
      <c r="D179" s="4" t="inlineStr">
        <is>
          <t>UK</t>
        </is>
      </c>
      <c r="E179" s="4" t="inlineStr">
        <is>
          <t>4 invoices</t>
        </is>
      </c>
      <c r="F179" s="6">
        <f>IF(B179="","",IFERROR(INDEX(Products!$E:$E,MATCH(B179,Products!$A:$A,0)),0))</f>
        <v/>
      </c>
      <c r="G179" s="6">
        <f>IF(B179="","",N(C179)*N(F179))</f>
        <v/>
      </c>
      <c r="H179">
        <f>IF(B179="","",IFERROR(INDEX(Products!$B:$B,MATCH(B179,Products!$A:$A,0)),"SKU not found"))</f>
        <v/>
      </c>
    </row>
    <row r="180">
      <c r="A180" s="7" t="n">
        <v>40858</v>
      </c>
      <c r="B180" s="4" t="inlineStr">
        <is>
          <t>21212</t>
        </is>
      </c>
      <c r="C180" s="4" t="n">
        <v>12</v>
      </c>
      <c r="D180" s="4" t="inlineStr">
        <is>
          <t>Germany</t>
        </is>
      </c>
      <c r="E180" s="4" t="inlineStr">
        <is>
          <t>1 invoices</t>
        </is>
      </c>
      <c r="F180" s="6">
        <f>IF(B180="","",IFERROR(INDEX(Products!$E:$E,MATCH(B180,Products!$A:$A,0)),0))</f>
        <v/>
      </c>
      <c r="G180" s="6">
        <f>IF(B180="","",N(C180)*N(F180))</f>
        <v/>
      </c>
      <c r="H180">
        <f>IF(B180="","",IFERROR(INDEX(Products!$B:$B,MATCH(B180,Products!$A:$A,0)),"SKU not found"))</f>
        <v/>
      </c>
    </row>
    <row r="181">
      <c r="A181" s="7" t="n">
        <v>40858</v>
      </c>
      <c r="B181" s="4" t="inlineStr">
        <is>
          <t>21212</t>
        </is>
      </c>
      <c r="C181" s="4" t="n">
        <v>38</v>
      </c>
      <c r="D181" s="4" t="inlineStr">
        <is>
          <t>UK</t>
        </is>
      </c>
      <c r="E181" s="4" t="inlineStr">
        <is>
          <t>6 invoices</t>
        </is>
      </c>
      <c r="F181" s="6">
        <f>IF(B181="","",IFERROR(INDEX(Products!$E:$E,MATCH(B181,Products!$A:$A,0)),0))</f>
        <v/>
      </c>
      <c r="G181" s="6">
        <f>IF(B181="","",N(C181)*N(F181))</f>
        <v/>
      </c>
      <c r="H181">
        <f>IF(B181="","",IFERROR(INDEX(Products!$B:$B,MATCH(B181,Products!$A:$A,0)),"SKU not found"))</f>
        <v/>
      </c>
    </row>
    <row r="182">
      <c r="A182" s="7" t="n">
        <v>40858</v>
      </c>
      <c r="B182" s="4" t="inlineStr">
        <is>
          <t>21931</t>
        </is>
      </c>
      <c r="C182" s="4" t="n">
        <v>3</v>
      </c>
      <c r="D182" s="4" t="inlineStr">
        <is>
          <t>Germany</t>
        </is>
      </c>
      <c r="E182" s="4" t="inlineStr">
        <is>
          <t>1 invoices</t>
        </is>
      </c>
      <c r="F182" s="6">
        <f>IF(B182="","",IFERROR(INDEX(Products!$E:$E,MATCH(B182,Products!$A:$A,0)),0))</f>
        <v/>
      </c>
      <c r="G182" s="6">
        <f>IF(B182="","",N(C182)*N(F182))</f>
        <v/>
      </c>
      <c r="H182">
        <f>IF(B182="","",IFERROR(INDEX(Products!$B:$B,MATCH(B182,Products!$A:$A,0)),"SKU not found"))</f>
        <v/>
      </c>
    </row>
    <row r="183">
      <c r="A183" s="7" t="n">
        <v>40858</v>
      </c>
      <c r="B183" s="4" t="inlineStr">
        <is>
          <t>21931</t>
        </is>
      </c>
      <c r="C183" s="4" t="n">
        <v>16</v>
      </c>
      <c r="D183" s="4" t="inlineStr">
        <is>
          <t>UK</t>
        </is>
      </c>
      <c r="E183" s="4" t="inlineStr">
        <is>
          <t>4 invoices</t>
        </is>
      </c>
      <c r="F183" s="6">
        <f>IF(B183="","",IFERROR(INDEX(Products!$E:$E,MATCH(B183,Products!$A:$A,0)),0))</f>
        <v/>
      </c>
      <c r="G183" s="6">
        <f>IF(B183="","",N(C183)*N(F183))</f>
        <v/>
      </c>
      <c r="H183">
        <f>IF(B183="","",IFERROR(INDEX(Products!$B:$B,MATCH(B183,Products!$A:$A,0)),"SKU not found"))</f>
        <v/>
      </c>
    </row>
    <row r="184">
      <c r="A184" s="7" t="n">
        <v>40858</v>
      </c>
      <c r="B184" s="4" t="inlineStr">
        <is>
          <t>22197</t>
        </is>
      </c>
      <c r="C184" s="4" t="n">
        <v>24</v>
      </c>
      <c r="D184" s="4" t="inlineStr">
        <is>
          <t>Ireland</t>
        </is>
      </c>
      <c r="E184" s="4" t="inlineStr">
        <is>
          <t>1 invoices</t>
        </is>
      </c>
      <c r="F184" s="6">
        <f>IF(B184="","",IFERROR(INDEX(Products!$E:$E,MATCH(B184,Products!$A:$A,0)),0))</f>
        <v/>
      </c>
      <c r="G184" s="6">
        <f>IF(B184="","",N(C184)*N(F184))</f>
        <v/>
      </c>
      <c r="H184">
        <f>IF(B184="","",IFERROR(INDEX(Products!$B:$B,MATCH(B184,Products!$A:$A,0)),"SKU not found"))</f>
        <v/>
      </c>
    </row>
    <row r="185">
      <c r="A185" s="7" t="n">
        <v>40858</v>
      </c>
      <c r="B185" s="4" t="inlineStr">
        <is>
          <t>22197</t>
        </is>
      </c>
      <c r="C185" s="4" t="n">
        <v>160</v>
      </c>
      <c r="D185" s="4" t="inlineStr">
        <is>
          <t>UK</t>
        </is>
      </c>
      <c r="E185" s="4" t="inlineStr">
        <is>
          <t>8 invoices</t>
        </is>
      </c>
      <c r="F185" s="6">
        <f>IF(B185="","",IFERROR(INDEX(Products!$E:$E,MATCH(B185,Products!$A:$A,0)),0))</f>
        <v/>
      </c>
      <c r="G185" s="6">
        <f>IF(B185="","",N(C185)*N(F185))</f>
        <v/>
      </c>
      <c r="H185">
        <f>IF(B185="","",IFERROR(INDEX(Products!$B:$B,MATCH(B185,Products!$A:$A,0)),"SKU not found"))</f>
        <v/>
      </c>
    </row>
    <row r="186">
      <c r="A186" s="7" t="n">
        <v>40858</v>
      </c>
      <c r="B186" s="4" t="inlineStr">
        <is>
          <t>22383</t>
        </is>
      </c>
      <c r="C186" s="4" t="n">
        <v>30</v>
      </c>
      <c r="D186" s="4" t="inlineStr">
        <is>
          <t>UK</t>
        </is>
      </c>
      <c r="E186" s="4" t="inlineStr">
        <is>
          <t>4 invoices</t>
        </is>
      </c>
      <c r="F186" s="6">
        <f>IF(B186="","",IFERROR(INDEX(Products!$E:$E,MATCH(B186,Products!$A:$A,0)),0))</f>
        <v/>
      </c>
      <c r="G186" s="6">
        <f>IF(B186="","",N(C186)*N(F186))</f>
        <v/>
      </c>
      <c r="H186">
        <f>IF(B186="","",IFERROR(INDEX(Products!$B:$B,MATCH(B186,Products!$A:$A,0)),"SKU not found"))</f>
        <v/>
      </c>
    </row>
    <row r="187">
      <c r="A187" s="7" t="n">
        <v>40858</v>
      </c>
      <c r="B187" s="4" t="inlineStr">
        <is>
          <t>22386</t>
        </is>
      </c>
      <c r="C187" s="4" t="n">
        <v>114</v>
      </c>
      <c r="D187" s="4" t="inlineStr">
        <is>
          <t>UK</t>
        </is>
      </c>
      <c r="E187" s="4" t="inlineStr">
        <is>
          <t>4 invoices</t>
        </is>
      </c>
      <c r="F187" s="6">
        <f>IF(B187="","",IFERROR(INDEX(Products!$E:$E,MATCH(B187,Products!$A:$A,0)),0))</f>
        <v/>
      </c>
      <c r="G187" s="6">
        <f>IF(B187="","",N(C187)*N(F187))</f>
        <v/>
      </c>
      <c r="H187">
        <f>IF(B187="","",IFERROR(INDEX(Products!$B:$B,MATCH(B187,Products!$A:$A,0)),"SKU not found"))</f>
        <v/>
      </c>
    </row>
    <row r="188">
      <c r="A188" s="7" t="n">
        <v>40858</v>
      </c>
      <c r="B188" s="4" t="inlineStr">
        <is>
          <t>22423</t>
        </is>
      </c>
      <c r="C188" s="4" t="n">
        <v>4</v>
      </c>
      <c r="D188" s="4" t="inlineStr">
        <is>
          <t>France</t>
        </is>
      </c>
      <c r="E188" s="4" t="inlineStr">
        <is>
          <t>1 invoices</t>
        </is>
      </c>
      <c r="F188" s="6">
        <f>IF(B188="","",IFERROR(INDEX(Products!$E:$E,MATCH(B188,Products!$A:$A,0)),0))</f>
        <v/>
      </c>
      <c r="G188" s="6">
        <f>IF(B188="","",N(C188)*N(F188))</f>
        <v/>
      </c>
      <c r="H188">
        <f>IF(B188="","",IFERROR(INDEX(Products!$B:$B,MATCH(B188,Products!$A:$A,0)),"SKU not found"))</f>
        <v/>
      </c>
    </row>
    <row r="189">
      <c r="A189" s="7" t="n">
        <v>40858</v>
      </c>
      <c r="B189" s="4" t="inlineStr">
        <is>
          <t>22423</t>
        </is>
      </c>
      <c r="C189" s="4" t="n">
        <v>28</v>
      </c>
      <c r="D189" s="4" t="inlineStr">
        <is>
          <t>UK</t>
        </is>
      </c>
      <c r="E189" s="4" t="inlineStr">
        <is>
          <t>7 invoices</t>
        </is>
      </c>
      <c r="F189" s="6">
        <f>IF(B189="","",IFERROR(INDEX(Products!$E:$E,MATCH(B189,Products!$A:$A,0)),0))</f>
        <v/>
      </c>
      <c r="G189" s="6">
        <f>IF(B189="","",N(C189)*N(F189))</f>
        <v/>
      </c>
      <c r="H189">
        <f>IF(B189="","",IFERROR(INDEX(Products!$B:$B,MATCH(B189,Products!$A:$A,0)),"SKU not found"))</f>
        <v/>
      </c>
    </row>
    <row r="190">
      <c r="A190" s="7" t="n">
        <v>40858</v>
      </c>
      <c r="B190" s="4" t="inlineStr">
        <is>
          <t>22457</t>
        </is>
      </c>
      <c r="C190" s="4" t="n">
        <v>18</v>
      </c>
      <c r="D190" s="4" t="inlineStr">
        <is>
          <t>Ireland</t>
        </is>
      </c>
      <c r="E190" s="4" t="inlineStr">
        <is>
          <t>1 invoices</t>
        </is>
      </c>
      <c r="F190" s="6">
        <f>IF(B190="","",IFERROR(INDEX(Products!$E:$E,MATCH(B190,Products!$A:$A,0)),0))</f>
        <v/>
      </c>
      <c r="G190" s="6">
        <f>IF(B190="","",N(C190)*N(F190))</f>
        <v/>
      </c>
      <c r="H190">
        <f>IF(B190="","",IFERROR(INDEX(Products!$B:$B,MATCH(B190,Products!$A:$A,0)),"SKU not found"))</f>
        <v/>
      </c>
    </row>
    <row r="191">
      <c r="A191" s="7" t="n">
        <v>40858</v>
      </c>
      <c r="B191" s="4" t="inlineStr">
        <is>
          <t>22457</t>
        </is>
      </c>
      <c r="C191" s="4" t="n">
        <v>26</v>
      </c>
      <c r="D191" s="4" t="inlineStr">
        <is>
          <t>UK</t>
        </is>
      </c>
      <c r="E191" s="4" t="inlineStr">
        <is>
          <t>5 invoices</t>
        </is>
      </c>
      <c r="F191" s="6">
        <f>IF(B191="","",IFERROR(INDEX(Products!$E:$E,MATCH(B191,Products!$A:$A,0)),0))</f>
        <v/>
      </c>
      <c r="G191" s="6">
        <f>IF(B191="","",N(C191)*N(F191))</f>
        <v/>
      </c>
      <c r="H191">
        <f>IF(B191="","",IFERROR(INDEX(Products!$B:$B,MATCH(B191,Products!$A:$A,0)),"SKU not found"))</f>
        <v/>
      </c>
    </row>
    <row r="192">
      <c r="A192" s="7" t="n">
        <v>40858</v>
      </c>
      <c r="B192" s="4" t="inlineStr">
        <is>
          <t>22469</t>
        </is>
      </c>
      <c r="C192" s="4" t="n">
        <v>20</v>
      </c>
      <c r="D192" s="4" t="inlineStr">
        <is>
          <t>UK</t>
        </is>
      </c>
      <c r="E192" s="4" t="inlineStr">
        <is>
          <t>3 invoices</t>
        </is>
      </c>
      <c r="F192" s="6">
        <f>IF(B192="","",IFERROR(INDEX(Products!$E:$E,MATCH(B192,Products!$A:$A,0)),0))</f>
        <v/>
      </c>
      <c r="G192" s="6">
        <f>IF(B192="","",N(C192)*N(F192))</f>
        <v/>
      </c>
      <c r="H192">
        <f>IF(B192="","",IFERROR(INDEX(Products!$B:$B,MATCH(B192,Products!$A:$A,0)),"SKU not found"))</f>
        <v/>
      </c>
    </row>
    <row r="193">
      <c r="A193" s="7" t="n">
        <v>40858</v>
      </c>
      <c r="B193" s="4" t="inlineStr">
        <is>
          <t>22469</t>
        </is>
      </c>
      <c r="C193" s="4" t="n">
        <v>24</v>
      </c>
      <c r="D193" s="4" t="inlineStr">
        <is>
          <t>Ireland</t>
        </is>
      </c>
      <c r="E193" s="4" t="inlineStr">
        <is>
          <t>2 invoices</t>
        </is>
      </c>
      <c r="F193" s="6">
        <f>IF(B193="","",IFERROR(INDEX(Products!$E:$E,MATCH(B193,Products!$A:$A,0)),0))</f>
        <v/>
      </c>
      <c r="G193" s="6">
        <f>IF(B193="","",N(C193)*N(F193))</f>
        <v/>
      </c>
      <c r="H193">
        <f>IF(B193="","",IFERROR(INDEX(Products!$B:$B,MATCH(B193,Products!$A:$A,0)),"SKU not found"))</f>
        <v/>
      </c>
    </row>
    <row r="194">
      <c r="A194" s="7" t="n">
        <v>40858</v>
      </c>
      <c r="B194" s="4" t="inlineStr">
        <is>
          <t>22720</t>
        </is>
      </c>
      <c r="C194" s="4" t="n">
        <v>10</v>
      </c>
      <c r="D194" s="4" t="inlineStr">
        <is>
          <t>UK</t>
        </is>
      </c>
      <c r="E194" s="4" t="inlineStr">
        <is>
          <t>6 invoices</t>
        </is>
      </c>
      <c r="F194" s="6">
        <f>IF(B194="","",IFERROR(INDEX(Products!$E:$E,MATCH(B194,Products!$A:$A,0)),0))</f>
        <v/>
      </c>
      <c r="G194" s="6">
        <f>IF(B194="","",N(C194)*N(F194))</f>
        <v/>
      </c>
      <c r="H194">
        <f>IF(B194="","",IFERROR(INDEX(Products!$B:$B,MATCH(B194,Products!$A:$A,0)),"SKU not found"))</f>
        <v/>
      </c>
    </row>
    <row r="195">
      <c r="A195" s="7" t="n">
        <v>40858</v>
      </c>
      <c r="B195" s="4" t="inlineStr">
        <is>
          <t>47566</t>
        </is>
      </c>
      <c r="C195" s="4" t="n">
        <v>28</v>
      </c>
      <c r="D195" s="4" t="inlineStr">
        <is>
          <t>UK</t>
        </is>
      </c>
      <c r="E195" s="4" t="inlineStr">
        <is>
          <t>5 invoices</t>
        </is>
      </c>
      <c r="F195" s="6">
        <f>IF(B195="","",IFERROR(INDEX(Products!$E:$E,MATCH(B195,Products!$A:$A,0)),0))</f>
        <v/>
      </c>
      <c r="G195" s="6">
        <f>IF(B195="","",N(C195)*N(F195))</f>
        <v/>
      </c>
      <c r="H195">
        <f>IF(B195="","",IFERROR(INDEX(Products!$B:$B,MATCH(B195,Products!$A:$A,0)),"SKU not found"))</f>
        <v/>
      </c>
    </row>
    <row r="196">
      <c r="A196" s="7" t="n">
        <v>40858</v>
      </c>
      <c r="B196" s="4" t="inlineStr">
        <is>
          <t>84879</t>
        </is>
      </c>
      <c r="C196" s="4" t="n">
        <v>100</v>
      </c>
      <c r="D196" s="4" t="inlineStr">
        <is>
          <t>UK</t>
        </is>
      </c>
      <c r="E196" s="4" t="inlineStr">
        <is>
          <t>8 invoices</t>
        </is>
      </c>
      <c r="F196" s="6">
        <f>IF(B196="","",IFERROR(INDEX(Products!$E:$E,MATCH(B196,Products!$A:$A,0)),0))</f>
        <v/>
      </c>
      <c r="G196" s="6">
        <f>IF(B196="","",N(C196)*N(F196))</f>
        <v/>
      </c>
      <c r="H196">
        <f>IF(B196="","",IFERROR(INDEX(Products!$B:$B,MATCH(B196,Products!$A:$A,0)),"SKU not found"))</f>
        <v/>
      </c>
    </row>
    <row r="197">
      <c r="A197" s="7" t="n">
        <v>40858</v>
      </c>
      <c r="B197" s="4" t="inlineStr">
        <is>
          <t>85099B</t>
        </is>
      </c>
      <c r="C197" s="4" t="n">
        <v>10</v>
      </c>
      <c r="D197" s="4" t="inlineStr">
        <is>
          <t>Germany</t>
        </is>
      </c>
      <c r="E197" s="4" t="inlineStr">
        <is>
          <t>1 invoices</t>
        </is>
      </c>
      <c r="F197" s="6">
        <f>IF(B197="","",IFERROR(INDEX(Products!$E:$E,MATCH(B197,Products!$A:$A,0)),0))</f>
        <v/>
      </c>
      <c r="G197" s="6">
        <f>IF(B197="","",N(C197)*N(F197))</f>
        <v/>
      </c>
      <c r="H197">
        <f>IF(B197="","",IFERROR(INDEX(Products!$B:$B,MATCH(B197,Products!$A:$A,0)),"SKU not found"))</f>
        <v/>
      </c>
    </row>
    <row r="198">
      <c r="A198" s="7" t="n">
        <v>40858</v>
      </c>
      <c r="B198" s="4" t="inlineStr">
        <is>
          <t>85099B</t>
        </is>
      </c>
      <c r="C198" s="4" t="n">
        <v>10</v>
      </c>
      <c r="D198" s="4" t="inlineStr">
        <is>
          <t>Ireland</t>
        </is>
      </c>
      <c r="E198" s="4" t="inlineStr">
        <is>
          <t>1 invoices</t>
        </is>
      </c>
      <c r="F198" s="6">
        <f>IF(B198="","",IFERROR(INDEX(Products!$E:$E,MATCH(B198,Products!$A:$A,0)),0))</f>
        <v/>
      </c>
      <c r="G198" s="6">
        <f>IF(B198="","",N(C198)*N(F198))</f>
        <v/>
      </c>
      <c r="H198">
        <f>IF(B198="","",IFERROR(INDEX(Products!$B:$B,MATCH(B198,Products!$A:$A,0)),"SKU not found"))</f>
        <v/>
      </c>
    </row>
    <row r="199">
      <c r="A199" s="7" t="n">
        <v>40858</v>
      </c>
      <c r="B199" s="4" t="inlineStr">
        <is>
          <t>85099B</t>
        </is>
      </c>
      <c r="C199" s="4" t="n">
        <v>28</v>
      </c>
      <c r="D199" s="4" t="inlineStr">
        <is>
          <t>UK</t>
        </is>
      </c>
      <c r="E199" s="4" t="inlineStr">
        <is>
          <t>7 invoices</t>
        </is>
      </c>
      <c r="F199" s="6">
        <f>IF(B199="","",IFERROR(INDEX(Products!$E:$E,MATCH(B199,Products!$A:$A,0)),0))</f>
        <v/>
      </c>
      <c r="G199" s="6">
        <f>IF(B199="","",N(C199)*N(F199))</f>
        <v/>
      </c>
      <c r="H199">
        <f>IF(B199="","",IFERROR(INDEX(Products!$B:$B,MATCH(B199,Products!$A:$A,0)),"SKU not found"))</f>
        <v/>
      </c>
    </row>
    <row r="200">
      <c r="A200" s="7" t="n">
        <v>40858</v>
      </c>
      <c r="B200" s="4" t="inlineStr">
        <is>
          <t>85123A</t>
        </is>
      </c>
      <c r="C200" s="4" t="n">
        <v>6</v>
      </c>
      <c r="D200" s="4" t="inlineStr">
        <is>
          <t>Ireland</t>
        </is>
      </c>
      <c r="E200" s="4" t="inlineStr">
        <is>
          <t>1 invoices</t>
        </is>
      </c>
      <c r="F200" s="6">
        <f>IF(B200="","",IFERROR(INDEX(Products!$E:$E,MATCH(B200,Products!$A:$A,0)),0))</f>
        <v/>
      </c>
      <c r="G200" s="6">
        <f>IF(B200="","",N(C200)*N(F200))</f>
        <v/>
      </c>
      <c r="H200">
        <f>IF(B200="","",IFERROR(INDEX(Products!$B:$B,MATCH(B200,Products!$A:$A,0)),"SKU not found"))</f>
        <v/>
      </c>
    </row>
    <row r="201">
      <c r="A201" s="7" t="n">
        <v>40858</v>
      </c>
      <c r="B201" s="4" t="inlineStr">
        <is>
          <t>85123A</t>
        </is>
      </c>
      <c r="C201" s="4" t="n">
        <v>128</v>
      </c>
      <c r="D201" s="4" t="inlineStr">
        <is>
          <t>UK</t>
        </is>
      </c>
      <c r="E201" s="4" t="inlineStr">
        <is>
          <t>11 invoices</t>
        </is>
      </c>
      <c r="F201" s="6">
        <f>IF(B201="","",IFERROR(INDEX(Products!$E:$E,MATCH(B201,Products!$A:$A,0)),0))</f>
        <v/>
      </c>
      <c r="G201" s="6">
        <f>IF(B201="","",N(C201)*N(F201))</f>
        <v/>
      </c>
      <c r="H201">
        <f>IF(B201="","",IFERROR(INDEX(Products!$B:$B,MATCH(B201,Products!$A:$A,0)),"SKU not found"))</f>
        <v/>
      </c>
    </row>
    <row r="202">
      <c r="A202" s="7" t="n">
        <v>40860</v>
      </c>
      <c r="B202" s="4" t="inlineStr">
        <is>
          <t>20725</t>
        </is>
      </c>
      <c r="C202" s="4" t="n">
        <v>23</v>
      </c>
      <c r="D202" s="4" t="inlineStr">
        <is>
          <t>UK</t>
        </is>
      </c>
      <c r="E202" s="4" t="inlineStr">
        <is>
          <t>6 invoices</t>
        </is>
      </c>
      <c r="F202" s="6">
        <f>IF(B202="","",IFERROR(INDEX(Products!$E:$E,MATCH(B202,Products!$A:$A,0)),0))</f>
        <v/>
      </c>
      <c r="G202" s="6">
        <f>IF(B202="","",N(C202)*N(F202))</f>
        <v/>
      </c>
      <c r="H202">
        <f>IF(B202="","",IFERROR(INDEX(Products!$B:$B,MATCH(B202,Products!$A:$A,0)),"SKU not found"))</f>
        <v/>
      </c>
    </row>
    <row r="203">
      <c r="A203" s="7" t="n">
        <v>40860</v>
      </c>
      <c r="B203" s="4" t="inlineStr">
        <is>
          <t>20727</t>
        </is>
      </c>
      <c r="C203" s="4" t="n">
        <v>40</v>
      </c>
      <c r="D203" s="4" t="inlineStr">
        <is>
          <t>UK</t>
        </is>
      </c>
      <c r="E203" s="4" t="inlineStr">
        <is>
          <t>8 invoices</t>
        </is>
      </c>
      <c r="F203" s="6">
        <f>IF(B203="","",IFERROR(INDEX(Products!$E:$E,MATCH(B203,Products!$A:$A,0)),0))</f>
        <v/>
      </c>
      <c r="G203" s="6">
        <f>IF(B203="","",N(C203)*N(F203))</f>
        <v/>
      </c>
      <c r="H203">
        <f>IF(B203="","",IFERROR(INDEX(Products!$B:$B,MATCH(B203,Products!$A:$A,0)),"SKU not found"))</f>
        <v/>
      </c>
    </row>
    <row r="204">
      <c r="A204" s="7" t="n">
        <v>40860</v>
      </c>
      <c r="B204" s="4" t="inlineStr">
        <is>
          <t>21212</t>
        </is>
      </c>
      <c r="C204" s="4" t="n">
        <v>24</v>
      </c>
      <c r="D204" s="4" t="inlineStr">
        <is>
          <t>Ireland</t>
        </is>
      </c>
      <c r="E204" s="4" t="inlineStr">
        <is>
          <t>1 invoices</t>
        </is>
      </c>
      <c r="F204" s="6">
        <f>IF(B204="","",IFERROR(INDEX(Products!$E:$E,MATCH(B204,Products!$A:$A,0)),0))</f>
        <v/>
      </c>
      <c r="G204" s="6">
        <f>IF(B204="","",N(C204)*N(F204))</f>
        <v/>
      </c>
      <c r="H204">
        <f>IF(B204="","",IFERROR(INDEX(Products!$B:$B,MATCH(B204,Products!$A:$A,0)),"SKU not found"))</f>
        <v/>
      </c>
    </row>
    <row r="205">
      <c r="A205" s="7" t="n">
        <v>40860</v>
      </c>
      <c r="B205" s="4" t="inlineStr">
        <is>
          <t>21212</t>
        </is>
      </c>
      <c r="C205" s="4" t="n">
        <v>63</v>
      </c>
      <c r="D205" s="4" t="inlineStr">
        <is>
          <t>UK</t>
        </is>
      </c>
      <c r="E205" s="4" t="inlineStr">
        <is>
          <t>5 invoices</t>
        </is>
      </c>
      <c r="F205" s="6">
        <f>IF(B205="","",IFERROR(INDEX(Products!$E:$E,MATCH(B205,Products!$A:$A,0)),0))</f>
        <v/>
      </c>
      <c r="G205" s="6">
        <f>IF(B205="","",N(C205)*N(F205))</f>
        <v/>
      </c>
      <c r="H205">
        <f>IF(B205="","",IFERROR(INDEX(Products!$B:$B,MATCH(B205,Products!$A:$A,0)),"SKU not found"))</f>
        <v/>
      </c>
    </row>
    <row r="206">
      <c r="A206" s="7" t="n">
        <v>40860</v>
      </c>
      <c r="B206" s="4" t="inlineStr">
        <is>
          <t>21931</t>
        </is>
      </c>
      <c r="C206" s="4" t="n">
        <v>26</v>
      </c>
      <c r="D206" s="4" t="inlineStr">
        <is>
          <t>UK</t>
        </is>
      </c>
      <c r="E206" s="4" t="inlineStr">
        <is>
          <t>7 invoices</t>
        </is>
      </c>
      <c r="F206" s="6">
        <f>IF(B206="","",IFERROR(INDEX(Products!$E:$E,MATCH(B206,Products!$A:$A,0)),0))</f>
        <v/>
      </c>
      <c r="G206" s="6">
        <f>IF(B206="","",N(C206)*N(F206))</f>
        <v/>
      </c>
      <c r="H206">
        <f>IF(B206="","",IFERROR(INDEX(Products!$B:$B,MATCH(B206,Products!$A:$A,0)),"SKU not found"))</f>
        <v/>
      </c>
    </row>
    <row r="207">
      <c r="A207" s="7" t="n">
        <v>40860</v>
      </c>
      <c r="B207" s="4" t="inlineStr">
        <is>
          <t>22197</t>
        </is>
      </c>
      <c r="C207" s="4" t="n">
        <v>114</v>
      </c>
      <c r="D207" s="4" t="inlineStr">
        <is>
          <t>UK</t>
        </is>
      </c>
      <c r="E207" s="4" t="inlineStr">
        <is>
          <t>6 invoices</t>
        </is>
      </c>
      <c r="F207" s="6">
        <f>IF(B207="","",IFERROR(INDEX(Products!$E:$E,MATCH(B207,Products!$A:$A,0)),0))</f>
        <v/>
      </c>
      <c r="G207" s="6">
        <f>IF(B207="","",N(C207)*N(F207))</f>
        <v/>
      </c>
      <c r="H207">
        <f>IF(B207="","",IFERROR(INDEX(Products!$B:$B,MATCH(B207,Products!$A:$A,0)),"SKU not found"))</f>
        <v/>
      </c>
    </row>
    <row r="208">
      <c r="A208" s="7" t="n">
        <v>40860</v>
      </c>
      <c r="B208" s="4" t="inlineStr">
        <is>
          <t>22383</t>
        </is>
      </c>
      <c r="C208" s="4" t="n">
        <v>18</v>
      </c>
      <c r="D208" s="4" t="inlineStr">
        <is>
          <t>UK</t>
        </is>
      </c>
      <c r="E208" s="4" t="inlineStr">
        <is>
          <t>6 invoices</t>
        </is>
      </c>
      <c r="F208" s="6">
        <f>IF(B208="","",IFERROR(INDEX(Products!$E:$E,MATCH(B208,Products!$A:$A,0)),0))</f>
        <v/>
      </c>
      <c r="G208" s="6">
        <f>IF(B208="","",N(C208)*N(F208))</f>
        <v/>
      </c>
      <c r="H208">
        <f>IF(B208="","",IFERROR(INDEX(Products!$B:$B,MATCH(B208,Products!$A:$A,0)),"SKU not found"))</f>
        <v/>
      </c>
    </row>
    <row r="209">
      <c r="A209" s="7" t="n">
        <v>40860</v>
      </c>
      <c r="B209" s="4" t="inlineStr">
        <is>
          <t>22386</t>
        </is>
      </c>
      <c r="C209" s="4" t="n">
        <v>24</v>
      </c>
      <c r="D209" s="4" t="inlineStr">
        <is>
          <t>UK</t>
        </is>
      </c>
      <c r="E209" s="4" t="inlineStr">
        <is>
          <t>4 invoices</t>
        </is>
      </c>
      <c r="F209" s="6">
        <f>IF(B209="","",IFERROR(INDEX(Products!$E:$E,MATCH(B209,Products!$A:$A,0)),0))</f>
        <v/>
      </c>
      <c r="G209" s="6">
        <f>IF(B209="","",N(C209)*N(F209))</f>
        <v/>
      </c>
      <c r="H209">
        <f>IF(B209="","",IFERROR(INDEX(Products!$B:$B,MATCH(B209,Products!$A:$A,0)),"SKU not found"))</f>
        <v/>
      </c>
    </row>
    <row r="210">
      <c r="A210" s="7" t="n">
        <v>40860</v>
      </c>
      <c r="B210" s="4" t="inlineStr">
        <is>
          <t>22423</t>
        </is>
      </c>
      <c r="C210" s="4" t="n">
        <v>6</v>
      </c>
      <c r="D210" s="4" t="inlineStr">
        <is>
          <t>Ireland</t>
        </is>
      </c>
      <c r="E210" s="4" t="inlineStr">
        <is>
          <t>1 invoices</t>
        </is>
      </c>
      <c r="F210" s="6">
        <f>IF(B210="","",IFERROR(INDEX(Products!$E:$E,MATCH(B210,Products!$A:$A,0)),0))</f>
        <v/>
      </c>
      <c r="G210" s="6">
        <f>IF(B210="","",N(C210)*N(F210))</f>
        <v/>
      </c>
      <c r="H210">
        <f>IF(B210="","",IFERROR(INDEX(Products!$B:$B,MATCH(B210,Products!$A:$A,0)),"SKU not found"))</f>
        <v/>
      </c>
    </row>
    <row r="211">
      <c r="A211" s="7" t="n">
        <v>40860</v>
      </c>
      <c r="B211" s="4" t="inlineStr">
        <is>
          <t>22423</t>
        </is>
      </c>
      <c r="C211" s="4" t="n">
        <v>23</v>
      </c>
      <c r="D211" s="4" t="inlineStr">
        <is>
          <t>UK</t>
        </is>
      </c>
      <c r="E211" s="4" t="inlineStr">
        <is>
          <t>5 invoices</t>
        </is>
      </c>
      <c r="F211" s="6">
        <f>IF(B211="","",IFERROR(INDEX(Products!$E:$E,MATCH(B211,Products!$A:$A,0)),0))</f>
        <v/>
      </c>
      <c r="G211" s="6">
        <f>IF(B211="","",N(C211)*N(F211))</f>
        <v/>
      </c>
      <c r="H211">
        <f>IF(B211="","",IFERROR(INDEX(Products!$B:$B,MATCH(B211,Products!$A:$A,0)),"SKU not found"))</f>
        <v/>
      </c>
    </row>
    <row r="212">
      <c r="A212" s="7" t="n">
        <v>40860</v>
      </c>
      <c r="B212" s="4" t="inlineStr">
        <is>
          <t>22457</t>
        </is>
      </c>
      <c r="C212" s="4" t="n">
        <v>27</v>
      </c>
      <c r="D212" s="4" t="inlineStr">
        <is>
          <t>UK</t>
        </is>
      </c>
      <c r="E212" s="4" t="inlineStr">
        <is>
          <t>7 invoices</t>
        </is>
      </c>
      <c r="F212" s="6">
        <f>IF(B212="","",IFERROR(INDEX(Products!$E:$E,MATCH(B212,Products!$A:$A,0)),0))</f>
        <v/>
      </c>
      <c r="G212" s="6">
        <f>IF(B212="","",N(C212)*N(F212))</f>
        <v/>
      </c>
      <c r="H212">
        <f>IF(B212="","",IFERROR(INDEX(Products!$B:$B,MATCH(B212,Products!$A:$A,0)),"SKU not found"))</f>
        <v/>
      </c>
    </row>
    <row r="213">
      <c r="A213" s="7" t="n">
        <v>40860</v>
      </c>
      <c r="B213" s="4" t="inlineStr">
        <is>
          <t>22469</t>
        </is>
      </c>
      <c r="C213" s="4" t="n">
        <v>31</v>
      </c>
      <c r="D213" s="4" t="inlineStr">
        <is>
          <t>UK</t>
        </is>
      </c>
      <c r="E213" s="4" t="inlineStr">
        <is>
          <t>5 invoices</t>
        </is>
      </c>
      <c r="F213" s="6">
        <f>IF(B213="","",IFERROR(INDEX(Products!$E:$E,MATCH(B213,Products!$A:$A,0)),0))</f>
        <v/>
      </c>
      <c r="G213" s="6">
        <f>IF(B213="","",N(C213)*N(F213))</f>
        <v/>
      </c>
      <c r="H213">
        <f>IF(B213="","",IFERROR(INDEX(Products!$B:$B,MATCH(B213,Products!$A:$A,0)),"SKU not found"))</f>
        <v/>
      </c>
    </row>
    <row r="214">
      <c r="A214" s="7" t="n">
        <v>40860</v>
      </c>
      <c r="B214" s="4" t="inlineStr">
        <is>
          <t>22720</t>
        </is>
      </c>
      <c r="C214" s="4" t="n">
        <v>12</v>
      </c>
      <c r="D214" s="4" t="inlineStr">
        <is>
          <t>Ireland</t>
        </is>
      </c>
      <c r="E214" s="4" t="inlineStr">
        <is>
          <t>1 invoices</t>
        </is>
      </c>
      <c r="F214" s="6">
        <f>IF(B214="","",IFERROR(INDEX(Products!$E:$E,MATCH(B214,Products!$A:$A,0)),0))</f>
        <v/>
      </c>
      <c r="G214" s="6">
        <f>IF(B214="","",N(C214)*N(F214))</f>
        <v/>
      </c>
      <c r="H214">
        <f>IF(B214="","",IFERROR(INDEX(Products!$B:$B,MATCH(B214,Products!$A:$A,0)),"SKU not found"))</f>
        <v/>
      </c>
    </row>
    <row r="215">
      <c r="A215" s="7" t="n">
        <v>40860</v>
      </c>
      <c r="B215" s="4" t="inlineStr">
        <is>
          <t>22720</t>
        </is>
      </c>
      <c r="C215" s="4" t="n">
        <v>18</v>
      </c>
      <c r="D215" s="4" t="inlineStr">
        <is>
          <t>UK</t>
        </is>
      </c>
      <c r="E215" s="4" t="inlineStr">
        <is>
          <t>4 invoices</t>
        </is>
      </c>
      <c r="F215" s="6">
        <f>IF(B215="","",IFERROR(INDEX(Products!$E:$E,MATCH(B215,Products!$A:$A,0)),0))</f>
        <v/>
      </c>
      <c r="G215" s="6">
        <f>IF(B215="","",N(C215)*N(F215))</f>
        <v/>
      </c>
      <c r="H215">
        <f>IF(B215="","",IFERROR(INDEX(Products!$B:$B,MATCH(B215,Products!$A:$A,0)),"SKU not found"))</f>
        <v/>
      </c>
    </row>
    <row r="216">
      <c r="A216" s="7" t="n">
        <v>40860</v>
      </c>
      <c r="B216" s="4" t="inlineStr">
        <is>
          <t>47566</t>
        </is>
      </c>
      <c r="C216" s="4" t="n">
        <v>6</v>
      </c>
      <c r="D216" s="4" t="inlineStr">
        <is>
          <t>UK</t>
        </is>
      </c>
      <c r="E216" s="4" t="inlineStr">
        <is>
          <t>3 invoices</t>
        </is>
      </c>
      <c r="F216" s="6">
        <f>IF(B216="","",IFERROR(INDEX(Products!$E:$E,MATCH(B216,Products!$A:$A,0)),0))</f>
        <v/>
      </c>
      <c r="G216" s="6">
        <f>IF(B216="","",N(C216)*N(F216))</f>
        <v/>
      </c>
      <c r="H216">
        <f>IF(B216="","",IFERROR(INDEX(Products!$B:$B,MATCH(B216,Products!$A:$A,0)),"SKU not found"))</f>
        <v/>
      </c>
    </row>
    <row r="217">
      <c r="A217" s="7" t="n">
        <v>40860</v>
      </c>
      <c r="B217" s="4" t="inlineStr">
        <is>
          <t>84879</t>
        </is>
      </c>
      <c r="C217" s="4" t="n">
        <v>8</v>
      </c>
      <c r="D217" s="4" t="inlineStr">
        <is>
          <t>Ireland</t>
        </is>
      </c>
      <c r="E217" s="4" t="inlineStr">
        <is>
          <t>1 invoices</t>
        </is>
      </c>
      <c r="F217" s="6">
        <f>IF(B217="","",IFERROR(INDEX(Products!$E:$E,MATCH(B217,Products!$A:$A,0)),0))</f>
        <v/>
      </c>
      <c r="G217" s="6">
        <f>IF(B217="","",N(C217)*N(F217))</f>
        <v/>
      </c>
      <c r="H217">
        <f>IF(B217="","",IFERROR(INDEX(Products!$B:$B,MATCH(B217,Products!$A:$A,0)),"SKU not found"))</f>
        <v/>
      </c>
    </row>
    <row r="218">
      <c r="A218" s="7" t="n">
        <v>40860</v>
      </c>
      <c r="B218" s="4" t="inlineStr">
        <is>
          <t>84879</t>
        </is>
      </c>
      <c r="C218" s="4" t="n">
        <v>48</v>
      </c>
      <c r="D218" s="4" t="inlineStr">
        <is>
          <t>UK</t>
        </is>
      </c>
      <c r="E218" s="4" t="inlineStr">
        <is>
          <t>4 invoices</t>
        </is>
      </c>
      <c r="F218" s="6">
        <f>IF(B218="","",IFERROR(INDEX(Products!$E:$E,MATCH(B218,Products!$A:$A,0)),0))</f>
        <v/>
      </c>
      <c r="G218" s="6">
        <f>IF(B218="","",N(C218)*N(F218))</f>
        <v/>
      </c>
      <c r="H218">
        <f>IF(B218="","",IFERROR(INDEX(Products!$B:$B,MATCH(B218,Products!$A:$A,0)),"SKU not found"))</f>
        <v/>
      </c>
    </row>
    <row r="219">
      <c r="A219" s="7" t="n">
        <v>40860</v>
      </c>
      <c r="B219" s="4" t="inlineStr">
        <is>
          <t>85099B</t>
        </is>
      </c>
      <c r="C219" s="4" t="n">
        <v>48</v>
      </c>
      <c r="D219" s="4" t="inlineStr">
        <is>
          <t>UK</t>
        </is>
      </c>
      <c r="E219" s="4" t="inlineStr">
        <is>
          <t>10 invoices</t>
        </is>
      </c>
      <c r="F219" s="6">
        <f>IF(B219="","",IFERROR(INDEX(Products!$E:$E,MATCH(B219,Products!$A:$A,0)),0))</f>
        <v/>
      </c>
      <c r="G219" s="6">
        <f>IF(B219="","",N(C219)*N(F219))</f>
        <v/>
      </c>
      <c r="H219">
        <f>IF(B219="","",IFERROR(INDEX(Products!$B:$B,MATCH(B219,Products!$A:$A,0)),"SKU not found"))</f>
        <v/>
      </c>
    </row>
    <row r="220">
      <c r="A220" s="7" t="n">
        <v>40860</v>
      </c>
      <c r="B220" s="4" t="inlineStr">
        <is>
          <t>85123A</t>
        </is>
      </c>
      <c r="C220" s="4" t="n">
        <v>65</v>
      </c>
      <c r="D220" s="4" t="inlineStr">
        <is>
          <t>UK</t>
        </is>
      </c>
      <c r="E220" s="4" t="inlineStr">
        <is>
          <t>10 invoices</t>
        </is>
      </c>
      <c r="F220" s="6">
        <f>IF(B220="","",IFERROR(INDEX(Products!$E:$E,MATCH(B220,Products!$A:$A,0)),0))</f>
        <v/>
      </c>
      <c r="G220" s="6">
        <f>IF(B220="","",N(C220)*N(F220))</f>
        <v/>
      </c>
      <c r="H220">
        <f>IF(B220="","",IFERROR(INDEX(Products!$B:$B,MATCH(B220,Products!$A:$A,0)),"SKU not found"))</f>
        <v/>
      </c>
    </row>
    <row r="221">
      <c r="A221" s="7" t="n">
        <v>40861</v>
      </c>
      <c r="B221" s="4" t="inlineStr">
        <is>
          <t>20725</t>
        </is>
      </c>
      <c r="C221" s="4" t="n">
        <v>20</v>
      </c>
      <c r="D221" s="4" t="inlineStr">
        <is>
          <t>France</t>
        </is>
      </c>
      <c r="E221" s="4" t="inlineStr">
        <is>
          <t>2 invoices</t>
        </is>
      </c>
      <c r="F221" s="6">
        <f>IF(B221="","",IFERROR(INDEX(Products!$E:$E,MATCH(B221,Products!$A:$A,0)),0))</f>
        <v/>
      </c>
      <c r="G221" s="6">
        <f>IF(B221="","",N(C221)*N(F221))</f>
        <v/>
      </c>
      <c r="H221">
        <f>IF(B221="","",IFERROR(INDEX(Products!$B:$B,MATCH(B221,Products!$A:$A,0)),"SKU not found"))</f>
        <v/>
      </c>
    </row>
    <row r="222">
      <c r="A222" s="7" t="n">
        <v>40861</v>
      </c>
      <c r="B222" s="4" t="inlineStr">
        <is>
          <t>20725</t>
        </is>
      </c>
      <c r="C222" s="4" t="n">
        <v>135</v>
      </c>
      <c r="D222" s="4" t="inlineStr">
        <is>
          <t>UK</t>
        </is>
      </c>
      <c r="E222" s="4" t="inlineStr">
        <is>
          <t>5 invoices</t>
        </is>
      </c>
      <c r="F222" s="6">
        <f>IF(B222="","",IFERROR(INDEX(Products!$E:$E,MATCH(B222,Products!$A:$A,0)),0))</f>
        <v/>
      </c>
      <c r="G222" s="6">
        <f>IF(B222="","",N(C222)*N(F222))</f>
        <v/>
      </c>
      <c r="H222">
        <f>IF(B222="","",IFERROR(INDEX(Products!$B:$B,MATCH(B222,Products!$A:$A,0)),"SKU not found"))</f>
        <v/>
      </c>
    </row>
    <row r="223">
      <c r="A223" s="7" t="n">
        <v>40861</v>
      </c>
      <c r="B223" s="4" t="inlineStr">
        <is>
          <t>20727</t>
        </is>
      </c>
      <c r="C223" s="4" t="n">
        <v>41</v>
      </c>
      <c r="D223" s="4" t="inlineStr">
        <is>
          <t>UK</t>
        </is>
      </c>
      <c r="E223" s="4" t="inlineStr">
        <is>
          <t>8 invoices</t>
        </is>
      </c>
      <c r="F223" s="6">
        <f>IF(B223="","",IFERROR(INDEX(Products!$E:$E,MATCH(B223,Products!$A:$A,0)),0))</f>
        <v/>
      </c>
      <c r="G223" s="6">
        <f>IF(B223="","",N(C223)*N(F223))</f>
        <v/>
      </c>
      <c r="H223">
        <f>IF(B223="","",IFERROR(INDEX(Products!$B:$B,MATCH(B223,Products!$A:$A,0)),"SKU not found"))</f>
        <v/>
      </c>
    </row>
    <row r="224">
      <c r="A224" s="7" t="n">
        <v>40861</v>
      </c>
      <c r="B224" s="4" t="inlineStr">
        <is>
          <t>21212</t>
        </is>
      </c>
      <c r="C224" s="4" t="n">
        <v>164</v>
      </c>
      <c r="D224" s="4" t="inlineStr">
        <is>
          <t>UK</t>
        </is>
      </c>
      <c r="E224" s="4" t="inlineStr">
        <is>
          <t>7 invoices</t>
        </is>
      </c>
      <c r="F224" s="6">
        <f>IF(B224="","",IFERROR(INDEX(Products!$E:$E,MATCH(B224,Products!$A:$A,0)),0))</f>
        <v/>
      </c>
      <c r="G224" s="6">
        <f>IF(B224="","",N(C224)*N(F224))</f>
        <v/>
      </c>
      <c r="H224">
        <f>IF(B224="","",IFERROR(INDEX(Products!$B:$B,MATCH(B224,Products!$A:$A,0)),"SKU not found"))</f>
        <v/>
      </c>
    </row>
    <row r="225">
      <c r="A225" s="7" t="n">
        <v>40861</v>
      </c>
      <c r="B225" s="4" t="inlineStr">
        <is>
          <t>21931</t>
        </is>
      </c>
      <c r="C225" s="4" t="n">
        <v>10</v>
      </c>
      <c r="D225" s="4" t="inlineStr">
        <is>
          <t>France</t>
        </is>
      </c>
      <c r="E225" s="4" t="inlineStr">
        <is>
          <t>1 invoices</t>
        </is>
      </c>
      <c r="F225" s="6">
        <f>IF(B225="","",IFERROR(INDEX(Products!$E:$E,MATCH(B225,Products!$A:$A,0)),0))</f>
        <v/>
      </c>
      <c r="G225" s="6">
        <f>IF(B225="","",N(C225)*N(F225))</f>
        <v/>
      </c>
      <c r="H225">
        <f>IF(B225="","",IFERROR(INDEX(Products!$B:$B,MATCH(B225,Products!$A:$A,0)),"SKU not found"))</f>
        <v/>
      </c>
    </row>
    <row r="226">
      <c r="A226" s="7" t="n">
        <v>40861</v>
      </c>
      <c r="B226" s="4" t="inlineStr">
        <is>
          <t>21931</t>
        </is>
      </c>
      <c r="C226" s="4" t="n">
        <v>10</v>
      </c>
      <c r="D226" s="4" t="inlineStr">
        <is>
          <t>UK</t>
        </is>
      </c>
      <c r="E226" s="4" t="inlineStr">
        <is>
          <t>1 invoices</t>
        </is>
      </c>
      <c r="F226" s="6">
        <f>IF(B226="","",IFERROR(INDEX(Products!$E:$E,MATCH(B226,Products!$A:$A,0)),0))</f>
        <v/>
      </c>
      <c r="G226" s="6">
        <f>IF(B226="","",N(C226)*N(F226))</f>
        <v/>
      </c>
      <c r="H226">
        <f>IF(B226="","",IFERROR(INDEX(Products!$B:$B,MATCH(B226,Products!$A:$A,0)),"SKU not found"))</f>
        <v/>
      </c>
    </row>
    <row r="227">
      <c r="A227" s="7" t="n">
        <v>40861</v>
      </c>
      <c r="B227" s="4" t="inlineStr">
        <is>
          <t>22197</t>
        </is>
      </c>
      <c r="C227" s="4" t="n">
        <v>1767</v>
      </c>
      <c r="D227" s="4" t="inlineStr">
        <is>
          <t>UK</t>
        </is>
      </c>
      <c r="E227" s="4" t="inlineStr">
        <is>
          <t>15 invoices</t>
        </is>
      </c>
      <c r="F227" s="6">
        <f>IF(B227="","",IFERROR(INDEX(Products!$E:$E,MATCH(B227,Products!$A:$A,0)),0))</f>
        <v/>
      </c>
      <c r="G227" s="6">
        <f>IF(B227="","",N(C227)*N(F227))</f>
        <v/>
      </c>
      <c r="H227">
        <f>IF(B227="","",IFERROR(INDEX(Products!$B:$B,MATCH(B227,Products!$A:$A,0)),"SKU not found"))</f>
        <v/>
      </c>
    </row>
    <row r="228">
      <c r="A228" s="7" t="n">
        <v>40861</v>
      </c>
      <c r="B228" s="4" t="inlineStr">
        <is>
          <t>22383</t>
        </is>
      </c>
      <c r="C228" s="4" t="n">
        <v>39</v>
      </c>
      <c r="D228" s="4" t="inlineStr">
        <is>
          <t>UK</t>
        </is>
      </c>
      <c r="E228" s="4" t="inlineStr">
        <is>
          <t>6 invoices</t>
        </is>
      </c>
      <c r="F228" s="6">
        <f>IF(B228="","",IFERROR(INDEX(Products!$E:$E,MATCH(B228,Products!$A:$A,0)),0))</f>
        <v/>
      </c>
      <c r="G228" s="6">
        <f>IF(B228="","",N(C228)*N(F228))</f>
        <v/>
      </c>
      <c r="H228">
        <f>IF(B228="","",IFERROR(INDEX(Products!$B:$B,MATCH(B228,Products!$A:$A,0)),"SKU not found"))</f>
        <v/>
      </c>
    </row>
    <row r="229">
      <c r="A229" s="7" t="n">
        <v>40861</v>
      </c>
      <c r="B229" s="4" t="inlineStr">
        <is>
          <t>22386</t>
        </is>
      </c>
      <c r="C229" s="4" t="n">
        <v>10</v>
      </c>
      <c r="D229" s="4" t="inlineStr">
        <is>
          <t>Other EU/Intl</t>
        </is>
      </c>
      <c r="E229" s="4" t="inlineStr">
        <is>
          <t>1 invoices</t>
        </is>
      </c>
      <c r="F229" s="6">
        <f>IF(B229="","",IFERROR(INDEX(Products!$E:$E,MATCH(B229,Products!$A:$A,0)),0))</f>
        <v/>
      </c>
      <c r="G229" s="6">
        <f>IF(B229="","",N(C229)*N(F229))</f>
        <v/>
      </c>
      <c r="H229">
        <f>IF(B229="","",IFERROR(INDEX(Products!$B:$B,MATCH(B229,Products!$A:$A,0)),"SKU not found"))</f>
        <v/>
      </c>
    </row>
    <row r="230">
      <c r="A230" s="7" t="n">
        <v>40861</v>
      </c>
      <c r="B230" s="4" t="inlineStr">
        <is>
          <t>22386</t>
        </is>
      </c>
      <c r="C230" s="4" t="n">
        <v>311</v>
      </c>
      <c r="D230" s="4" t="inlineStr">
        <is>
          <t>UK</t>
        </is>
      </c>
      <c r="E230" s="4" t="inlineStr">
        <is>
          <t>5 invoices</t>
        </is>
      </c>
      <c r="F230" s="6">
        <f>IF(B230="","",IFERROR(INDEX(Products!$E:$E,MATCH(B230,Products!$A:$A,0)),0))</f>
        <v/>
      </c>
      <c r="G230" s="6">
        <f>IF(B230="","",N(C230)*N(F230))</f>
        <v/>
      </c>
      <c r="H230">
        <f>IF(B230="","",IFERROR(INDEX(Products!$B:$B,MATCH(B230,Products!$A:$A,0)),"SKU not found"))</f>
        <v/>
      </c>
    </row>
    <row r="231">
      <c r="A231" s="7" t="n">
        <v>40861</v>
      </c>
      <c r="B231" s="4" t="inlineStr">
        <is>
          <t>22423</t>
        </is>
      </c>
      <c r="C231" s="4" t="n">
        <v>2</v>
      </c>
      <c r="D231" s="4" t="inlineStr">
        <is>
          <t>Other EU/Intl</t>
        </is>
      </c>
      <c r="E231" s="4" t="inlineStr">
        <is>
          <t>1 invoices</t>
        </is>
      </c>
      <c r="F231" s="6">
        <f>IF(B231="","",IFERROR(INDEX(Products!$E:$E,MATCH(B231,Products!$A:$A,0)),0))</f>
        <v/>
      </c>
      <c r="G231" s="6">
        <f>IF(B231="","",N(C231)*N(F231))</f>
        <v/>
      </c>
      <c r="H231">
        <f>IF(B231="","",IFERROR(INDEX(Products!$B:$B,MATCH(B231,Products!$A:$A,0)),"SKU not found"))</f>
        <v/>
      </c>
    </row>
    <row r="232">
      <c r="A232" s="7" t="n">
        <v>40861</v>
      </c>
      <c r="B232" s="4" t="inlineStr">
        <is>
          <t>22423</t>
        </is>
      </c>
      <c r="C232" s="4" t="n">
        <v>6</v>
      </c>
      <c r="D232" s="4" t="inlineStr">
        <is>
          <t>UK</t>
        </is>
      </c>
      <c r="E232" s="4" t="inlineStr">
        <is>
          <t>4 invoices</t>
        </is>
      </c>
      <c r="F232" s="6">
        <f>IF(B232="","",IFERROR(INDEX(Products!$E:$E,MATCH(B232,Products!$A:$A,0)),0))</f>
        <v/>
      </c>
      <c r="G232" s="6">
        <f>IF(B232="","",N(C232)*N(F232))</f>
        <v/>
      </c>
      <c r="H232">
        <f>IF(B232="","",IFERROR(INDEX(Products!$B:$B,MATCH(B232,Products!$A:$A,0)),"SKU not found"))</f>
        <v/>
      </c>
    </row>
    <row r="233">
      <c r="A233" s="7" t="n">
        <v>40861</v>
      </c>
      <c r="B233" s="4" t="inlineStr">
        <is>
          <t>22457</t>
        </is>
      </c>
      <c r="C233" s="4" t="n">
        <v>25</v>
      </c>
      <c r="D233" s="4" t="inlineStr">
        <is>
          <t>UK</t>
        </is>
      </c>
      <c r="E233" s="4" t="inlineStr">
        <is>
          <t>5 invoices</t>
        </is>
      </c>
      <c r="F233" s="6">
        <f>IF(B233="","",IFERROR(INDEX(Products!$E:$E,MATCH(B233,Products!$A:$A,0)),0))</f>
        <v/>
      </c>
      <c r="G233" s="6">
        <f>IF(B233="","",N(C233)*N(F233))</f>
        <v/>
      </c>
      <c r="H233">
        <f>IF(B233="","",IFERROR(INDEX(Products!$B:$B,MATCH(B233,Products!$A:$A,0)),"SKU not found"))</f>
        <v/>
      </c>
    </row>
    <row r="234">
      <c r="A234" s="7" t="n">
        <v>40861</v>
      </c>
      <c r="B234" s="4" t="inlineStr">
        <is>
          <t>22469</t>
        </is>
      </c>
      <c r="C234" s="4" t="n">
        <v>119</v>
      </c>
      <c r="D234" s="4" t="inlineStr">
        <is>
          <t>UK</t>
        </is>
      </c>
      <c r="E234" s="4" t="inlineStr">
        <is>
          <t>3 invoices</t>
        </is>
      </c>
      <c r="F234" s="6">
        <f>IF(B234="","",IFERROR(INDEX(Products!$E:$E,MATCH(B234,Products!$A:$A,0)),0))</f>
        <v/>
      </c>
      <c r="G234" s="6">
        <f>IF(B234="","",N(C234)*N(F234))</f>
        <v/>
      </c>
      <c r="H234">
        <f>IF(B234="","",IFERROR(INDEX(Products!$B:$B,MATCH(B234,Products!$A:$A,0)),"SKU not found"))</f>
        <v/>
      </c>
    </row>
    <row r="235">
      <c r="A235" s="7" t="n">
        <v>40861</v>
      </c>
      <c r="B235" s="4" t="inlineStr">
        <is>
          <t>22720</t>
        </is>
      </c>
      <c r="C235" s="4" t="n">
        <v>3</v>
      </c>
      <c r="D235" s="4" t="inlineStr">
        <is>
          <t>UK</t>
        </is>
      </c>
      <c r="E235" s="4" t="inlineStr">
        <is>
          <t>2 invoices</t>
        </is>
      </c>
      <c r="F235" s="6">
        <f>IF(B235="","",IFERROR(INDEX(Products!$E:$E,MATCH(B235,Products!$A:$A,0)),0))</f>
        <v/>
      </c>
      <c r="G235" s="6">
        <f>IF(B235="","",N(C235)*N(F235))</f>
        <v/>
      </c>
      <c r="H235">
        <f>IF(B235="","",IFERROR(INDEX(Products!$B:$B,MATCH(B235,Products!$A:$A,0)),"SKU not found"))</f>
        <v/>
      </c>
    </row>
    <row r="236">
      <c r="A236" s="7" t="n">
        <v>40861</v>
      </c>
      <c r="B236" s="4" t="inlineStr">
        <is>
          <t>47566</t>
        </is>
      </c>
      <c r="C236" s="4" t="n">
        <v>3</v>
      </c>
      <c r="D236" s="4" t="inlineStr">
        <is>
          <t>UK</t>
        </is>
      </c>
      <c r="E236" s="4" t="inlineStr">
        <is>
          <t>1 invoices</t>
        </is>
      </c>
      <c r="F236" s="6">
        <f>IF(B236="","",IFERROR(INDEX(Products!$E:$E,MATCH(B236,Products!$A:$A,0)),0))</f>
        <v/>
      </c>
      <c r="G236" s="6">
        <f>IF(B236="","",N(C236)*N(F236))</f>
        <v/>
      </c>
      <c r="H236">
        <f>IF(B236="","",IFERROR(INDEX(Products!$B:$B,MATCH(B236,Products!$A:$A,0)),"SKU not found"))</f>
        <v/>
      </c>
    </row>
    <row r="237">
      <c r="A237" s="7" t="n">
        <v>40861</v>
      </c>
      <c r="B237" s="4" t="inlineStr">
        <is>
          <t>84879</t>
        </is>
      </c>
      <c r="C237" s="4" t="n">
        <v>303</v>
      </c>
      <c r="D237" s="4" t="inlineStr">
        <is>
          <t>UK</t>
        </is>
      </c>
      <c r="E237" s="4" t="inlineStr">
        <is>
          <t>12 invoices</t>
        </is>
      </c>
      <c r="F237" s="6">
        <f>IF(B237="","",IFERROR(INDEX(Products!$E:$E,MATCH(B237,Products!$A:$A,0)),0))</f>
        <v/>
      </c>
      <c r="G237" s="6">
        <f>IF(B237="","",N(C237)*N(F237))</f>
        <v/>
      </c>
      <c r="H237">
        <f>IF(B237="","",IFERROR(INDEX(Products!$B:$B,MATCH(B237,Products!$A:$A,0)),"SKU not found"))</f>
        <v/>
      </c>
    </row>
    <row r="238">
      <c r="A238" s="7" t="n">
        <v>40861</v>
      </c>
      <c r="B238" s="4" t="inlineStr">
        <is>
          <t>85099B</t>
        </is>
      </c>
      <c r="C238" s="4" t="n">
        <v>10</v>
      </c>
      <c r="D238" s="4" t="inlineStr">
        <is>
          <t>France</t>
        </is>
      </c>
      <c r="E238" s="4" t="inlineStr">
        <is>
          <t>1 invoices</t>
        </is>
      </c>
      <c r="F238" s="6">
        <f>IF(B238="","",IFERROR(INDEX(Products!$E:$E,MATCH(B238,Products!$A:$A,0)),0))</f>
        <v/>
      </c>
      <c r="G238" s="6">
        <f>IF(B238="","",N(C238)*N(F238))</f>
        <v/>
      </c>
      <c r="H238">
        <f>IF(B238="","",IFERROR(INDEX(Products!$B:$B,MATCH(B238,Products!$A:$A,0)),"SKU not found"))</f>
        <v/>
      </c>
    </row>
    <row r="239">
      <c r="A239" s="7" t="n">
        <v>40861</v>
      </c>
      <c r="B239" s="4" t="inlineStr">
        <is>
          <t>85099B</t>
        </is>
      </c>
      <c r="C239" s="4" t="n">
        <v>10</v>
      </c>
      <c r="D239" s="4" t="inlineStr">
        <is>
          <t>Other EU/Intl</t>
        </is>
      </c>
      <c r="E239" s="4" t="inlineStr">
        <is>
          <t>1 invoices</t>
        </is>
      </c>
      <c r="F239" s="6">
        <f>IF(B239="","",IFERROR(INDEX(Products!$E:$E,MATCH(B239,Products!$A:$A,0)),0))</f>
        <v/>
      </c>
      <c r="G239" s="6">
        <f>IF(B239="","",N(C239)*N(F239))</f>
        <v/>
      </c>
      <c r="H239">
        <f>IF(B239="","",IFERROR(INDEX(Products!$B:$B,MATCH(B239,Products!$A:$A,0)),"SKU not found"))</f>
        <v/>
      </c>
    </row>
    <row r="240">
      <c r="A240" s="7" t="n">
        <v>40861</v>
      </c>
      <c r="B240" s="4" t="inlineStr">
        <is>
          <t>85099B</t>
        </is>
      </c>
      <c r="C240" s="4" t="n">
        <v>640</v>
      </c>
      <c r="D240" s="4" t="inlineStr">
        <is>
          <t>UK</t>
        </is>
      </c>
      <c r="E240" s="4" t="inlineStr">
        <is>
          <t>5 invoices</t>
        </is>
      </c>
      <c r="F240" s="6">
        <f>IF(B240="","",IFERROR(INDEX(Products!$E:$E,MATCH(B240,Products!$A:$A,0)),0))</f>
        <v/>
      </c>
      <c r="G240" s="6">
        <f>IF(B240="","",N(C240)*N(F240))</f>
        <v/>
      </c>
      <c r="H240">
        <f>IF(B240="","",IFERROR(INDEX(Products!$B:$B,MATCH(B240,Products!$A:$A,0)),"SKU not found"))</f>
        <v/>
      </c>
    </row>
    <row r="241">
      <c r="A241" s="7" t="n">
        <v>40861</v>
      </c>
      <c r="B241" s="4" t="inlineStr">
        <is>
          <t>85123A</t>
        </is>
      </c>
      <c r="C241" s="4" t="n">
        <v>6</v>
      </c>
      <c r="D241" s="4" t="inlineStr">
        <is>
          <t>Ireland</t>
        </is>
      </c>
      <c r="E241" s="4" t="inlineStr">
        <is>
          <t>1 invoices</t>
        </is>
      </c>
      <c r="F241" s="6">
        <f>IF(B241="","",IFERROR(INDEX(Products!$E:$E,MATCH(B241,Products!$A:$A,0)),0))</f>
        <v/>
      </c>
      <c r="G241" s="6">
        <f>IF(B241="","",N(C241)*N(F241))</f>
        <v/>
      </c>
      <c r="H241">
        <f>IF(B241="","",IFERROR(INDEX(Products!$B:$B,MATCH(B241,Products!$A:$A,0)),"SKU not found"))</f>
        <v/>
      </c>
    </row>
    <row r="242">
      <c r="A242" s="7" t="n">
        <v>40861</v>
      </c>
      <c r="B242" s="4" t="inlineStr">
        <is>
          <t>85123A</t>
        </is>
      </c>
      <c r="C242" s="4" t="n">
        <v>374</v>
      </c>
      <c r="D242" s="4" t="inlineStr">
        <is>
          <t>UK</t>
        </is>
      </c>
      <c r="E242" s="4" t="inlineStr">
        <is>
          <t>8 invoices</t>
        </is>
      </c>
      <c r="F242" s="6">
        <f>IF(B242="","",IFERROR(INDEX(Products!$E:$E,MATCH(B242,Products!$A:$A,0)),0))</f>
        <v/>
      </c>
      <c r="G242" s="6">
        <f>IF(B242="","",N(C242)*N(F242))</f>
        <v/>
      </c>
      <c r="H242">
        <f>IF(B242="","",IFERROR(INDEX(Products!$B:$B,MATCH(B242,Products!$A:$A,0)),"SKU not found"))</f>
        <v/>
      </c>
    </row>
    <row r="243">
      <c r="A243" s="7" t="n">
        <v>40862</v>
      </c>
      <c r="B243" s="4" t="inlineStr">
        <is>
          <t>20725</t>
        </is>
      </c>
      <c r="C243" s="4" t="n">
        <v>100</v>
      </c>
      <c r="D243" s="4" t="inlineStr">
        <is>
          <t>Other EU/Intl</t>
        </is>
      </c>
      <c r="E243" s="4" t="inlineStr">
        <is>
          <t>1 invoices</t>
        </is>
      </c>
      <c r="F243" s="6">
        <f>IF(B243="","",IFERROR(INDEX(Products!$E:$E,MATCH(B243,Products!$A:$A,0)),0))</f>
        <v/>
      </c>
      <c r="G243" s="6">
        <f>IF(B243="","",N(C243)*N(F243))</f>
        <v/>
      </c>
      <c r="H243">
        <f>IF(B243="","",IFERROR(INDEX(Products!$B:$B,MATCH(B243,Products!$A:$A,0)),"SKU not found"))</f>
        <v/>
      </c>
    </row>
    <row r="244">
      <c r="A244" s="7" t="n">
        <v>40862</v>
      </c>
      <c r="B244" s="4" t="inlineStr">
        <is>
          <t>20725</t>
        </is>
      </c>
      <c r="C244" s="4" t="n">
        <v>132</v>
      </c>
      <c r="D244" s="4" t="inlineStr">
        <is>
          <t>UK</t>
        </is>
      </c>
      <c r="E244" s="4" t="inlineStr">
        <is>
          <t>7 invoices</t>
        </is>
      </c>
      <c r="F244" s="6">
        <f>IF(B244="","",IFERROR(INDEX(Products!$E:$E,MATCH(B244,Products!$A:$A,0)),0))</f>
        <v/>
      </c>
      <c r="G244" s="6">
        <f>IF(B244="","",N(C244)*N(F244))</f>
        <v/>
      </c>
      <c r="H244">
        <f>IF(B244="","",IFERROR(INDEX(Products!$B:$B,MATCH(B244,Products!$A:$A,0)),"SKU not found"))</f>
        <v/>
      </c>
    </row>
    <row r="245">
      <c r="A245" s="7" t="n">
        <v>40862</v>
      </c>
      <c r="B245" s="4" t="inlineStr">
        <is>
          <t>20727</t>
        </is>
      </c>
      <c r="C245" s="4" t="n">
        <v>151</v>
      </c>
      <c r="D245" s="4" t="inlineStr">
        <is>
          <t>UK</t>
        </is>
      </c>
      <c r="E245" s="4" t="inlineStr">
        <is>
          <t>7 invoices</t>
        </is>
      </c>
      <c r="F245" s="6">
        <f>IF(B245="","",IFERROR(INDEX(Products!$E:$E,MATCH(B245,Products!$A:$A,0)),0))</f>
        <v/>
      </c>
      <c r="G245" s="6">
        <f>IF(B245="","",N(C245)*N(F245))</f>
        <v/>
      </c>
      <c r="H245">
        <f>IF(B245="","",IFERROR(INDEX(Products!$B:$B,MATCH(B245,Products!$A:$A,0)),"SKU not found"))</f>
        <v/>
      </c>
    </row>
    <row r="246">
      <c r="A246" s="7" t="n">
        <v>40862</v>
      </c>
      <c r="B246" s="4" t="inlineStr">
        <is>
          <t>21212</t>
        </is>
      </c>
      <c r="C246" s="4" t="n">
        <v>62</v>
      </c>
      <c r="D246" s="4" t="inlineStr">
        <is>
          <t>UK</t>
        </is>
      </c>
      <c r="E246" s="4" t="inlineStr">
        <is>
          <t>4 invoices</t>
        </is>
      </c>
      <c r="F246" s="6">
        <f>IF(B246="","",IFERROR(INDEX(Products!$E:$E,MATCH(B246,Products!$A:$A,0)),0))</f>
        <v/>
      </c>
      <c r="G246" s="6">
        <f>IF(B246="","",N(C246)*N(F246))</f>
        <v/>
      </c>
      <c r="H246">
        <f>IF(B246="","",IFERROR(INDEX(Products!$B:$B,MATCH(B246,Products!$A:$A,0)),"SKU not found"))</f>
        <v/>
      </c>
    </row>
    <row r="247">
      <c r="A247" s="7" t="n">
        <v>40862</v>
      </c>
      <c r="B247" s="4" t="inlineStr">
        <is>
          <t>21931</t>
        </is>
      </c>
      <c r="C247" s="4" t="n">
        <v>41</v>
      </c>
      <c r="D247" s="4" t="inlineStr">
        <is>
          <t>UK</t>
        </is>
      </c>
      <c r="E247" s="4" t="inlineStr">
        <is>
          <t>3 invoices</t>
        </is>
      </c>
      <c r="F247" s="6">
        <f>IF(B247="","",IFERROR(INDEX(Products!$E:$E,MATCH(B247,Products!$A:$A,0)),0))</f>
        <v/>
      </c>
      <c r="G247" s="6">
        <f>IF(B247="","",N(C247)*N(F247))</f>
        <v/>
      </c>
      <c r="H247">
        <f>IF(B247="","",IFERROR(INDEX(Products!$B:$B,MATCH(B247,Products!$A:$A,0)),"SKU not found"))</f>
        <v/>
      </c>
    </row>
    <row r="248">
      <c r="A248" s="7" t="n">
        <v>40862</v>
      </c>
      <c r="B248" s="4" t="inlineStr">
        <is>
          <t>22197</t>
        </is>
      </c>
      <c r="C248" s="4" t="n">
        <v>224</v>
      </c>
      <c r="D248" s="4" t="inlineStr">
        <is>
          <t>UK</t>
        </is>
      </c>
      <c r="E248" s="4" t="inlineStr">
        <is>
          <t>7 invoices</t>
        </is>
      </c>
      <c r="F248" s="6">
        <f>IF(B248="","",IFERROR(INDEX(Products!$E:$E,MATCH(B248,Products!$A:$A,0)),0))</f>
        <v/>
      </c>
      <c r="G248" s="6">
        <f>IF(B248="","",N(C248)*N(F248))</f>
        <v/>
      </c>
      <c r="H248">
        <f>IF(B248="","",IFERROR(INDEX(Products!$B:$B,MATCH(B248,Products!$A:$A,0)),"SKU not found"))</f>
        <v/>
      </c>
    </row>
    <row r="249">
      <c r="A249" s="7" t="n">
        <v>40862</v>
      </c>
      <c r="B249" s="4" t="inlineStr">
        <is>
          <t>22383</t>
        </is>
      </c>
      <c r="C249" s="4" t="n">
        <v>9</v>
      </c>
      <c r="D249" s="4" t="inlineStr">
        <is>
          <t>UK</t>
        </is>
      </c>
      <c r="E249" s="4" t="inlineStr">
        <is>
          <t>3 invoices</t>
        </is>
      </c>
      <c r="F249" s="6">
        <f>IF(B249="","",IFERROR(INDEX(Products!$E:$E,MATCH(B249,Products!$A:$A,0)),0))</f>
        <v/>
      </c>
      <c r="G249" s="6">
        <f>IF(B249="","",N(C249)*N(F249))</f>
        <v/>
      </c>
      <c r="H249">
        <f>IF(B249="","",IFERROR(INDEX(Products!$B:$B,MATCH(B249,Products!$A:$A,0)),"SKU not found"))</f>
        <v/>
      </c>
    </row>
    <row r="250">
      <c r="A250" s="7" t="n">
        <v>40862</v>
      </c>
      <c r="B250" s="4" t="inlineStr">
        <is>
          <t>22386</t>
        </is>
      </c>
      <c r="C250" s="4" t="n">
        <v>22</v>
      </c>
      <c r="D250" s="4" t="inlineStr">
        <is>
          <t>UK</t>
        </is>
      </c>
      <c r="E250" s="4" t="inlineStr">
        <is>
          <t>3 invoices</t>
        </is>
      </c>
      <c r="F250" s="6">
        <f>IF(B250="","",IFERROR(INDEX(Products!$E:$E,MATCH(B250,Products!$A:$A,0)),0))</f>
        <v/>
      </c>
      <c r="G250" s="6">
        <f>IF(B250="","",N(C250)*N(F250))</f>
        <v/>
      </c>
      <c r="H250">
        <f>IF(B250="","",IFERROR(INDEX(Products!$B:$B,MATCH(B250,Products!$A:$A,0)),"SKU not found"))</f>
        <v/>
      </c>
    </row>
    <row r="251">
      <c r="A251" s="7" t="n">
        <v>40862</v>
      </c>
      <c r="B251" s="4" t="inlineStr">
        <is>
          <t>22423</t>
        </is>
      </c>
      <c r="C251" s="4" t="n">
        <v>45</v>
      </c>
      <c r="D251" s="4" t="inlineStr">
        <is>
          <t>UK</t>
        </is>
      </c>
      <c r="E251" s="4" t="inlineStr">
        <is>
          <t>9 invoices</t>
        </is>
      </c>
      <c r="F251" s="6">
        <f>IF(B251="","",IFERROR(INDEX(Products!$E:$E,MATCH(B251,Products!$A:$A,0)),0))</f>
        <v/>
      </c>
      <c r="G251" s="6">
        <f>IF(B251="","",N(C251)*N(F251))</f>
        <v/>
      </c>
      <c r="H251">
        <f>IF(B251="","",IFERROR(INDEX(Products!$B:$B,MATCH(B251,Products!$A:$A,0)),"SKU not found"))</f>
        <v/>
      </c>
    </row>
    <row r="252">
      <c r="A252" s="7" t="n">
        <v>40862</v>
      </c>
      <c r="B252" s="4" t="inlineStr">
        <is>
          <t>22457</t>
        </is>
      </c>
      <c r="C252" s="4" t="n">
        <v>39</v>
      </c>
      <c r="D252" s="4" t="inlineStr">
        <is>
          <t>UK</t>
        </is>
      </c>
      <c r="E252" s="4" t="inlineStr">
        <is>
          <t>7 invoices</t>
        </is>
      </c>
      <c r="F252" s="6">
        <f>IF(B252="","",IFERROR(INDEX(Products!$E:$E,MATCH(B252,Products!$A:$A,0)),0))</f>
        <v/>
      </c>
      <c r="G252" s="6">
        <f>IF(B252="","",N(C252)*N(F252))</f>
        <v/>
      </c>
      <c r="H252">
        <f>IF(B252="","",IFERROR(INDEX(Products!$B:$B,MATCH(B252,Products!$A:$A,0)),"SKU not found"))</f>
        <v/>
      </c>
    </row>
    <row r="253">
      <c r="A253" s="7" t="n">
        <v>40862</v>
      </c>
      <c r="B253" s="4" t="inlineStr">
        <is>
          <t>22469</t>
        </is>
      </c>
      <c r="C253" s="4" t="n">
        <v>17</v>
      </c>
      <c r="D253" s="4" t="inlineStr">
        <is>
          <t>UK</t>
        </is>
      </c>
      <c r="E253" s="4" t="inlineStr">
        <is>
          <t>3 invoices</t>
        </is>
      </c>
      <c r="F253" s="6">
        <f>IF(B253="","",IFERROR(INDEX(Products!$E:$E,MATCH(B253,Products!$A:$A,0)),0))</f>
        <v/>
      </c>
      <c r="G253" s="6">
        <f>IF(B253="","",N(C253)*N(F253))</f>
        <v/>
      </c>
      <c r="H253">
        <f>IF(B253="","",IFERROR(INDEX(Products!$B:$B,MATCH(B253,Products!$A:$A,0)),"SKU not found"))</f>
        <v/>
      </c>
    </row>
    <row r="254">
      <c r="A254" s="7" t="n">
        <v>40862</v>
      </c>
      <c r="B254" s="4" t="inlineStr">
        <is>
          <t>22720</t>
        </is>
      </c>
      <c r="C254" s="4" t="n">
        <v>19</v>
      </c>
      <c r="D254" s="4" t="inlineStr">
        <is>
          <t>UK</t>
        </is>
      </c>
      <c r="E254" s="4" t="inlineStr">
        <is>
          <t>6 invoices</t>
        </is>
      </c>
      <c r="F254" s="6">
        <f>IF(B254="","",IFERROR(INDEX(Products!$E:$E,MATCH(B254,Products!$A:$A,0)),0))</f>
        <v/>
      </c>
      <c r="G254" s="6">
        <f>IF(B254="","",N(C254)*N(F254))</f>
        <v/>
      </c>
      <c r="H254">
        <f>IF(B254="","",IFERROR(INDEX(Products!$B:$B,MATCH(B254,Products!$A:$A,0)),"SKU not found"))</f>
        <v/>
      </c>
    </row>
    <row r="255">
      <c r="A255" s="7" t="n">
        <v>40862</v>
      </c>
      <c r="B255" s="4" t="inlineStr">
        <is>
          <t>47566</t>
        </is>
      </c>
      <c r="C255" s="4" t="n">
        <v>58</v>
      </c>
      <c r="D255" s="4" t="inlineStr">
        <is>
          <t>UK</t>
        </is>
      </c>
      <c r="E255" s="4" t="inlineStr">
        <is>
          <t>4 invoices</t>
        </is>
      </c>
      <c r="F255" s="6">
        <f>IF(B255="","",IFERROR(INDEX(Products!$E:$E,MATCH(B255,Products!$A:$A,0)),0))</f>
        <v/>
      </c>
      <c r="G255" s="6">
        <f>IF(B255="","",N(C255)*N(F255))</f>
        <v/>
      </c>
      <c r="H255">
        <f>IF(B255="","",IFERROR(INDEX(Products!$B:$B,MATCH(B255,Products!$A:$A,0)),"SKU not found"))</f>
        <v/>
      </c>
    </row>
    <row r="256">
      <c r="A256" s="7" t="n">
        <v>40862</v>
      </c>
      <c r="B256" s="4" t="inlineStr">
        <is>
          <t>84879</t>
        </is>
      </c>
      <c r="C256" s="4" t="n">
        <v>107</v>
      </c>
      <c r="D256" s="4" t="inlineStr">
        <is>
          <t>UK</t>
        </is>
      </c>
      <c r="E256" s="4" t="inlineStr">
        <is>
          <t>8 invoices</t>
        </is>
      </c>
      <c r="F256" s="6">
        <f>IF(B256="","",IFERROR(INDEX(Products!$E:$E,MATCH(B256,Products!$A:$A,0)),0))</f>
        <v/>
      </c>
      <c r="G256" s="6">
        <f>IF(B256="","",N(C256)*N(F256))</f>
        <v/>
      </c>
      <c r="H256">
        <f>IF(B256="","",IFERROR(INDEX(Products!$B:$B,MATCH(B256,Products!$A:$A,0)),"SKU not found"))</f>
        <v/>
      </c>
    </row>
    <row r="257">
      <c r="A257" s="7" t="n">
        <v>40862</v>
      </c>
      <c r="B257" s="4" t="inlineStr">
        <is>
          <t>85099B</t>
        </is>
      </c>
      <c r="C257" s="4" t="n">
        <v>380</v>
      </c>
      <c r="D257" s="4" t="inlineStr">
        <is>
          <t>UK</t>
        </is>
      </c>
      <c r="E257" s="4" t="inlineStr">
        <is>
          <t>10 invoices</t>
        </is>
      </c>
      <c r="F257" s="6">
        <f>IF(B257="","",IFERROR(INDEX(Products!$E:$E,MATCH(B257,Products!$A:$A,0)),0))</f>
        <v/>
      </c>
      <c r="G257" s="6">
        <f>IF(B257="","",N(C257)*N(F257))</f>
        <v/>
      </c>
      <c r="H257">
        <f>IF(B257="","",IFERROR(INDEX(Products!$B:$B,MATCH(B257,Products!$A:$A,0)),"SKU not found"))</f>
        <v/>
      </c>
    </row>
    <row r="258">
      <c r="A258" s="7" t="n">
        <v>40862</v>
      </c>
      <c r="B258" s="4" t="inlineStr">
        <is>
          <t>85123A</t>
        </is>
      </c>
      <c r="C258" s="4" t="n">
        <v>108</v>
      </c>
      <c r="D258" s="4" t="inlineStr">
        <is>
          <t>Ireland</t>
        </is>
      </c>
      <c r="E258" s="4" t="inlineStr">
        <is>
          <t>2 invoices</t>
        </is>
      </c>
      <c r="F258" s="6">
        <f>IF(B258="","",IFERROR(INDEX(Products!$E:$E,MATCH(B258,Products!$A:$A,0)),0))</f>
        <v/>
      </c>
      <c r="G258" s="6">
        <f>IF(B258="","",N(C258)*N(F258))</f>
        <v/>
      </c>
      <c r="H258">
        <f>IF(B258="","",IFERROR(INDEX(Products!$B:$B,MATCH(B258,Products!$A:$A,0)),"SKU not found"))</f>
        <v/>
      </c>
    </row>
    <row r="259">
      <c r="A259" s="7" t="n">
        <v>40862</v>
      </c>
      <c r="B259" s="4" t="inlineStr">
        <is>
          <t>85123A</t>
        </is>
      </c>
      <c r="C259" s="4" t="n">
        <v>349</v>
      </c>
      <c r="D259" s="4" t="inlineStr">
        <is>
          <t>UK</t>
        </is>
      </c>
      <c r="E259" s="4" t="inlineStr">
        <is>
          <t>9 invoices</t>
        </is>
      </c>
      <c r="F259" s="6">
        <f>IF(B259="","",IFERROR(INDEX(Products!$E:$E,MATCH(B259,Products!$A:$A,0)),0))</f>
        <v/>
      </c>
      <c r="G259" s="6">
        <f>IF(B259="","",N(C259)*N(F259))</f>
        <v/>
      </c>
      <c r="H259">
        <f>IF(B259="","",IFERROR(INDEX(Products!$B:$B,MATCH(B259,Products!$A:$A,0)),"SKU not found"))</f>
        <v/>
      </c>
    </row>
    <row r="260">
      <c r="A260" s="7" t="n">
        <v>40863</v>
      </c>
      <c r="B260" s="4" t="inlineStr">
        <is>
          <t>20725</t>
        </is>
      </c>
      <c r="C260" s="4" t="n">
        <v>10</v>
      </c>
      <c r="D260" s="4" t="inlineStr">
        <is>
          <t>Other EU/Intl</t>
        </is>
      </c>
      <c r="E260" s="4" t="inlineStr">
        <is>
          <t>1 invoices</t>
        </is>
      </c>
      <c r="F260" s="6">
        <f>IF(B260="","",IFERROR(INDEX(Products!$E:$E,MATCH(B260,Products!$A:$A,0)),0))</f>
        <v/>
      </c>
      <c r="G260" s="6">
        <f>IF(B260="","",N(C260)*N(F260))</f>
        <v/>
      </c>
      <c r="H260">
        <f>IF(B260="","",IFERROR(INDEX(Products!$B:$B,MATCH(B260,Products!$A:$A,0)),"SKU not found"))</f>
        <v/>
      </c>
    </row>
    <row r="261">
      <c r="A261" s="7" t="n">
        <v>40863</v>
      </c>
      <c r="B261" s="4" t="inlineStr">
        <is>
          <t>20725</t>
        </is>
      </c>
      <c r="C261" s="4" t="n">
        <v>20</v>
      </c>
      <c r="D261" s="4" t="inlineStr">
        <is>
          <t>France</t>
        </is>
      </c>
      <c r="E261" s="4" t="inlineStr">
        <is>
          <t>1 invoices</t>
        </is>
      </c>
      <c r="F261" s="6">
        <f>IF(B261="","",IFERROR(INDEX(Products!$E:$E,MATCH(B261,Products!$A:$A,0)),0))</f>
        <v/>
      </c>
      <c r="G261" s="6">
        <f>IF(B261="","",N(C261)*N(F261))</f>
        <v/>
      </c>
      <c r="H261">
        <f>IF(B261="","",IFERROR(INDEX(Products!$B:$B,MATCH(B261,Products!$A:$A,0)),"SKU not found"))</f>
        <v/>
      </c>
    </row>
    <row r="262">
      <c r="A262" s="7" t="n">
        <v>40863</v>
      </c>
      <c r="B262" s="4" t="inlineStr">
        <is>
          <t>20725</t>
        </is>
      </c>
      <c r="C262" s="4" t="n">
        <v>36</v>
      </c>
      <c r="D262" s="4" t="inlineStr">
        <is>
          <t>UK</t>
        </is>
      </c>
      <c r="E262" s="4" t="inlineStr">
        <is>
          <t>5 invoices</t>
        </is>
      </c>
      <c r="F262" s="6">
        <f>IF(B262="","",IFERROR(INDEX(Products!$E:$E,MATCH(B262,Products!$A:$A,0)),0))</f>
        <v/>
      </c>
      <c r="G262" s="6">
        <f>IF(B262="","",N(C262)*N(F262))</f>
        <v/>
      </c>
      <c r="H262">
        <f>IF(B262="","",IFERROR(INDEX(Products!$B:$B,MATCH(B262,Products!$A:$A,0)),"SKU not found"))</f>
        <v/>
      </c>
    </row>
    <row r="263">
      <c r="A263" s="7" t="n">
        <v>40863</v>
      </c>
      <c r="B263" s="4" t="inlineStr">
        <is>
          <t>20727</t>
        </is>
      </c>
      <c r="C263" s="4" t="n">
        <v>35</v>
      </c>
      <c r="D263" s="4" t="inlineStr">
        <is>
          <t>UK</t>
        </is>
      </c>
      <c r="E263" s="4" t="inlineStr">
        <is>
          <t>6 invoices</t>
        </is>
      </c>
      <c r="F263" s="6">
        <f>IF(B263="","",IFERROR(INDEX(Products!$E:$E,MATCH(B263,Products!$A:$A,0)),0))</f>
        <v/>
      </c>
      <c r="G263" s="6">
        <f>IF(B263="","",N(C263)*N(F263))</f>
        <v/>
      </c>
      <c r="H263">
        <f>IF(B263="","",IFERROR(INDEX(Products!$B:$B,MATCH(B263,Products!$A:$A,0)),"SKU not found"))</f>
        <v/>
      </c>
    </row>
    <row r="264">
      <c r="A264" s="7" t="n">
        <v>40863</v>
      </c>
      <c r="B264" s="4" t="inlineStr">
        <is>
          <t>21212</t>
        </is>
      </c>
      <c r="C264" s="4" t="n">
        <v>17</v>
      </c>
      <c r="D264" s="4" t="inlineStr">
        <is>
          <t>UK</t>
        </is>
      </c>
      <c r="E264" s="4" t="inlineStr">
        <is>
          <t>7 invoices</t>
        </is>
      </c>
      <c r="F264" s="6">
        <f>IF(B264="","",IFERROR(INDEX(Products!$E:$E,MATCH(B264,Products!$A:$A,0)),0))</f>
        <v/>
      </c>
      <c r="G264" s="6">
        <f>IF(B264="","",N(C264)*N(F264))</f>
        <v/>
      </c>
      <c r="H264">
        <f>IF(B264="","",IFERROR(INDEX(Products!$B:$B,MATCH(B264,Products!$A:$A,0)),"SKU not found"))</f>
        <v/>
      </c>
    </row>
    <row r="265">
      <c r="A265" s="7" t="n">
        <v>40863</v>
      </c>
      <c r="B265" s="4" t="inlineStr">
        <is>
          <t>21212</t>
        </is>
      </c>
      <c r="C265" s="4" t="n">
        <v>24</v>
      </c>
      <c r="D265" s="4" t="inlineStr">
        <is>
          <t>France</t>
        </is>
      </c>
      <c r="E265" s="4" t="inlineStr">
        <is>
          <t>1 invoices</t>
        </is>
      </c>
      <c r="F265" s="6">
        <f>IF(B265="","",IFERROR(INDEX(Products!$E:$E,MATCH(B265,Products!$A:$A,0)),0))</f>
        <v/>
      </c>
      <c r="G265" s="6">
        <f>IF(B265="","",N(C265)*N(F265))</f>
        <v/>
      </c>
      <c r="H265">
        <f>IF(B265="","",IFERROR(INDEX(Products!$B:$B,MATCH(B265,Products!$A:$A,0)),"SKU not found"))</f>
        <v/>
      </c>
    </row>
    <row r="266">
      <c r="A266" s="7" t="n">
        <v>40863</v>
      </c>
      <c r="B266" s="4" t="inlineStr">
        <is>
          <t>21212</t>
        </is>
      </c>
      <c r="C266" s="4" t="n">
        <v>48</v>
      </c>
      <c r="D266" s="4" t="inlineStr">
        <is>
          <t>Germany</t>
        </is>
      </c>
      <c r="E266" s="4" t="inlineStr">
        <is>
          <t>2 invoices</t>
        </is>
      </c>
      <c r="F266" s="6">
        <f>IF(B266="","",IFERROR(INDEX(Products!$E:$E,MATCH(B266,Products!$A:$A,0)),0))</f>
        <v/>
      </c>
      <c r="G266" s="6">
        <f>IF(B266="","",N(C266)*N(F266))</f>
        <v/>
      </c>
      <c r="H266">
        <f>IF(B266="","",IFERROR(INDEX(Products!$B:$B,MATCH(B266,Products!$A:$A,0)),"SKU not found"))</f>
        <v/>
      </c>
    </row>
    <row r="267">
      <c r="A267" s="7" t="n">
        <v>40863</v>
      </c>
      <c r="B267" s="4" t="inlineStr">
        <is>
          <t>21931</t>
        </is>
      </c>
      <c r="C267" s="4" t="n">
        <v>10</v>
      </c>
      <c r="D267" s="4" t="inlineStr">
        <is>
          <t>Germany</t>
        </is>
      </c>
      <c r="E267" s="4" t="inlineStr">
        <is>
          <t>1 invoices</t>
        </is>
      </c>
      <c r="F267" s="6">
        <f>IF(B267="","",IFERROR(INDEX(Products!$E:$E,MATCH(B267,Products!$A:$A,0)),0))</f>
        <v/>
      </c>
      <c r="G267" s="6">
        <f>IF(B267="","",N(C267)*N(F267))</f>
        <v/>
      </c>
      <c r="H267">
        <f>IF(B267="","",IFERROR(INDEX(Products!$B:$B,MATCH(B267,Products!$A:$A,0)),"SKU not found"))</f>
        <v/>
      </c>
    </row>
    <row r="268">
      <c r="A268" s="7" t="n">
        <v>40863</v>
      </c>
      <c r="B268" s="4" t="inlineStr">
        <is>
          <t>21931</t>
        </is>
      </c>
      <c r="C268" s="4" t="n">
        <v>25</v>
      </c>
      <c r="D268" s="4" t="inlineStr">
        <is>
          <t>UK</t>
        </is>
      </c>
      <c r="E268" s="4" t="inlineStr">
        <is>
          <t>5 invoices</t>
        </is>
      </c>
      <c r="F268" s="6">
        <f>IF(B268="","",IFERROR(INDEX(Products!$E:$E,MATCH(B268,Products!$A:$A,0)),0))</f>
        <v/>
      </c>
      <c r="G268" s="6">
        <f>IF(B268="","",N(C268)*N(F268))</f>
        <v/>
      </c>
      <c r="H268">
        <f>IF(B268="","",IFERROR(INDEX(Products!$B:$B,MATCH(B268,Products!$A:$A,0)),"SKU not found"))</f>
        <v/>
      </c>
    </row>
    <row r="269">
      <c r="A269" s="7" t="n">
        <v>40863</v>
      </c>
      <c r="B269" s="4" t="inlineStr">
        <is>
          <t>22197</t>
        </is>
      </c>
      <c r="C269" s="4" t="n">
        <v>352</v>
      </c>
      <c r="D269" s="4" t="inlineStr">
        <is>
          <t>UK</t>
        </is>
      </c>
      <c r="E269" s="4" t="inlineStr">
        <is>
          <t>8 invoices</t>
        </is>
      </c>
      <c r="F269" s="6">
        <f>IF(B269="","",IFERROR(INDEX(Products!$E:$E,MATCH(B269,Products!$A:$A,0)),0))</f>
        <v/>
      </c>
      <c r="G269" s="6">
        <f>IF(B269="","",N(C269)*N(F269))</f>
        <v/>
      </c>
      <c r="H269">
        <f>IF(B269="","",IFERROR(INDEX(Products!$B:$B,MATCH(B269,Products!$A:$A,0)),"SKU not found"))</f>
        <v/>
      </c>
    </row>
    <row r="270">
      <c r="A270" s="7" t="n">
        <v>40863</v>
      </c>
      <c r="B270" s="4" t="inlineStr">
        <is>
          <t>22383</t>
        </is>
      </c>
      <c r="C270" s="4" t="n">
        <v>35</v>
      </c>
      <c r="D270" s="4" t="inlineStr">
        <is>
          <t>UK</t>
        </is>
      </c>
      <c r="E270" s="4" t="inlineStr">
        <is>
          <t>5 invoices</t>
        </is>
      </c>
      <c r="F270" s="6">
        <f>IF(B270="","",IFERROR(INDEX(Products!$E:$E,MATCH(B270,Products!$A:$A,0)),0))</f>
        <v/>
      </c>
      <c r="G270" s="6">
        <f>IF(B270="","",N(C270)*N(F270))</f>
        <v/>
      </c>
      <c r="H270">
        <f>IF(B270="","",IFERROR(INDEX(Products!$B:$B,MATCH(B270,Products!$A:$A,0)),"SKU not found"))</f>
        <v/>
      </c>
    </row>
    <row r="271">
      <c r="A271" s="7" t="n">
        <v>40863</v>
      </c>
      <c r="B271" s="4" t="inlineStr">
        <is>
          <t>22386</t>
        </is>
      </c>
      <c r="C271" s="4" t="n">
        <v>36</v>
      </c>
      <c r="D271" s="4" t="inlineStr">
        <is>
          <t>UK</t>
        </is>
      </c>
      <c r="E271" s="4" t="inlineStr">
        <is>
          <t>8 invoices</t>
        </is>
      </c>
      <c r="F271" s="6">
        <f>IF(B271="","",IFERROR(INDEX(Products!$E:$E,MATCH(B271,Products!$A:$A,0)),0))</f>
        <v/>
      </c>
      <c r="G271" s="6">
        <f>IF(B271="","",N(C271)*N(F271))</f>
        <v/>
      </c>
      <c r="H271">
        <f>IF(B271="","",IFERROR(INDEX(Products!$B:$B,MATCH(B271,Products!$A:$A,0)),"SKU not found"))</f>
        <v/>
      </c>
    </row>
    <row r="272">
      <c r="A272" s="7" t="n">
        <v>40863</v>
      </c>
      <c r="B272" s="4" t="inlineStr">
        <is>
          <t>22386</t>
        </is>
      </c>
      <c r="C272" s="4" t="n">
        <v>40</v>
      </c>
      <c r="D272" s="4" t="inlineStr">
        <is>
          <t>Germany</t>
        </is>
      </c>
      <c r="E272" s="4" t="inlineStr">
        <is>
          <t>1 invoices</t>
        </is>
      </c>
      <c r="F272" s="6">
        <f>IF(B272="","",IFERROR(INDEX(Products!$E:$E,MATCH(B272,Products!$A:$A,0)),0))</f>
        <v/>
      </c>
      <c r="G272" s="6">
        <f>IF(B272="","",N(C272)*N(F272))</f>
        <v/>
      </c>
      <c r="H272">
        <f>IF(B272="","",IFERROR(INDEX(Products!$B:$B,MATCH(B272,Products!$A:$A,0)),"SKU not found"))</f>
        <v/>
      </c>
    </row>
    <row r="273">
      <c r="A273" s="7" t="n">
        <v>40863</v>
      </c>
      <c r="B273" s="4" t="inlineStr">
        <is>
          <t>22423</t>
        </is>
      </c>
      <c r="C273" s="4" t="n">
        <v>1</v>
      </c>
      <c r="D273" s="4" t="inlineStr">
        <is>
          <t>Germany</t>
        </is>
      </c>
      <c r="E273" s="4" t="inlineStr">
        <is>
          <t>1 invoices</t>
        </is>
      </c>
      <c r="F273" s="6">
        <f>IF(B273="","",IFERROR(INDEX(Products!$E:$E,MATCH(B273,Products!$A:$A,0)),0))</f>
        <v/>
      </c>
      <c r="G273" s="6">
        <f>IF(B273="","",N(C273)*N(F273))</f>
        <v/>
      </c>
      <c r="H273">
        <f>IF(B273="","",IFERROR(INDEX(Products!$B:$B,MATCH(B273,Products!$A:$A,0)),"SKU not found"))</f>
        <v/>
      </c>
    </row>
    <row r="274">
      <c r="A274" s="7" t="n">
        <v>40863</v>
      </c>
      <c r="B274" s="4" t="inlineStr">
        <is>
          <t>22423</t>
        </is>
      </c>
      <c r="C274" s="4" t="n">
        <v>14</v>
      </c>
      <c r="D274" s="4" t="inlineStr">
        <is>
          <t>UK</t>
        </is>
      </c>
      <c r="E274" s="4" t="inlineStr">
        <is>
          <t>7 invoices</t>
        </is>
      </c>
      <c r="F274" s="6">
        <f>IF(B274="","",IFERROR(INDEX(Products!$E:$E,MATCH(B274,Products!$A:$A,0)),0))</f>
        <v/>
      </c>
      <c r="G274" s="6">
        <f>IF(B274="","",N(C274)*N(F274))</f>
        <v/>
      </c>
      <c r="H274">
        <f>IF(B274="","",IFERROR(INDEX(Products!$B:$B,MATCH(B274,Products!$A:$A,0)),"SKU not found"))</f>
        <v/>
      </c>
    </row>
    <row r="275">
      <c r="A275" s="7" t="n">
        <v>40863</v>
      </c>
      <c r="B275" s="4" t="inlineStr">
        <is>
          <t>22457</t>
        </is>
      </c>
      <c r="C275" s="4" t="n">
        <v>31</v>
      </c>
      <c r="D275" s="4" t="inlineStr">
        <is>
          <t>UK</t>
        </is>
      </c>
      <c r="E275" s="4" t="inlineStr">
        <is>
          <t>8 invoices</t>
        </is>
      </c>
      <c r="F275" s="6">
        <f>IF(B275="","",IFERROR(INDEX(Products!$E:$E,MATCH(B275,Products!$A:$A,0)),0))</f>
        <v/>
      </c>
      <c r="G275" s="6">
        <f>IF(B275="","",N(C275)*N(F275))</f>
        <v/>
      </c>
      <c r="H275">
        <f>IF(B275="","",IFERROR(INDEX(Products!$B:$B,MATCH(B275,Products!$A:$A,0)),"SKU not found"))</f>
        <v/>
      </c>
    </row>
    <row r="276">
      <c r="A276" s="7" t="n">
        <v>40863</v>
      </c>
      <c r="B276" s="4" t="inlineStr">
        <is>
          <t>22469</t>
        </is>
      </c>
      <c r="C276" s="4" t="n">
        <v>48</v>
      </c>
      <c r="D276" s="4" t="inlineStr">
        <is>
          <t>UK</t>
        </is>
      </c>
      <c r="E276" s="4" t="inlineStr">
        <is>
          <t>9 invoices</t>
        </is>
      </c>
      <c r="F276" s="6">
        <f>IF(B276="","",IFERROR(INDEX(Products!$E:$E,MATCH(B276,Products!$A:$A,0)),0))</f>
        <v/>
      </c>
      <c r="G276" s="6">
        <f>IF(B276="","",N(C276)*N(F276))</f>
        <v/>
      </c>
      <c r="H276">
        <f>IF(B276="","",IFERROR(INDEX(Products!$B:$B,MATCH(B276,Products!$A:$A,0)),"SKU not found"))</f>
        <v/>
      </c>
    </row>
    <row r="277">
      <c r="A277" s="7" t="n">
        <v>40863</v>
      </c>
      <c r="B277" s="4" t="inlineStr">
        <is>
          <t>22720</t>
        </is>
      </c>
      <c r="C277" s="4" t="n">
        <v>3</v>
      </c>
      <c r="D277" s="4" t="inlineStr">
        <is>
          <t>Germany</t>
        </is>
      </c>
      <c r="E277" s="4" t="inlineStr">
        <is>
          <t>1 invoices</t>
        </is>
      </c>
      <c r="F277" s="6">
        <f>IF(B277="","",IFERROR(INDEX(Products!$E:$E,MATCH(B277,Products!$A:$A,0)),0))</f>
        <v/>
      </c>
      <c r="G277" s="6">
        <f>IF(B277="","",N(C277)*N(F277))</f>
        <v/>
      </c>
      <c r="H277">
        <f>IF(B277="","",IFERROR(INDEX(Products!$B:$B,MATCH(B277,Products!$A:$A,0)),"SKU not found"))</f>
        <v/>
      </c>
    </row>
    <row r="278">
      <c r="A278" s="7" t="n">
        <v>40863</v>
      </c>
      <c r="B278" s="4" t="inlineStr">
        <is>
          <t>22720</t>
        </is>
      </c>
      <c r="C278" s="4" t="n">
        <v>26</v>
      </c>
      <c r="D278" s="4" t="inlineStr">
        <is>
          <t>UK</t>
        </is>
      </c>
      <c r="E278" s="4" t="inlineStr">
        <is>
          <t>7 invoices</t>
        </is>
      </c>
      <c r="F278" s="6">
        <f>IF(B278="","",IFERROR(INDEX(Products!$E:$E,MATCH(B278,Products!$A:$A,0)),0))</f>
        <v/>
      </c>
      <c r="G278" s="6">
        <f>IF(B278="","",N(C278)*N(F278))</f>
        <v/>
      </c>
      <c r="H278">
        <f>IF(B278="","",IFERROR(INDEX(Products!$B:$B,MATCH(B278,Products!$A:$A,0)),"SKU not found"))</f>
        <v/>
      </c>
    </row>
    <row r="279">
      <c r="A279" s="7" t="n">
        <v>40863</v>
      </c>
      <c r="B279" s="4" t="inlineStr">
        <is>
          <t>47566</t>
        </is>
      </c>
      <c r="C279" s="4" t="n">
        <v>12</v>
      </c>
      <c r="D279" s="4" t="inlineStr">
        <is>
          <t>UK</t>
        </is>
      </c>
      <c r="E279" s="4" t="inlineStr">
        <is>
          <t>4 invoices</t>
        </is>
      </c>
      <c r="F279" s="6">
        <f>IF(B279="","",IFERROR(INDEX(Products!$E:$E,MATCH(B279,Products!$A:$A,0)),0))</f>
        <v/>
      </c>
      <c r="G279" s="6">
        <f>IF(B279="","",N(C279)*N(F279))</f>
        <v/>
      </c>
      <c r="H279">
        <f>IF(B279="","",IFERROR(INDEX(Products!$B:$B,MATCH(B279,Products!$A:$A,0)),"SKU not found"))</f>
        <v/>
      </c>
    </row>
    <row r="280">
      <c r="A280" s="7" t="n">
        <v>40863</v>
      </c>
      <c r="B280" s="4" t="inlineStr">
        <is>
          <t>47566</t>
        </is>
      </c>
      <c r="C280" s="4" t="n">
        <v>96</v>
      </c>
      <c r="D280" s="4" t="inlineStr">
        <is>
          <t>Ireland</t>
        </is>
      </c>
      <c r="E280" s="4" t="inlineStr">
        <is>
          <t>1 invoices</t>
        </is>
      </c>
      <c r="F280" s="6">
        <f>IF(B280="","",IFERROR(INDEX(Products!$E:$E,MATCH(B280,Products!$A:$A,0)),0))</f>
        <v/>
      </c>
      <c r="G280" s="6">
        <f>IF(B280="","",N(C280)*N(F280))</f>
        <v/>
      </c>
      <c r="H280">
        <f>IF(B280="","",IFERROR(INDEX(Products!$B:$B,MATCH(B280,Products!$A:$A,0)),"SKU not found"))</f>
        <v/>
      </c>
    </row>
    <row r="281">
      <c r="A281" s="7" t="n">
        <v>40863</v>
      </c>
      <c r="B281" s="4" t="inlineStr">
        <is>
          <t>84879</t>
        </is>
      </c>
      <c r="C281" s="4" t="n">
        <v>137</v>
      </c>
      <c r="D281" s="4" t="inlineStr">
        <is>
          <t>UK</t>
        </is>
      </c>
      <c r="E281" s="4" t="inlineStr">
        <is>
          <t>10 invoices</t>
        </is>
      </c>
      <c r="F281" s="6">
        <f>IF(B281="","",IFERROR(INDEX(Products!$E:$E,MATCH(B281,Products!$A:$A,0)),0))</f>
        <v/>
      </c>
      <c r="G281" s="6">
        <f>IF(B281="","",N(C281)*N(F281))</f>
        <v/>
      </c>
      <c r="H281">
        <f>IF(B281="","",IFERROR(INDEX(Products!$B:$B,MATCH(B281,Products!$A:$A,0)),"SKU not found"))</f>
        <v/>
      </c>
    </row>
    <row r="282">
      <c r="A282" s="7" t="n">
        <v>40863</v>
      </c>
      <c r="B282" s="4" t="inlineStr">
        <is>
          <t>84879</t>
        </is>
      </c>
      <c r="C282" s="4" t="n">
        <v>160</v>
      </c>
      <c r="D282" s="4" t="inlineStr">
        <is>
          <t>France</t>
        </is>
      </c>
      <c r="E282" s="4" t="inlineStr">
        <is>
          <t>1 invoices</t>
        </is>
      </c>
      <c r="F282" s="6">
        <f>IF(B282="","",IFERROR(INDEX(Products!$E:$E,MATCH(B282,Products!$A:$A,0)),0))</f>
        <v/>
      </c>
      <c r="G282" s="6">
        <f>IF(B282="","",N(C282)*N(F282))</f>
        <v/>
      </c>
      <c r="H282">
        <f>IF(B282="","",IFERROR(INDEX(Products!$B:$B,MATCH(B282,Products!$A:$A,0)),"SKU not found"))</f>
        <v/>
      </c>
    </row>
    <row r="283">
      <c r="A283" s="7" t="n">
        <v>40863</v>
      </c>
      <c r="B283" s="4" t="inlineStr">
        <is>
          <t>85099B</t>
        </is>
      </c>
      <c r="C283" s="4" t="n">
        <v>20</v>
      </c>
      <c r="D283" s="4" t="inlineStr">
        <is>
          <t>Germany</t>
        </is>
      </c>
      <c r="E283" s="4" t="inlineStr">
        <is>
          <t>1 invoices</t>
        </is>
      </c>
      <c r="F283" s="6">
        <f>IF(B283="","",IFERROR(INDEX(Products!$E:$E,MATCH(B283,Products!$A:$A,0)),0))</f>
        <v/>
      </c>
      <c r="G283" s="6">
        <f>IF(B283="","",N(C283)*N(F283))</f>
        <v/>
      </c>
      <c r="H283">
        <f>IF(B283="","",IFERROR(INDEX(Products!$B:$B,MATCH(B283,Products!$A:$A,0)),"SKU not found"))</f>
        <v/>
      </c>
    </row>
    <row r="284">
      <c r="A284" s="7" t="n">
        <v>40863</v>
      </c>
      <c r="B284" s="4" t="inlineStr">
        <is>
          <t>85099B</t>
        </is>
      </c>
      <c r="C284" s="4" t="n">
        <v>296</v>
      </c>
      <c r="D284" s="4" t="inlineStr">
        <is>
          <t>UK</t>
        </is>
      </c>
      <c r="E284" s="4" t="inlineStr">
        <is>
          <t>15 invoices</t>
        </is>
      </c>
      <c r="F284" s="6">
        <f>IF(B284="","",IFERROR(INDEX(Products!$E:$E,MATCH(B284,Products!$A:$A,0)),0))</f>
        <v/>
      </c>
      <c r="G284" s="6">
        <f>IF(B284="","",N(C284)*N(F284))</f>
        <v/>
      </c>
      <c r="H284">
        <f>IF(B284="","",IFERROR(INDEX(Products!$B:$B,MATCH(B284,Products!$A:$A,0)),"SKU not found"))</f>
        <v/>
      </c>
    </row>
    <row r="285">
      <c r="A285" s="7" t="n">
        <v>40863</v>
      </c>
      <c r="B285" s="4" t="inlineStr">
        <is>
          <t>85123A</t>
        </is>
      </c>
      <c r="C285" s="4" t="n">
        <v>157</v>
      </c>
      <c r="D285" s="4" t="inlineStr">
        <is>
          <t>UK</t>
        </is>
      </c>
      <c r="E285" s="4" t="inlineStr">
        <is>
          <t>15 invoices</t>
        </is>
      </c>
      <c r="F285" s="6">
        <f>IF(B285="","",IFERROR(INDEX(Products!$E:$E,MATCH(B285,Products!$A:$A,0)),0))</f>
        <v/>
      </c>
      <c r="G285" s="6">
        <f>IF(B285="","",N(C285)*N(F285))</f>
        <v/>
      </c>
      <c r="H285">
        <f>IF(B285="","",IFERROR(INDEX(Products!$B:$B,MATCH(B285,Products!$A:$A,0)),"SKU not found"))</f>
        <v/>
      </c>
    </row>
    <row r="286">
      <c r="A286" s="7" t="n">
        <v>40864</v>
      </c>
      <c r="B286" s="4" t="inlineStr">
        <is>
          <t>20725</t>
        </is>
      </c>
      <c r="C286" s="4" t="n">
        <v>10</v>
      </c>
      <c r="D286" s="4" t="inlineStr">
        <is>
          <t>Other EU/Intl</t>
        </is>
      </c>
      <c r="E286" s="4" t="inlineStr">
        <is>
          <t>1 invoices</t>
        </is>
      </c>
      <c r="F286" s="6">
        <f>IF(B286="","",IFERROR(INDEX(Products!$E:$E,MATCH(B286,Products!$A:$A,0)),0))</f>
        <v/>
      </c>
      <c r="G286" s="6">
        <f>IF(B286="","",N(C286)*N(F286))</f>
        <v/>
      </c>
      <c r="H286">
        <f>IF(B286="","",IFERROR(INDEX(Products!$B:$B,MATCH(B286,Products!$A:$A,0)),"SKU not found"))</f>
        <v/>
      </c>
    </row>
    <row r="287">
      <c r="A287" s="7" t="n">
        <v>40864</v>
      </c>
      <c r="B287" s="4" t="inlineStr">
        <is>
          <t>20725</t>
        </is>
      </c>
      <c r="C287" s="4" t="n">
        <v>20</v>
      </c>
      <c r="D287" s="4" t="inlineStr">
        <is>
          <t>France</t>
        </is>
      </c>
      <c r="E287" s="4" t="inlineStr">
        <is>
          <t>2 invoices</t>
        </is>
      </c>
      <c r="F287" s="6">
        <f>IF(B287="","",IFERROR(INDEX(Products!$E:$E,MATCH(B287,Products!$A:$A,0)),0))</f>
        <v/>
      </c>
      <c r="G287" s="6">
        <f>IF(B287="","",N(C287)*N(F287))</f>
        <v/>
      </c>
      <c r="H287">
        <f>IF(B287="","",IFERROR(INDEX(Products!$B:$B,MATCH(B287,Products!$A:$A,0)),"SKU not found"))</f>
        <v/>
      </c>
    </row>
    <row r="288">
      <c r="A288" s="7" t="n">
        <v>40864</v>
      </c>
      <c r="B288" s="4" t="inlineStr">
        <is>
          <t>20725</t>
        </is>
      </c>
      <c r="C288" s="4" t="n">
        <v>41</v>
      </c>
      <c r="D288" s="4" t="inlineStr">
        <is>
          <t>UK</t>
        </is>
      </c>
      <c r="E288" s="4" t="inlineStr">
        <is>
          <t>8 invoices</t>
        </is>
      </c>
      <c r="F288" s="6">
        <f>IF(B288="","",IFERROR(INDEX(Products!$E:$E,MATCH(B288,Products!$A:$A,0)),0))</f>
        <v/>
      </c>
      <c r="G288" s="6">
        <f>IF(B288="","",N(C288)*N(F288))</f>
        <v/>
      </c>
      <c r="H288">
        <f>IF(B288="","",IFERROR(INDEX(Products!$B:$B,MATCH(B288,Products!$A:$A,0)),"SKU not found"))</f>
        <v/>
      </c>
    </row>
    <row r="289">
      <c r="A289" s="7" t="n">
        <v>40864</v>
      </c>
      <c r="B289" s="4" t="inlineStr">
        <is>
          <t>20727</t>
        </is>
      </c>
      <c r="C289" s="4" t="n">
        <v>10</v>
      </c>
      <c r="D289" s="4" t="inlineStr">
        <is>
          <t>France</t>
        </is>
      </c>
      <c r="E289" s="4" t="inlineStr">
        <is>
          <t>1 invoices</t>
        </is>
      </c>
      <c r="F289" s="6">
        <f>IF(B289="","",IFERROR(INDEX(Products!$E:$E,MATCH(B289,Products!$A:$A,0)),0))</f>
        <v/>
      </c>
      <c r="G289" s="6">
        <f>IF(B289="","",N(C289)*N(F289))</f>
        <v/>
      </c>
      <c r="H289">
        <f>IF(B289="","",IFERROR(INDEX(Products!$B:$B,MATCH(B289,Products!$A:$A,0)),"SKU not found"))</f>
        <v/>
      </c>
    </row>
    <row r="290">
      <c r="A290" s="7" t="n">
        <v>40864</v>
      </c>
      <c r="B290" s="4" t="inlineStr">
        <is>
          <t>20727</t>
        </is>
      </c>
      <c r="C290" s="4" t="n">
        <v>37</v>
      </c>
      <c r="D290" s="4" t="inlineStr">
        <is>
          <t>UK</t>
        </is>
      </c>
      <c r="E290" s="4" t="inlineStr">
        <is>
          <t>7 invoices</t>
        </is>
      </c>
      <c r="F290" s="6">
        <f>IF(B290="","",IFERROR(INDEX(Products!$E:$E,MATCH(B290,Products!$A:$A,0)),0))</f>
        <v/>
      </c>
      <c r="G290" s="6">
        <f>IF(B290="","",N(C290)*N(F290))</f>
        <v/>
      </c>
      <c r="H290">
        <f>IF(B290="","",IFERROR(INDEX(Products!$B:$B,MATCH(B290,Products!$A:$A,0)),"SKU not found"))</f>
        <v/>
      </c>
    </row>
    <row r="291">
      <c r="A291" s="7" t="n">
        <v>40864</v>
      </c>
      <c r="B291" s="4" t="inlineStr">
        <is>
          <t>21212</t>
        </is>
      </c>
      <c r="C291" s="4" t="n">
        <v>12</v>
      </c>
      <c r="D291" s="4" t="inlineStr">
        <is>
          <t>UK</t>
        </is>
      </c>
      <c r="E291" s="4" t="inlineStr">
        <is>
          <t>3 invoices</t>
        </is>
      </c>
      <c r="F291" s="6">
        <f>IF(B291="","",IFERROR(INDEX(Products!$E:$E,MATCH(B291,Products!$A:$A,0)),0))</f>
        <v/>
      </c>
      <c r="G291" s="6">
        <f>IF(B291="","",N(C291)*N(F291))</f>
        <v/>
      </c>
      <c r="H291">
        <f>IF(B291="","",IFERROR(INDEX(Products!$B:$B,MATCH(B291,Products!$A:$A,0)),"SKU not found"))</f>
        <v/>
      </c>
    </row>
    <row r="292">
      <c r="A292" s="7" t="n">
        <v>40864</v>
      </c>
      <c r="B292" s="4" t="inlineStr">
        <is>
          <t>21212</t>
        </is>
      </c>
      <c r="C292" s="4" t="n">
        <v>24</v>
      </c>
      <c r="D292" s="4" t="inlineStr">
        <is>
          <t>France</t>
        </is>
      </c>
      <c r="E292" s="4" t="inlineStr">
        <is>
          <t>1 invoices</t>
        </is>
      </c>
      <c r="F292" s="6">
        <f>IF(B292="","",IFERROR(INDEX(Products!$E:$E,MATCH(B292,Products!$A:$A,0)),0))</f>
        <v/>
      </c>
      <c r="G292" s="6">
        <f>IF(B292="","",N(C292)*N(F292))</f>
        <v/>
      </c>
      <c r="H292">
        <f>IF(B292="","",IFERROR(INDEX(Products!$B:$B,MATCH(B292,Products!$A:$A,0)),"SKU not found"))</f>
        <v/>
      </c>
    </row>
    <row r="293">
      <c r="A293" s="7" t="n">
        <v>40864</v>
      </c>
      <c r="B293" s="4" t="inlineStr">
        <is>
          <t>21212</t>
        </is>
      </c>
      <c r="C293" s="4" t="n">
        <v>48</v>
      </c>
      <c r="D293" s="4" t="inlineStr">
        <is>
          <t>Germany</t>
        </is>
      </c>
      <c r="E293" s="4" t="inlineStr">
        <is>
          <t>2 invoices</t>
        </is>
      </c>
      <c r="F293" s="6">
        <f>IF(B293="","",IFERROR(INDEX(Products!$E:$E,MATCH(B293,Products!$A:$A,0)),0))</f>
        <v/>
      </c>
      <c r="G293" s="6">
        <f>IF(B293="","",N(C293)*N(F293))</f>
        <v/>
      </c>
      <c r="H293">
        <f>IF(B293="","",IFERROR(INDEX(Products!$B:$B,MATCH(B293,Products!$A:$A,0)),"SKU not found"))</f>
        <v/>
      </c>
    </row>
    <row r="294">
      <c r="A294" s="7" t="n">
        <v>40864</v>
      </c>
      <c r="B294" s="4" t="inlineStr">
        <is>
          <t>21931</t>
        </is>
      </c>
      <c r="C294" s="4" t="n">
        <v>36</v>
      </c>
      <c r="D294" s="4" t="inlineStr">
        <is>
          <t>UK</t>
        </is>
      </c>
      <c r="E294" s="4" t="inlineStr">
        <is>
          <t>5 invoices</t>
        </is>
      </c>
      <c r="F294" s="6">
        <f>IF(B294="","",IFERROR(INDEX(Products!$E:$E,MATCH(B294,Products!$A:$A,0)),0))</f>
        <v/>
      </c>
      <c r="G294" s="6">
        <f>IF(B294="","",N(C294)*N(F294))</f>
        <v/>
      </c>
      <c r="H294">
        <f>IF(B294="","",IFERROR(INDEX(Products!$B:$B,MATCH(B294,Products!$A:$A,0)),"SKU not found"))</f>
        <v/>
      </c>
    </row>
    <row r="295">
      <c r="A295" s="7" t="n">
        <v>40864</v>
      </c>
      <c r="B295" s="4" t="inlineStr">
        <is>
          <t>22197</t>
        </is>
      </c>
      <c r="C295" s="4" t="n">
        <v>12</v>
      </c>
      <c r="D295" s="4" t="inlineStr">
        <is>
          <t>France</t>
        </is>
      </c>
      <c r="E295" s="4" t="inlineStr">
        <is>
          <t>1 invoices</t>
        </is>
      </c>
      <c r="F295" s="6">
        <f>IF(B295="","",IFERROR(INDEX(Products!$E:$E,MATCH(B295,Products!$A:$A,0)),0))</f>
        <v/>
      </c>
      <c r="G295" s="6">
        <f>IF(B295="","",N(C295)*N(F295))</f>
        <v/>
      </c>
      <c r="H295">
        <f>IF(B295="","",IFERROR(INDEX(Products!$B:$B,MATCH(B295,Products!$A:$A,0)),"SKU not found"))</f>
        <v/>
      </c>
    </row>
    <row r="296">
      <c r="A296" s="7" t="n">
        <v>40864</v>
      </c>
      <c r="B296" s="4" t="inlineStr">
        <is>
          <t>22197</t>
        </is>
      </c>
      <c r="C296" s="4" t="n">
        <v>123</v>
      </c>
      <c r="D296" s="4" t="inlineStr">
        <is>
          <t>UK</t>
        </is>
      </c>
      <c r="E296" s="4" t="inlineStr">
        <is>
          <t>7 invoices</t>
        </is>
      </c>
      <c r="F296" s="6">
        <f>IF(B296="","",IFERROR(INDEX(Products!$E:$E,MATCH(B296,Products!$A:$A,0)),0))</f>
        <v/>
      </c>
      <c r="G296" s="6">
        <f>IF(B296="","",N(C296)*N(F296))</f>
        <v/>
      </c>
      <c r="H296">
        <f>IF(B296="","",IFERROR(INDEX(Products!$B:$B,MATCH(B296,Products!$A:$A,0)),"SKU not found"))</f>
        <v/>
      </c>
    </row>
    <row r="297">
      <c r="A297" s="7" t="n">
        <v>40864</v>
      </c>
      <c r="B297" s="4" t="inlineStr">
        <is>
          <t>22383</t>
        </is>
      </c>
      <c r="C297" s="4" t="n">
        <v>27</v>
      </c>
      <c r="D297" s="4" t="inlineStr">
        <is>
          <t>UK</t>
        </is>
      </c>
      <c r="E297" s="4" t="inlineStr">
        <is>
          <t>8 invoices</t>
        </is>
      </c>
      <c r="F297" s="6">
        <f>IF(B297="","",IFERROR(INDEX(Products!$E:$E,MATCH(B297,Products!$A:$A,0)),0))</f>
        <v/>
      </c>
      <c r="G297" s="6">
        <f>IF(B297="","",N(C297)*N(F297))</f>
        <v/>
      </c>
      <c r="H297">
        <f>IF(B297="","",IFERROR(INDEX(Products!$B:$B,MATCH(B297,Products!$A:$A,0)),"SKU not found"))</f>
        <v/>
      </c>
    </row>
    <row r="298">
      <c r="A298" s="7" t="n">
        <v>40864</v>
      </c>
      <c r="B298" s="4" t="inlineStr">
        <is>
          <t>22386</t>
        </is>
      </c>
      <c r="C298" s="4" t="n">
        <v>32</v>
      </c>
      <c r="D298" s="4" t="inlineStr">
        <is>
          <t>UK</t>
        </is>
      </c>
      <c r="E298" s="4" t="inlineStr">
        <is>
          <t>4 invoices</t>
        </is>
      </c>
      <c r="F298" s="6">
        <f>IF(B298="","",IFERROR(INDEX(Products!$E:$E,MATCH(B298,Products!$A:$A,0)),0))</f>
        <v/>
      </c>
      <c r="G298" s="6">
        <f>IF(B298="","",N(C298)*N(F298))</f>
        <v/>
      </c>
      <c r="H298">
        <f>IF(B298="","",IFERROR(INDEX(Products!$B:$B,MATCH(B298,Products!$A:$A,0)),"SKU not found"))</f>
        <v/>
      </c>
    </row>
    <row r="299">
      <c r="A299" s="7" t="n">
        <v>40864</v>
      </c>
      <c r="B299" s="4" t="inlineStr">
        <is>
          <t>22423</t>
        </is>
      </c>
      <c r="C299" s="4" t="n">
        <v>3</v>
      </c>
      <c r="D299" s="4" t="inlineStr">
        <is>
          <t>France</t>
        </is>
      </c>
      <c r="E299" s="4" t="inlineStr">
        <is>
          <t>1 invoices</t>
        </is>
      </c>
      <c r="F299" s="6">
        <f>IF(B299="","",IFERROR(INDEX(Products!$E:$E,MATCH(B299,Products!$A:$A,0)),0))</f>
        <v/>
      </c>
      <c r="G299" s="6">
        <f>IF(B299="","",N(C299)*N(F299))</f>
        <v/>
      </c>
      <c r="H299">
        <f>IF(B299="","",IFERROR(INDEX(Products!$B:$B,MATCH(B299,Products!$A:$A,0)),"SKU not found"))</f>
        <v/>
      </c>
    </row>
    <row r="300">
      <c r="A300" s="7" t="n">
        <v>40864</v>
      </c>
      <c r="B300" s="4" t="inlineStr">
        <is>
          <t>22423</t>
        </is>
      </c>
      <c r="C300" s="4" t="n">
        <v>7</v>
      </c>
      <c r="D300" s="4" t="inlineStr">
        <is>
          <t>Ireland</t>
        </is>
      </c>
      <c r="E300" s="4" t="inlineStr">
        <is>
          <t>1 invoices</t>
        </is>
      </c>
      <c r="F300" s="6">
        <f>IF(B300="","",IFERROR(INDEX(Products!$E:$E,MATCH(B300,Products!$A:$A,0)),0))</f>
        <v/>
      </c>
      <c r="G300" s="6">
        <f>IF(B300="","",N(C300)*N(F300))</f>
        <v/>
      </c>
      <c r="H300">
        <f>IF(B300="","",IFERROR(INDEX(Products!$B:$B,MATCH(B300,Products!$A:$A,0)),"SKU not found"))</f>
        <v/>
      </c>
    </row>
    <row r="301">
      <c r="A301" s="7" t="n">
        <v>40864</v>
      </c>
      <c r="B301" s="4" t="inlineStr">
        <is>
          <t>22423</t>
        </is>
      </c>
      <c r="C301" s="4" t="n">
        <v>10</v>
      </c>
      <c r="D301" s="4" t="inlineStr">
        <is>
          <t>Other EU/Intl</t>
        </is>
      </c>
      <c r="E301" s="4" t="inlineStr">
        <is>
          <t>2 invoices</t>
        </is>
      </c>
      <c r="F301" s="6">
        <f>IF(B301="","",IFERROR(INDEX(Products!$E:$E,MATCH(B301,Products!$A:$A,0)),0))</f>
        <v/>
      </c>
      <c r="G301" s="6">
        <f>IF(B301="","",N(C301)*N(F301))</f>
        <v/>
      </c>
      <c r="H301">
        <f>IF(B301="","",IFERROR(INDEX(Products!$B:$B,MATCH(B301,Products!$A:$A,0)),"SKU not found"))</f>
        <v/>
      </c>
    </row>
    <row r="302">
      <c r="A302" s="7" t="n">
        <v>40864</v>
      </c>
      <c r="B302" s="4" t="inlineStr">
        <is>
          <t>22423</t>
        </is>
      </c>
      <c r="C302" s="4" t="n">
        <v>29</v>
      </c>
      <c r="D302" s="4" t="inlineStr">
        <is>
          <t>UK</t>
        </is>
      </c>
      <c r="E302" s="4" t="inlineStr">
        <is>
          <t>7 invoices</t>
        </is>
      </c>
      <c r="F302" s="6">
        <f>IF(B302="","",IFERROR(INDEX(Products!$E:$E,MATCH(B302,Products!$A:$A,0)),0))</f>
        <v/>
      </c>
      <c r="G302" s="6">
        <f>IF(B302="","",N(C302)*N(F302))</f>
        <v/>
      </c>
      <c r="H302">
        <f>IF(B302="","",IFERROR(INDEX(Products!$B:$B,MATCH(B302,Products!$A:$A,0)),"SKU not found"))</f>
        <v/>
      </c>
    </row>
    <row r="303">
      <c r="A303" s="7" t="n">
        <v>40864</v>
      </c>
      <c r="B303" s="4" t="inlineStr">
        <is>
          <t>22457</t>
        </is>
      </c>
      <c r="C303" s="4" t="n">
        <v>22</v>
      </c>
      <c r="D303" s="4" t="inlineStr">
        <is>
          <t>UK</t>
        </is>
      </c>
      <c r="E303" s="4" t="inlineStr">
        <is>
          <t>5 invoices</t>
        </is>
      </c>
      <c r="F303" s="6">
        <f>IF(B303="","",IFERROR(INDEX(Products!$E:$E,MATCH(B303,Products!$A:$A,0)),0))</f>
        <v/>
      </c>
      <c r="G303" s="6">
        <f>IF(B303="","",N(C303)*N(F303))</f>
        <v/>
      </c>
      <c r="H303">
        <f>IF(B303="","",IFERROR(INDEX(Products!$B:$B,MATCH(B303,Products!$A:$A,0)),"SKU not found"))</f>
        <v/>
      </c>
    </row>
    <row r="304">
      <c r="A304" s="7" t="n">
        <v>40864</v>
      </c>
      <c r="B304" s="4" t="inlineStr">
        <is>
          <t>22469</t>
        </is>
      </c>
      <c r="C304" s="4" t="n">
        <v>34</v>
      </c>
      <c r="D304" s="4" t="inlineStr">
        <is>
          <t>UK</t>
        </is>
      </c>
      <c r="E304" s="4" t="inlineStr">
        <is>
          <t>6 invoices</t>
        </is>
      </c>
      <c r="F304" s="6">
        <f>IF(B304="","",IFERROR(INDEX(Products!$E:$E,MATCH(B304,Products!$A:$A,0)),0))</f>
        <v/>
      </c>
      <c r="G304" s="6">
        <f>IF(B304="","",N(C304)*N(F304))</f>
        <v/>
      </c>
      <c r="H304">
        <f>IF(B304="","",IFERROR(INDEX(Products!$B:$B,MATCH(B304,Products!$A:$A,0)),"SKU not found"))</f>
        <v/>
      </c>
    </row>
    <row r="305">
      <c r="A305" s="7" t="n">
        <v>40864</v>
      </c>
      <c r="B305" s="4" t="inlineStr">
        <is>
          <t>22720</t>
        </is>
      </c>
      <c r="C305" s="4" t="n">
        <v>6</v>
      </c>
      <c r="D305" s="4" t="inlineStr">
        <is>
          <t>Ireland</t>
        </is>
      </c>
      <c r="E305" s="4" t="inlineStr">
        <is>
          <t>1 invoices</t>
        </is>
      </c>
      <c r="F305" s="6">
        <f>IF(B305="","",IFERROR(INDEX(Products!$E:$E,MATCH(B305,Products!$A:$A,0)),0))</f>
        <v/>
      </c>
      <c r="G305" s="6">
        <f>IF(B305="","",N(C305)*N(F305))</f>
        <v/>
      </c>
      <c r="H305">
        <f>IF(B305="","",IFERROR(INDEX(Products!$B:$B,MATCH(B305,Products!$A:$A,0)),"SKU not found"))</f>
        <v/>
      </c>
    </row>
    <row r="306">
      <c r="A306" s="7" t="n">
        <v>40864</v>
      </c>
      <c r="B306" s="4" t="inlineStr">
        <is>
          <t>22720</t>
        </is>
      </c>
      <c r="C306" s="4" t="n">
        <v>24</v>
      </c>
      <c r="D306" s="4" t="inlineStr">
        <is>
          <t>UK</t>
        </is>
      </c>
      <c r="E306" s="4" t="inlineStr">
        <is>
          <t>7 invoices</t>
        </is>
      </c>
      <c r="F306" s="6">
        <f>IF(B306="","",IFERROR(INDEX(Products!$E:$E,MATCH(B306,Products!$A:$A,0)),0))</f>
        <v/>
      </c>
      <c r="G306" s="6">
        <f>IF(B306="","",N(C306)*N(F306))</f>
        <v/>
      </c>
      <c r="H306">
        <f>IF(B306="","",IFERROR(INDEX(Products!$B:$B,MATCH(B306,Products!$A:$A,0)),"SKU not found"))</f>
        <v/>
      </c>
    </row>
    <row r="307">
      <c r="A307" s="7" t="n">
        <v>40864</v>
      </c>
      <c r="B307" s="4" t="inlineStr">
        <is>
          <t>47566</t>
        </is>
      </c>
      <c r="C307" s="4" t="n">
        <v>18</v>
      </c>
      <c r="D307" s="4" t="inlineStr">
        <is>
          <t>UK</t>
        </is>
      </c>
      <c r="E307" s="4" t="inlineStr">
        <is>
          <t>3 invoices</t>
        </is>
      </c>
      <c r="F307" s="6">
        <f>IF(B307="","",IFERROR(INDEX(Products!$E:$E,MATCH(B307,Products!$A:$A,0)),0))</f>
        <v/>
      </c>
      <c r="G307" s="6">
        <f>IF(B307="","",N(C307)*N(F307))</f>
        <v/>
      </c>
      <c r="H307">
        <f>IF(B307="","",IFERROR(INDEX(Products!$B:$B,MATCH(B307,Products!$A:$A,0)),"SKU not found"))</f>
        <v/>
      </c>
    </row>
    <row r="308">
      <c r="A308" s="7" t="n">
        <v>40864</v>
      </c>
      <c r="B308" s="4" t="inlineStr">
        <is>
          <t>84879</t>
        </is>
      </c>
      <c r="C308" s="4" t="n">
        <v>16</v>
      </c>
      <c r="D308" s="4" t="inlineStr">
        <is>
          <t>France</t>
        </is>
      </c>
      <c r="E308" s="4" t="inlineStr">
        <is>
          <t>1 invoices</t>
        </is>
      </c>
      <c r="F308" s="6">
        <f>IF(B308="","",IFERROR(INDEX(Products!$E:$E,MATCH(B308,Products!$A:$A,0)),0))</f>
        <v/>
      </c>
      <c r="G308" s="6">
        <f>IF(B308="","",N(C308)*N(F308))</f>
        <v/>
      </c>
      <c r="H308">
        <f>IF(B308="","",IFERROR(INDEX(Products!$B:$B,MATCH(B308,Products!$A:$A,0)),"SKU not found"))</f>
        <v/>
      </c>
    </row>
    <row r="309">
      <c r="A309" s="7" t="n">
        <v>40864</v>
      </c>
      <c r="B309" s="4" t="inlineStr">
        <is>
          <t>84879</t>
        </is>
      </c>
      <c r="C309" s="4" t="n">
        <v>78</v>
      </c>
      <c r="D309" s="4" t="inlineStr">
        <is>
          <t>UK</t>
        </is>
      </c>
      <c r="E309" s="4" t="inlineStr">
        <is>
          <t>7 invoices</t>
        </is>
      </c>
      <c r="F309" s="6">
        <f>IF(B309="","",IFERROR(INDEX(Products!$E:$E,MATCH(B309,Products!$A:$A,0)),0))</f>
        <v/>
      </c>
      <c r="G309" s="6">
        <f>IF(B309="","",N(C309)*N(F309))</f>
        <v/>
      </c>
      <c r="H309">
        <f>IF(B309="","",IFERROR(INDEX(Products!$B:$B,MATCH(B309,Products!$A:$A,0)),"SKU not found"))</f>
        <v/>
      </c>
    </row>
    <row r="310">
      <c r="A310" s="7" t="n">
        <v>40864</v>
      </c>
      <c r="B310" s="4" t="inlineStr">
        <is>
          <t>85099B</t>
        </is>
      </c>
      <c r="C310" s="4" t="n">
        <v>97</v>
      </c>
      <c r="D310" s="4" t="inlineStr">
        <is>
          <t>UK</t>
        </is>
      </c>
      <c r="E310" s="4" t="inlineStr">
        <is>
          <t>10 invoices</t>
        </is>
      </c>
      <c r="F310" s="6">
        <f>IF(B310="","",IFERROR(INDEX(Products!$E:$E,MATCH(B310,Products!$A:$A,0)),0))</f>
        <v/>
      </c>
      <c r="G310" s="6">
        <f>IF(B310="","",N(C310)*N(F310))</f>
        <v/>
      </c>
      <c r="H310">
        <f>IF(B310="","",IFERROR(INDEX(Products!$B:$B,MATCH(B310,Products!$A:$A,0)),"SKU not found"))</f>
        <v/>
      </c>
    </row>
    <row r="311">
      <c r="A311" s="7" t="n">
        <v>40864</v>
      </c>
      <c r="B311" s="4" t="inlineStr">
        <is>
          <t>85123A</t>
        </is>
      </c>
      <c r="C311" s="4" t="n">
        <v>12</v>
      </c>
      <c r="D311" s="4" t="inlineStr">
        <is>
          <t>Ireland</t>
        </is>
      </c>
      <c r="E311" s="4" t="inlineStr">
        <is>
          <t>1 invoices</t>
        </is>
      </c>
      <c r="F311" s="6">
        <f>IF(B311="","",IFERROR(INDEX(Products!$E:$E,MATCH(B311,Products!$A:$A,0)),0))</f>
        <v/>
      </c>
      <c r="G311" s="6">
        <f>IF(B311="","",N(C311)*N(F311))</f>
        <v/>
      </c>
      <c r="H311">
        <f>IF(B311="","",IFERROR(INDEX(Products!$B:$B,MATCH(B311,Products!$A:$A,0)),"SKU not found"))</f>
        <v/>
      </c>
    </row>
    <row r="312">
      <c r="A312" s="7" t="n">
        <v>40864</v>
      </c>
      <c r="B312" s="4" t="inlineStr">
        <is>
          <t>85123A</t>
        </is>
      </c>
      <c r="C312" s="4" t="n">
        <v>90</v>
      </c>
      <c r="D312" s="4" t="inlineStr">
        <is>
          <t>UK</t>
        </is>
      </c>
      <c r="E312" s="4" t="inlineStr">
        <is>
          <t>12 invoices</t>
        </is>
      </c>
      <c r="F312" s="6">
        <f>IF(B312="","",IFERROR(INDEX(Products!$E:$E,MATCH(B312,Products!$A:$A,0)),0))</f>
        <v/>
      </c>
      <c r="G312" s="6">
        <f>IF(B312="","",N(C312)*N(F312))</f>
        <v/>
      </c>
      <c r="H312">
        <f>IF(B312="","",IFERROR(INDEX(Products!$B:$B,MATCH(B312,Products!$A:$A,0)),"SKU not found"))</f>
        <v/>
      </c>
    </row>
    <row r="313">
      <c r="A313" s="7" t="n">
        <v>40865</v>
      </c>
      <c r="B313" s="4" t="inlineStr">
        <is>
          <t>20725</t>
        </is>
      </c>
      <c r="C313" s="4" t="n">
        <v>1</v>
      </c>
      <c r="D313" s="4" t="inlineStr">
        <is>
          <t>Other EU/Intl</t>
        </is>
      </c>
      <c r="E313" s="4" t="inlineStr">
        <is>
          <t>1 invoices</t>
        </is>
      </c>
      <c r="F313" s="6">
        <f>IF(B313="","",IFERROR(INDEX(Products!$E:$E,MATCH(B313,Products!$A:$A,0)),0))</f>
        <v/>
      </c>
      <c r="G313" s="6">
        <f>IF(B313="","",N(C313)*N(F313))</f>
        <v/>
      </c>
      <c r="H313">
        <f>IF(B313="","",IFERROR(INDEX(Products!$B:$B,MATCH(B313,Products!$A:$A,0)),"SKU not found"))</f>
        <v/>
      </c>
    </row>
    <row r="314">
      <c r="A314" s="7" t="n">
        <v>40865</v>
      </c>
      <c r="B314" s="4" t="inlineStr">
        <is>
          <t>20725</t>
        </is>
      </c>
      <c r="C314" s="4" t="n">
        <v>10</v>
      </c>
      <c r="D314" s="4" t="inlineStr">
        <is>
          <t>France</t>
        </is>
      </c>
      <c r="E314" s="4" t="inlineStr">
        <is>
          <t>1 invoices</t>
        </is>
      </c>
      <c r="F314" s="6">
        <f>IF(B314="","",IFERROR(INDEX(Products!$E:$E,MATCH(B314,Products!$A:$A,0)),0))</f>
        <v/>
      </c>
      <c r="G314" s="6">
        <f>IF(B314="","",N(C314)*N(F314))</f>
        <v/>
      </c>
      <c r="H314">
        <f>IF(B314="","",IFERROR(INDEX(Products!$B:$B,MATCH(B314,Products!$A:$A,0)),"SKU not found"))</f>
        <v/>
      </c>
    </row>
    <row r="315">
      <c r="A315" s="7" t="n">
        <v>40865</v>
      </c>
      <c r="B315" s="4" t="inlineStr">
        <is>
          <t>20725</t>
        </is>
      </c>
      <c r="C315" s="4" t="n">
        <v>66</v>
      </c>
      <c r="D315" s="4" t="inlineStr">
        <is>
          <t>UK</t>
        </is>
      </c>
      <c r="E315" s="4" t="inlineStr">
        <is>
          <t>5 invoices</t>
        </is>
      </c>
      <c r="F315" s="6">
        <f>IF(B315="","",IFERROR(INDEX(Products!$E:$E,MATCH(B315,Products!$A:$A,0)),0))</f>
        <v/>
      </c>
      <c r="G315" s="6">
        <f>IF(B315="","",N(C315)*N(F315))</f>
        <v/>
      </c>
      <c r="H315">
        <f>IF(B315="","",IFERROR(INDEX(Products!$B:$B,MATCH(B315,Products!$A:$A,0)),"SKU not found"))</f>
        <v/>
      </c>
    </row>
    <row r="316">
      <c r="A316" s="7" t="n">
        <v>40865</v>
      </c>
      <c r="B316" s="4" t="inlineStr">
        <is>
          <t>20727</t>
        </is>
      </c>
      <c r="C316" s="4" t="n">
        <v>75</v>
      </c>
      <c r="D316" s="4" t="inlineStr">
        <is>
          <t>UK</t>
        </is>
      </c>
      <c r="E316" s="4" t="inlineStr">
        <is>
          <t>8 invoices</t>
        </is>
      </c>
      <c r="F316" s="6">
        <f>IF(B316="","",IFERROR(INDEX(Products!$E:$E,MATCH(B316,Products!$A:$A,0)),0))</f>
        <v/>
      </c>
      <c r="G316" s="6">
        <f>IF(B316="","",N(C316)*N(F316))</f>
        <v/>
      </c>
      <c r="H316">
        <f>IF(B316="","",IFERROR(INDEX(Products!$B:$B,MATCH(B316,Products!$A:$A,0)),"SKU not found"))</f>
        <v/>
      </c>
    </row>
    <row r="317">
      <c r="A317" s="7" t="n">
        <v>40865</v>
      </c>
      <c r="B317" s="4" t="inlineStr">
        <is>
          <t>21212</t>
        </is>
      </c>
      <c r="C317" s="4" t="n">
        <v>24</v>
      </c>
      <c r="D317" s="4" t="inlineStr">
        <is>
          <t>France</t>
        </is>
      </c>
      <c r="E317" s="4" t="inlineStr">
        <is>
          <t>1 invoices</t>
        </is>
      </c>
      <c r="F317" s="6">
        <f>IF(B317="","",IFERROR(INDEX(Products!$E:$E,MATCH(B317,Products!$A:$A,0)),0))</f>
        <v/>
      </c>
      <c r="G317" s="6">
        <f>IF(B317="","",N(C317)*N(F317))</f>
        <v/>
      </c>
      <c r="H317">
        <f>IF(B317="","",IFERROR(INDEX(Products!$B:$B,MATCH(B317,Products!$A:$A,0)),"SKU not found"))</f>
        <v/>
      </c>
    </row>
    <row r="318">
      <c r="A318" s="7" t="n">
        <v>40865</v>
      </c>
      <c r="B318" s="4" t="inlineStr">
        <is>
          <t>21212</t>
        </is>
      </c>
      <c r="C318" s="4" t="n">
        <v>85</v>
      </c>
      <c r="D318" s="4" t="inlineStr">
        <is>
          <t>UK</t>
        </is>
      </c>
      <c r="E318" s="4" t="inlineStr">
        <is>
          <t>4 invoices</t>
        </is>
      </c>
      <c r="F318" s="6">
        <f>IF(B318="","",IFERROR(INDEX(Products!$E:$E,MATCH(B318,Products!$A:$A,0)),0))</f>
        <v/>
      </c>
      <c r="G318" s="6">
        <f>IF(B318="","",N(C318)*N(F318))</f>
        <v/>
      </c>
      <c r="H318">
        <f>IF(B318="","",IFERROR(INDEX(Products!$B:$B,MATCH(B318,Products!$A:$A,0)),"SKU not found"))</f>
        <v/>
      </c>
    </row>
    <row r="319">
      <c r="A319" s="7" t="n">
        <v>40865</v>
      </c>
      <c r="B319" s="4" t="inlineStr">
        <is>
          <t>21931</t>
        </is>
      </c>
      <c r="C319" s="4" t="n">
        <v>20</v>
      </c>
      <c r="D319" s="4" t="inlineStr">
        <is>
          <t>Other EU/Intl</t>
        </is>
      </c>
      <c r="E319" s="4" t="inlineStr">
        <is>
          <t>1 invoices</t>
        </is>
      </c>
      <c r="F319" s="6">
        <f>IF(B319="","",IFERROR(INDEX(Products!$E:$E,MATCH(B319,Products!$A:$A,0)),0))</f>
        <v/>
      </c>
      <c r="G319" s="6">
        <f>IF(B319="","",N(C319)*N(F319))</f>
        <v/>
      </c>
      <c r="H319">
        <f>IF(B319="","",IFERROR(INDEX(Products!$B:$B,MATCH(B319,Products!$A:$A,0)),"SKU not found"))</f>
        <v/>
      </c>
    </row>
    <row r="320">
      <c r="A320" s="7" t="n">
        <v>40865</v>
      </c>
      <c r="B320" s="4" t="inlineStr">
        <is>
          <t>21931</t>
        </is>
      </c>
      <c r="C320" s="4" t="n">
        <v>21</v>
      </c>
      <c r="D320" s="4" t="inlineStr">
        <is>
          <t>UK</t>
        </is>
      </c>
      <c r="E320" s="4" t="inlineStr">
        <is>
          <t>3 invoices</t>
        </is>
      </c>
      <c r="F320" s="6">
        <f>IF(B320="","",IFERROR(INDEX(Products!$E:$E,MATCH(B320,Products!$A:$A,0)),0))</f>
        <v/>
      </c>
      <c r="G320" s="6">
        <f>IF(B320="","",N(C320)*N(F320))</f>
        <v/>
      </c>
      <c r="H320">
        <f>IF(B320="","",IFERROR(INDEX(Products!$B:$B,MATCH(B320,Products!$A:$A,0)),"SKU not found"))</f>
        <v/>
      </c>
    </row>
    <row r="321">
      <c r="A321" s="7" t="n">
        <v>40865</v>
      </c>
      <c r="B321" s="4" t="inlineStr">
        <is>
          <t>22197</t>
        </is>
      </c>
      <c r="C321" s="4" t="n">
        <v>449</v>
      </c>
      <c r="D321" s="4" t="inlineStr">
        <is>
          <t>UK</t>
        </is>
      </c>
      <c r="E321" s="4" t="inlineStr">
        <is>
          <t>8 invoices</t>
        </is>
      </c>
      <c r="F321" s="6">
        <f>IF(B321="","",IFERROR(INDEX(Products!$E:$E,MATCH(B321,Products!$A:$A,0)),0))</f>
        <v/>
      </c>
      <c r="G321" s="6">
        <f>IF(B321="","",N(C321)*N(F321))</f>
        <v/>
      </c>
      <c r="H321">
        <f>IF(B321="","",IFERROR(INDEX(Products!$B:$B,MATCH(B321,Products!$A:$A,0)),"SKU not found"))</f>
        <v/>
      </c>
    </row>
    <row r="322">
      <c r="A322" s="7" t="n">
        <v>40865</v>
      </c>
      <c r="B322" s="4" t="inlineStr">
        <is>
          <t>22383</t>
        </is>
      </c>
      <c r="C322" s="4" t="n">
        <v>41</v>
      </c>
      <c r="D322" s="4" t="inlineStr">
        <is>
          <t>UK</t>
        </is>
      </c>
      <c r="E322" s="4" t="inlineStr">
        <is>
          <t>5 invoices</t>
        </is>
      </c>
      <c r="F322" s="6">
        <f>IF(B322="","",IFERROR(INDEX(Products!$E:$E,MATCH(B322,Products!$A:$A,0)),0))</f>
        <v/>
      </c>
      <c r="G322" s="6">
        <f>IF(B322="","",N(C322)*N(F322))</f>
        <v/>
      </c>
      <c r="H322">
        <f>IF(B322="","",IFERROR(INDEX(Products!$B:$B,MATCH(B322,Products!$A:$A,0)),"SKU not found"))</f>
        <v/>
      </c>
    </row>
    <row r="323">
      <c r="A323" s="7" t="n">
        <v>40865</v>
      </c>
      <c r="B323" s="4" t="inlineStr">
        <is>
          <t>22386</t>
        </is>
      </c>
      <c r="C323" s="4" t="n">
        <v>31</v>
      </c>
      <c r="D323" s="4" t="inlineStr">
        <is>
          <t>UK</t>
        </is>
      </c>
      <c r="E323" s="4" t="inlineStr">
        <is>
          <t>4 invoices</t>
        </is>
      </c>
      <c r="F323" s="6">
        <f>IF(B323="","",IFERROR(INDEX(Products!$E:$E,MATCH(B323,Products!$A:$A,0)),0))</f>
        <v/>
      </c>
      <c r="G323" s="6">
        <f>IF(B323="","",N(C323)*N(F323))</f>
        <v/>
      </c>
      <c r="H323">
        <f>IF(B323="","",IFERROR(INDEX(Products!$B:$B,MATCH(B323,Products!$A:$A,0)),"SKU not found"))</f>
        <v/>
      </c>
    </row>
    <row r="324">
      <c r="A324" s="7" t="n">
        <v>40865</v>
      </c>
      <c r="B324" s="4" t="inlineStr">
        <is>
          <t>22423</t>
        </is>
      </c>
      <c r="C324" s="4" t="n">
        <v>1</v>
      </c>
      <c r="D324" s="4" t="inlineStr">
        <is>
          <t>Other EU/Intl</t>
        </is>
      </c>
      <c r="E324" s="4" t="inlineStr">
        <is>
          <t>1 invoices</t>
        </is>
      </c>
      <c r="F324" s="6">
        <f>IF(B324="","",IFERROR(INDEX(Products!$E:$E,MATCH(B324,Products!$A:$A,0)),0))</f>
        <v/>
      </c>
      <c r="G324" s="6">
        <f>IF(B324="","",N(C324)*N(F324))</f>
        <v/>
      </c>
      <c r="H324">
        <f>IF(B324="","",IFERROR(INDEX(Products!$B:$B,MATCH(B324,Products!$A:$A,0)),"SKU not found"))</f>
        <v/>
      </c>
    </row>
    <row r="325">
      <c r="A325" s="7" t="n">
        <v>40865</v>
      </c>
      <c r="B325" s="4" t="inlineStr">
        <is>
          <t>22423</t>
        </is>
      </c>
      <c r="C325" s="4" t="n">
        <v>2</v>
      </c>
      <c r="D325" s="4" t="inlineStr">
        <is>
          <t>Ireland</t>
        </is>
      </c>
      <c r="E325" s="4" t="inlineStr">
        <is>
          <t>1 invoices</t>
        </is>
      </c>
      <c r="F325" s="6">
        <f>IF(B325="","",IFERROR(INDEX(Products!$E:$E,MATCH(B325,Products!$A:$A,0)),0))</f>
        <v/>
      </c>
      <c r="G325" s="6">
        <f>IF(B325="","",N(C325)*N(F325))</f>
        <v/>
      </c>
      <c r="H325">
        <f>IF(B325="","",IFERROR(INDEX(Products!$B:$B,MATCH(B325,Products!$A:$A,0)),"SKU not found"))</f>
        <v/>
      </c>
    </row>
    <row r="326">
      <c r="A326" s="7" t="n">
        <v>40865</v>
      </c>
      <c r="B326" s="4" t="inlineStr">
        <is>
          <t>22423</t>
        </is>
      </c>
      <c r="C326" s="4" t="n">
        <v>3</v>
      </c>
      <c r="D326" s="4" t="inlineStr">
        <is>
          <t>France</t>
        </is>
      </c>
      <c r="E326" s="4" t="inlineStr">
        <is>
          <t>1 invoices</t>
        </is>
      </c>
      <c r="F326" s="6">
        <f>IF(B326="","",IFERROR(INDEX(Products!$E:$E,MATCH(B326,Products!$A:$A,0)),0))</f>
        <v/>
      </c>
      <c r="G326" s="6">
        <f>IF(B326="","",N(C326)*N(F326))</f>
        <v/>
      </c>
      <c r="H326">
        <f>IF(B326="","",IFERROR(INDEX(Products!$B:$B,MATCH(B326,Products!$A:$A,0)),"SKU not found"))</f>
        <v/>
      </c>
    </row>
    <row r="327">
      <c r="A327" s="7" t="n">
        <v>40865</v>
      </c>
      <c r="B327" s="4" t="inlineStr">
        <is>
          <t>22423</t>
        </is>
      </c>
      <c r="C327" s="4" t="n">
        <v>48</v>
      </c>
      <c r="D327" s="4" t="inlineStr">
        <is>
          <t>UK</t>
        </is>
      </c>
      <c r="E327" s="4" t="inlineStr">
        <is>
          <t>5 invoices</t>
        </is>
      </c>
      <c r="F327" s="6">
        <f>IF(B327="","",IFERROR(INDEX(Products!$E:$E,MATCH(B327,Products!$A:$A,0)),0))</f>
        <v/>
      </c>
      <c r="G327" s="6">
        <f>IF(B327="","",N(C327)*N(F327))</f>
        <v/>
      </c>
      <c r="H327">
        <f>IF(B327="","",IFERROR(INDEX(Products!$B:$B,MATCH(B327,Products!$A:$A,0)),"SKU not found"))</f>
        <v/>
      </c>
    </row>
    <row r="328">
      <c r="A328" s="7" t="n">
        <v>40865</v>
      </c>
      <c r="B328" s="4" t="inlineStr">
        <is>
          <t>22423</t>
        </is>
      </c>
      <c r="C328" s="4" t="n">
        <v>56</v>
      </c>
      <c r="D328" s="4" t="inlineStr">
        <is>
          <t>Germany</t>
        </is>
      </c>
      <c r="E328" s="4" t="inlineStr">
        <is>
          <t>1 invoices</t>
        </is>
      </c>
      <c r="F328" s="6">
        <f>IF(B328="","",IFERROR(INDEX(Products!$E:$E,MATCH(B328,Products!$A:$A,0)),0))</f>
        <v/>
      </c>
      <c r="G328" s="6">
        <f>IF(B328="","",N(C328)*N(F328))</f>
        <v/>
      </c>
      <c r="H328">
        <f>IF(B328="","",IFERROR(INDEX(Products!$B:$B,MATCH(B328,Products!$A:$A,0)),"SKU not found"))</f>
        <v/>
      </c>
    </row>
    <row r="329">
      <c r="A329" s="7" t="n">
        <v>40865</v>
      </c>
      <c r="B329" s="4" t="inlineStr">
        <is>
          <t>22457</t>
        </is>
      </c>
      <c r="C329" s="4" t="n">
        <v>39</v>
      </c>
      <c r="D329" s="4" t="inlineStr">
        <is>
          <t>UK</t>
        </is>
      </c>
      <c r="E329" s="4" t="inlineStr">
        <is>
          <t>7 invoices</t>
        </is>
      </c>
      <c r="F329" s="6">
        <f>IF(B329="","",IFERROR(INDEX(Products!$E:$E,MATCH(B329,Products!$A:$A,0)),0))</f>
        <v/>
      </c>
      <c r="G329" s="6">
        <f>IF(B329="","",N(C329)*N(F329))</f>
        <v/>
      </c>
      <c r="H329">
        <f>IF(B329="","",IFERROR(INDEX(Products!$B:$B,MATCH(B329,Products!$A:$A,0)),"SKU not found"))</f>
        <v/>
      </c>
    </row>
    <row r="330">
      <c r="A330" s="7" t="n">
        <v>40865</v>
      </c>
      <c r="B330" s="4" t="inlineStr">
        <is>
          <t>22469</t>
        </is>
      </c>
      <c r="C330" s="4" t="n">
        <v>89</v>
      </c>
      <c r="D330" s="4" t="inlineStr">
        <is>
          <t>UK</t>
        </is>
      </c>
      <c r="E330" s="4" t="inlineStr">
        <is>
          <t>7 invoices</t>
        </is>
      </c>
      <c r="F330" s="6">
        <f>IF(B330="","",IFERROR(INDEX(Products!$E:$E,MATCH(B330,Products!$A:$A,0)),0))</f>
        <v/>
      </c>
      <c r="G330" s="6">
        <f>IF(B330="","",N(C330)*N(F330))</f>
        <v/>
      </c>
      <c r="H330">
        <f>IF(B330="","",IFERROR(INDEX(Products!$B:$B,MATCH(B330,Products!$A:$A,0)),"SKU not found"))</f>
        <v/>
      </c>
    </row>
    <row r="331">
      <c r="A331" s="7" t="n">
        <v>40865</v>
      </c>
      <c r="B331" s="4" t="inlineStr">
        <is>
          <t>22720</t>
        </is>
      </c>
      <c r="C331" s="4" t="n">
        <v>3</v>
      </c>
      <c r="D331" s="4" t="inlineStr">
        <is>
          <t>Other EU/Intl</t>
        </is>
      </c>
      <c r="E331" s="4" t="inlineStr">
        <is>
          <t>1 invoices</t>
        </is>
      </c>
      <c r="F331" s="6">
        <f>IF(B331="","",IFERROR(INDEX(Products!$E:$E,MATCH(B331,Products!$A:$A,0)),0))</f>
        <v/>
      </c>
      <c r="G331" s="6">
        <f>IF(B331="","",N(C331)*N(F331))</f>
        <v/>
      </c>
      <c r="H331">
        <f>IF(B331="","",IFERROR(INDEX(Products!$B:$B,MATCH(B331,Products!$A:$A,0)),"SKU not found"))</f>
        <v/>
      </c>
    </row>
    <row r="332">
      <c r="A332" s="7" t="n">
        <v>40865</v>
      </c>
      <c r="B332" s="4" t="inlineStr">
        <is>
          <t>22720</t>
        </is>
      </c>
      <c r="C332" s="4" t="n">
        <v>15</v>
      </c>
      <c r="D332" s="4" t="inlineStr">
        <is>
          <t>UK</t>
        </is>
      </c>
      <c r="E332" s="4" t="inlineStr">
        <is>
          <t>7 invoices</t>
        </is>
      </c>
      <c r="F332" s="6">
        <f>IF(B332="","",IFERROR(INDEX(Products!$E:$E,MATCH(B332,Products!$A:$A,0)),0))</f>
        <v/>
      </c>
      <c r="G332" s="6">
        <f>IF(B332="","",N(C332)*N(F332))</f>
        <v/>
      </c>
      <c r="H332">
        <f>IF(B332="","",IFERROR(INDEX(Products!$B:$B,MATCH(B332,Products!$A:$A,0)),"SKU not found"))</f>
        <v/>
      </c>
    </row>
    <row r="333">
      <c r="A333" s="7" t="n">
        <v>40865</v>
      </c>
      <c r="B333" s="4" t="inlineStr">
        <is>
          <t>47566</t>
        </is>
      </c>
      <c r="C333" s="4" t="n">
        <v>1</v>
      </c>
      <c r="D333" s="4" t="inlineStr">
        <is>
          <t>Other EU/Intl</t>
        </is>
      </c>
      <c r="E333" s="4" t="inlineStr">
        <is>
          <t>1 invoices</t>
        </is>
      </c>
      <c r="F333" s="6">
        <f>IF(B333="","",IFERROR(INDEX(Products!$E:$E,MATCH(B333,Products!$A:$A,0)),0))</f>
        <v/>
      </c>
      <c r="G333" s="6">
        <f>IF(B333="","",N(C333)*N(F333))</f>
        <v/>
      </c>
      <c r="H333">
        <f>IF(B333="","",IFERROR(INDEX(Products!$B:$B,MATCH(B333,Products!$A:$A,0)),"SKU not found"))</f>
        <v/>
      </c>
    </row>
    <row r="334">
      <c r="A334" s="7" t="n">
        <v>40865</v>
      </c>
      <c r="B334" s="4" t="inlineStr">
        <is>
          <t>47566</t>
        </is>
      </c>
      <c r="C334" s="4" t="n">
        <v>4</v>
      </c>
      <c r="D334" s="4" t="inlineStr">
        <is>
          <t>France</t>
        </is>
      </c>
      <c r="E334" s="4" t="inlineStr">
        <is>
          <t>1 invoices</t>
        </is>
      </c>
      <c r="F334" s="6">
        <f>IF(B334="","",IFERROR(INDEX(Products!$E:$E,MATCH(B334,Products!$A:$A,0)),0))</f>
        <v/>
      </c>
      <c r="G334" s="6">
        <f>IF(B334="","",N(C334)*N(F334))</f>
        <v/>
      </c>
      <c r="H334">
        <f>IF(B334="","",IFERROR(INDEX(Products!$B:$B,MATCH(B334,Products!$A:$A,0)),"SKU not found"))</f>
        <v/>
      </c>
    </row>
    <row r="335">
      <c r="A335" s="7" t="n">
        <v>40865</v>
      </c>
      <c r="B335" s="4" t="inlineStr">
        <is>
          <t>47566</t>
        </is>
      </c>
      <c r="C335" s="4" t="n">
        <v>16</v>
      </c>
      <c r="D335" s="4" t="inlineStr">
        <is>
          <t>UK</t>
        </is>
      </c>
      <c r="E335" s="4" t="inlineStr">
        <is>
          <t>2 invoices</t>
        </is>
      </c>
      <c r="F335" s="6">
        <f>IF(B335="","",IFERROR(INDEX(Products!$E:$E,MATCH(B335,Products!$A:$A,0)),0))</f>
        <v/>
      </c>
      <c r="G335" s="6">
        <f>IF(B335="","",N(C335)*N(F335))</f>
        <v/>
      </c>
      <c r="H335">
        <f>IF(B335="","",IFERROR(INDEX(Products!$B:$B,MATCH(B335,Products!$A:$A,0)),"SKU not found"))</f>
        <v/>
      </c>
    </row>
    <row r="336">
      <c r="A336" s="7" t="n">
        <v>40865</v>
      </c>
      <c r="B336" s="4" t="inlineStr">
        <is>
          <t>84879</t>
        </is>
      </c>
      <c r="C336" s="4" t="n">
        <v>368</v>
      </c>
      <c r="D336" s="4" t="inlineStr">
        <is>
          <t>UK</t>
        </is>
      </c>
      <c r="E336" s="4" t="inlineStr">
        <is>
          <t>9 invoices</t>
        </is>
      </c>
      <c r="F336" s="6">
        <f>IF(B336="","",IFERROR(INDEX(Products!$E:$E,MATCH(B336,Products!$A:$A,0)),0))</f>
        <v/>
      </c>
      <c r="G336" s="6">
        <f>IF(B336="","",N(C336)*N(F336))</f>
        <v/>
      </c>
      <c r="H336">
        <f>IF(B336="","",IFERROR(INDEX(Products!$B:$B,MATCH(B336,Products!$A:$A,0)),"SKU not found"))</f>
        <v/>
      </c>
    </row>
    <row r="337">
      <c r="A337" s="7" t="n">
        <v>40865</v>
      </c>
      <c r="B337" s="4" t="inlineStr">
        <is>
          <t>85099B</t>
        </is>
      </c>
      <c r="C337" s="4" t="n">
        <v>62</v>
      </c>
      <c r="D337" s="4" t="inlineStr">
        <is>
          <t>UK</t>
        </is>
      </c>
      <c r="E337" s="4" t="inlineStr">
        <is>
          <t>8 invoices</t>
        </is>
      </c>
      <c r="F337" s="6">
        <f>IF(B337="","",IFERROR(INDEX(Products!$E:$E,MATCH(B337,Products!$A:$A,0)),0))</f>
        <v/>
      </c>
      <c r="G337" s="6">
        <f>IF(B337="","",N(C337)*N(F337))</f>
        <v/>
      </c>
      <c r="H337">
        <f>IF(B337="","",IFERROR(INDEX(Products!$B:$B,MATCH(B337,Products!$A:$A,0)),"SKU not found"))</f>
        <v/>
      </c>
    </row>
    <row r="338">
      <c r="A338" s="7" t="n">
        <v>40865</v>
      </c>
      <c r="B338" s="4" t="inlineStr">
        <is>
          <t>85123A</t>
        </is>
      </c>
      <c r="C338" s="4" t="n">
        <v>10</v>
      </c>
      <c r="D338" s="4" t="inlineStr">
        <is>
          <t>Other EU/Intl</t>
        </is>
      </c>
      <c r="E338" s="4" t="inlineStr">
        <is>
          <t>1 invoices</t>
        </is>
      </c>
      <c r="F338" s="6">
        <f>IF(B338="","",IFERROR(INDEX(Products!$E:$E,MATCH(B338,Products!$A:$A,0)),0))</f>
        <v/>
      </c>
      <c r="G338" s="6">
        <f>IF(B338="","",N(C338)*N(F338))</f>
        <v/>
      </c>
      <c r="H338">
        <f>IF(B338="","",IFERROR(INDEX(Products!$B:$B,MATCH(B338,Products!$A:$A,0)),"SKU not found"))</f>
        <v/>
      </c>
    </row>
    <row r="339">
      <c r="A339" s="7" t="n">
        <v>40865</v>
      </c>
      <c r="B339" s="4" t="inlineStr">
        <is>
          <t>85123A</t>
        </is>
      </c>
      <c r="C339" s="4" t="n">
        <v>12</v>
      </c>
      <c r="D339" s="4" t="inlineStr">
        <is>
          <t>Ireland</t>
        </is>
      </c>
      <c r="E339" s="4" t="inlineStr">
        <is>
          <t>1 invoices</t>
        </is>
      </c>
      <c r="F339" s="6">
        <f>IF(B339="","",IFERROR(INDEX(Products!$E:$E,MATCH(B339,Products!$A:$A,0)),0))</f>
        <v/>
      </c>
      <c r="G339" s="6">
        <f>IF(B339="","",N(C339)*N(F339))</f>
        <v/>
      </c>
      <c r="H339">
        <f>IF(B339="","",IFERROR(INDEX(Products!$B:$B,MATCH(B339,Products!$A:$A,0)),"SKU not found"))</f>
        <v/>
      </c>
    </row>
    <row r="340">
      <c r="A340" s="7" t="n">
        <v>40865</v>
      </c>
      <c r="B340" s="4" t="inlineStr">
        <is>
          <t>85123A</t>
        </is>
      </c>
      <c r="C340" s="4" t="n">
        <v>103</v>
      </c>
      <c r="D340" s="4" t="inlineStr">
        <is>
          <t>UK</t>
        </is>
      </c>
      <c r="E340" s="4" t="inlineStr">
        <is>
          <t>4 invoices</t>
        </is>
      </c>
      <c r="F340" s="6">
        <f>IF(B340="","",IFERROR(INDEX(Products!$E:$E,MATCH(B340,Products!$A:$A,0)),0))</f>
        <v/>
      </c>
      <c r="G340" s="6">
        <f>IF(B340="","",N(C340)*N(F340))</f>
        <v/>
      </c>
      <c r="H340">
        <f>IF(B340="","",IFERROR(INDEX(Products!$B:$B,MATCH(B340,Products!$A:$A,0)),"SKU not found"))</f>
        <v/>
      </c>
    </row>
    <row r="341">
      <c r="A341" s="7" t="n">
        <v>40867</v>
      </c>
      <c r="B341" s="4" t="inlineStr">
        <is>
          <t>20725</t>
        </is>
      </c>
      <c r="C341" s="4" t="n">
        <v>10</v>
      </c>
      <c r="D341" s="4" t="inlineStr">
        <is>
          <t>Ireland</t>
        </is>
      </c>
      <c r="E341" s="4" t="inlineStr">
        <is>
          <t>1 invoices</t>
        </is>
      </c>
      <c r="F341" s="6">
        <f>IF(B341="","",IFERROR(INDEX(Products!$E:$E,MATCH(B341,Products!$A:$A,0)),0))</f>
        <v/>
      </c>
      <c r="G341" s="6">
        <f>IF(B341="","",N(C341)*N(F341))</f>
        <v/>
      </c>
      <c r="H341">
        <f>IF(B341="","",IFERROR(INDEX(Products!$B:$B,MATCH(B341,Products!$A:$A,0)),"SKU not found"))</f>
        <v/>
      </c>
    </row>
    <row r="342">
      <c r="A342" s="7" t="n">
        <v>40867</v>
      </c>
      <c r="B342" s="4" t="inlineStr">
        <is>
          <t>20725</t>
        </is>
      </c>
      <c r="C342" s="4" t="n">
        <v>39</v>
      </c>
      <c r="D342" s="4" t="inlineStr">
        <is>
          <t>UK</t>
        </is>
      </c>
      <c r="E342" s="4" t="inlineStr">
        <is>
          <t>5 invoices</t>
        </is>
      </c>
      <c r="F342" s="6">
        <f>IF(B342="","",IFERROR(INDEX(Products!$E:$E,MATCH(B342,Products!$A:$A,0)),0))</f>
        <v/>
      </c>
      <c r="G342" s="6">
        <f>IF(B342="","",N(C342)*N(F342))</f>
        <v/>
      </c>
      <c r="H342">
        <f>IF(B342="","",IFERROR(INDEX(Products!$B:$B,MATCH(B342,Products!$A:$A,0)),"SKU not found"))</f>
        <v/>
      </c>
    </row>
    <row r="343">
      <c r="A343" s="7" t="n">
        <v>40867</v>
      </c>
      <c r="B343" s="4" t="inlineStr">
        <is>
          <t>20727</t>
        </is>
      </c>
      <c r="C343" s="4" t="n">
        <v>10</v>
      </c>
      <c r="D343" s="4" t="inlineStr">
        <is>
          <t>Ireland</t>
        </is>
      </c>
      <c r="E343" s="4" t="inlineStr">
        <is>
          <t>1 invoices</t>
        </is>
      </c>
      <c r="F343" s="6">
        <f>IF(B343="","",IFERROR(INDEX(Products!$E:$E,MATCH(B343,Products!$A:$A,0)),0))</f>
        <v/>
      </c>
      <c r="G343" s="6">
        <f>IF(B343="","",N(C343)*N(F343))</f>
        <v/>
      </c>
      <c r="H343">
        <f>IF(B343="","",IFERROR(INDEX(Products!$B:$B,MATCH(B343,Products!$A:$A,0)),"SKU not found"))</f>
        <v/>
      </c>
    </row>
    <row r="344">
      <c r="A344" s="7" t="n">
        <v>40867</v>
      </c>
      <c r="B344" s="4" t="inlineStr">
        <is>
          <t>20727</t>
        </is>
      </c>
      <c r="C344" s="4" t="n">
        <v>30</v>
      </c>
      <c r="D344" s="4" t="inlineStr">
        <is>
          <t>UK</t>
        </is>
      </c>
      <c r="E344" s="4" t="inlineStr">
        <is>
          <t>6 invoices</t>
        </is>
      </c>
      <c r="F344" s="6">
        <f>IF(B344="","",IFERROR(INDEX(Products!$E:$E,MATCH(B344,Products!$A:$A,0)),0))</f>
        <v/>
      </c>
      <c r="G344" s="6">
        <f>IF(B344="","",N(C344)*N(F344))</f>
        <v/>
      </c>
      <c r="H344">
        <f>IF(B344="","",IFERROR(INDEX(Products!$B:$B,MATCH(B344,Products!$A:$A,0)),"SKU not found"))</f>
        <v/>
      </c>
    </row>
    <row r="345">
      <c r="A345" s="7" t="n">
        <v>40867</v>
      </c>
      <c r="B345" s="4" t="inlineStr">
        <is>
          <t>21212</t>
        </is>
      </c>
      <c r="C345" s="4" t="n">
        <v>24</v>
      </c>
      <c r="D345" s="4" t="inlineStr">
        <is>
          <t>Other EU/Intl</t>
        </is>
      </c>
      <c r="E345" s="4" t="inlineStr">
        <is>
          <t>1 invoices</t>
        </is>
      </c>
      <c r="F345" s="6">
        <f>IF(B345="","",IFERROR(INDEX(Products!$E:$E,MATCH(B345,Products!$A:$A,0)),0))</f>
        <v/>
      </c>
      <c r="G345" s="6">
        <f>IF(B345="","",N(C345)*N(F345))</f>
        <v/>
      </c>
      <c r="H345">
        <f>IF(B345="","",IFERROR(INDEX(Products!$B:$B,MATCH(B345,Products!$A:$A,0)),"SKU not found"))</f>
        <v/>
      </c>
    </row>
    <row r="346">
      <c r="A346" s="7" t="n">
        <v>40867</v>
      </c>
      <c r="B346" s="4" t="inlineStr">
        <is>
          <t>21212</t>
        </is>
      </c>
      <c r="C346" s="4" t="n">
        <v>58</v>
      </c>
      <c r="D346" s="4" t="inlineStr">
        <is>
          <t>UK</t>
        </is>
      </c>
      <c r="E346" s="4" t="inlineStr">
        <is>
          <t>6 invoices</t>
        </is>
      </c>
      <c r="F346" s="6">
        <f>IF(B346="","",IFERROR(INDEX(Products!$E:$E,MATCH(B346,Products!$A:$A,0)),0))</f>
        <v/>
      </c>
      <c r="G346" s="6">
        <f>IF(B346="","",N(C346)*N(F346))</f>
        <v/>
      </c>
      <c r="H346">
        <f>IF(B346="","",IFERROR(INDEX(Products!$B:$B,MATCH(B346,Products!$A:$A,0)),"SKU not found"))</f>
        <v/>
      </c>
    </row>
    <row r="347">
      <c r="A347" s="7" t="n">
        <v>40867</v>
      </c>
      <c r="B347" s="4" t="inlineStr">
        <is>
          <t>21931</t>
        </is>
      </c>
      <c r="C347" s="4" t="n">
        <v>16</v>
      </c>
      <c r="D347" s="4" t="inlineStr">
        <is>
          <t>UK</t>
        </is>
      </c>
      <c r="E347" s="4" t="inlineStr">
        <is>
          <t>6 invoices</t>
        </is>
      </c>
      <c r="F347" s="6">
        <f>IF(B347="","",IFERROR(INDEX(Products!$E:$E,MATCH(B347,Products!$A:$A,0)),0))</f>
        <v/>
      </c>
      <c r="G347" s="6">
        <f>IF(B347="","",N(C347)*N(F347))</f>
        <v/>
      </c>
      <c r="H347">
        <f>IF(B347="","",IFERROR(INDEX(Products!$B:$B,MATCH(B347,Products!$A:$A,0)),"SKU not found"))</f>
        <v/>
      </c>
    </row>
    <row r="348">
      <c r="A348" s="7" t="n">
        <v>40867</v>
      </c>
      <c r="B348" s="4" t="inlineStr">
        <is>
          <t>22197</t>
        </is>
      </c>
      <c r="C348" s="4" t="n">
        <v>12</v>
      </c>
      <c r="D348" s="4" t="inlineStr">
        <is>
          <t>Ireland</t>
        </is>
      </c>
      <c r="E348" s="4" t="inlineStr">
        <is>
          <t>1 invoices</t>
        </is>
      </c>
      <c r="F348" s="6">
        <f>IF(B348="","",IFERROR(INDEX(Products!$E:$E,MATCH(B348,Products!$A:$A,0)),0))</f>
        <v/>
      </c>
      <c r="G348" s="6">
        <f>IF(B348="","",N(C348)*N(F348))</f>
        <v/>
      </c>
      <c r="H348">
        <f>IF(B348="","",IFERROR(INDEX(Products!$B:$B,MATCH(B348,Products!$A:$A,0)),"SKU not found"))</f>
        <v/>
      </c>
    </row>
    <row r="349">
      <c r="A349" s="7" t="n">
        <v>40867</v>
      </c>
      <c r="B349" s="4" t="inlineStr">
        <is>
          <t>22197</t>
        </is>
      </c>
      <c r="C349" s="4" t="n">
        <v>206</v>
      </c>
      <c r="D349" s="4" t="inlineStr">
        <is>
          <t>UK</t>
        </is>
      </c>
      <c r="E349" s="4" t="inlineStr">
        <is>
          <t>12 invoices</t>
        </is>
      </c>
      <c r="F349" s="6">
        <f>IF(B349="","",IFERROR(INDEX(Products!$E:$E,MATCH(B349,Products!$A:$A,0)),0))</f>
        <v/>
      </c>
      <c r="G349" s="6">
        <f>IF(B349="","",N(C349)*N(F349))</f>
        <v/>
      </c>
      <c r="H349">
        <f>IF(B349="","",IFERROR(INDEX(Products!$B:$B,MATCH(B349,Products!$A:$A,0)),"SKU not found"))</f>
        <v/>
      </c>
    </row>
    <row r="350">
      <c r="A350" s="7" t="n">
        <v>40867</v>
      </c>
      <c r="B350" s="4" t="inlineStr">
        <is>
          <t>22383</t>
        </is>
      </c>
      <c r="C350" s="4" t="n">
        <v>12</v>
      </c>
      <c r="D350" s="4" t="inlineStr">
        <is>
          <t>UK</t>
        </is>
      </c>
      <c r="E350" s="4" t="inlineStr">
        <is>
          <t>6 invoices</t>
        </is>
      </c>
      <c r="F350" s="6">
        <f>IF(B350="","",IFERROR(INDEX(Products!$E:$E,MATCH(B350,Products!$A:$A,0)),0))</f>
        <v/>
      </c>
      <c r="G350" s="6">
        <f>IF(B350="","",N(C350)*N(F350))</f>
        <v/>
      </c>
      <c r="H350">
        <f>IF(B350="","",IFERROR(INDEX(Products!$B:$B,MATCH(B350,Products!$A:$A,0)),"SKU not found"))</f>
        <v/>
      </c>
    </row>
    <row r="351">
      <c r="A351" s="7" t="n">
        <v>40867</v>
      </c>
      <c r="B351" s="4" t="inlineStr">
        <is>
          <t>22386</t>
        </is>
      </c>
      <c r="C351" s="4" t="n">
        <v>40</v>
      </c>
      <c r="D351" s="4" t="inlineStr">
        <is>
          <t>UK</t>
        </is>
      </c>
      <c r="E351" s="4" t="inlineStr">
        <is>
          <t>6 invoices</t>
        </is>
      </c>
      <c r="F351" s="6">
        <f>IF(B351="","",IFERROR(INDEX(Products!$E:$E,MATCH(B351,Products!$A:$A,0)),0))</f>
        <v/>
      </c>
      <c r="G351" s="6">
        <f>IF(B351="","",N(C351)*N(F351))</f>
        <v/>
      </c>
      <c r="H351">
        <f>IF(B351="","",IFERROR(INDEX(Products!$B:$B,MATCH(B351,Products!$A:$A,0)),"SKU not found"))</f>
        <v/>
      </c>
    </row>
    <row r="352">
      <c r="A352" s="7" t="n">
        <v>40867</v>
      </c>
      <c r="B352" s="4" t="inlineStr">
        <is>
          <t>22423</t>
        </is>
      </c>
      <c r="C352" s="4" t="n">
        <v>2</v>
      </c>
      <c r="D352" s="4" t="inlineStr">
        <is>
          <t>France</t>
        </is>
      </c>
      <c r="E352" s="4" t="inlineStr">
        <is>
          <t>1 invoices</t>
        </is>
      </c>
      <c r="F352" s="6">
        <f>IF(B352="","",IFERROR(INDEX(Products!$E:$E,MATCH(B352,Products!$A:$A,0)),0))</f>
        <v/>
      </c>
      <c r="G352" s="6">
        <f>IF(B352="","",N(C352)*N(F352))</f>
        <v/>
      </c>
      <c r="H352">
        <f>IF(B352="","",IFERROR(INDEX(Products!$B:$B,MATCH(B352,Products!$A:$A,0)),"SKU not found"))</f>
        <v/>
      </c>
    </row>
    <row r="353">
      <c r="A353" s="7" t="n">
        <v>40867</v>
      </c>
      <c r="B353" s="4" t="inlineStr">
        <is>
          <t>22423</t>
        </is>
      </c>
      <c r="C353" s="4" t="n">
        <v>6</v>
      </c>
      <c r="D353" s="4" t="inlineStr">
        <is>
          <t>UK</t>
        </is>
      </c>
      <c r="E353" s="4" t="inlineStr">
        <is>
          <t>4 invoices</t>
        </is>
      </c>
      <c r="F353" s="6">
        <f>IF(B353="","",IFERROR(INDEX(Products!$E:$E,MATCH(B353,Products!$A:$A,0)),0))</f>
        <v/>
      </c>
      <c r="G353" s="6">
        <f>IF(B353="","",N(C353)*N(F353))</f>
        <v/>
      </c>
      <c r="H353">
        <f>IF(B353="","",IFERROR(INDEX(Products!$B:$B,MATCH(B353,Products!$A:$A,0)),"SKU not found"))</f>
        <v/>
      </c>
    </row>
    <row r="354">
      <c r="A354" s="7" t="n">
        <v>40867</v>
      </c>
      <c r="B354" s="4" t="inlineStr">
        <is>
          <t>22457</t>
        </is>
      </c>
      <c r="C354" s="4" t="n">
        <v>5</v>
      </c>
      <c r="D354" s="4" t="inlineStr">
        <is>
          <t>UK</t>
        </is>
      </c>
      <c r="E354" s="4" t="inlineStr">
        <is>
          <t>2 invoices</t>
        </is>
      </c>
      <c r="F354" s="6">
        <f>IF(B354="","",IFERROR(INDEX(Products!$E:$E,MATCH(B354,Products!$A:$A,0)),0))</f>
        <v/>
      </c>
      <c r="G354" s="6">
        <f>IF(B354="","",N(C354)*N(F354))</f>
        <v/>
      </c>
      <c r="H354">
        <f>IF(B354="","",IFERROR(INDEX(Products!$B:$B,MATCH(B354,Products!$A:$A,0)),"SKU not found"))</f>
        <v/>
      </c>
    </row>
    <row r="355">
      <c r="A355" s="7" t="n">
        <v>40867</v>
      </c>
      <c r="B355" s="4" t="inlineStr">
        <is>
          <t>22469</t>
        </is>
      </c>
      <c r="C355" s="4" t="n">
        <v>12</v>
      </c>
      <c r="D355" s="4" t="inlineStr">
        <is>
          <t>Ireland</t>
        </is>
      </c>
      <c r="E355" s="4" t="inlineStr">
        <is>
          <t>1 invoices</t>
        </is>
      </c>
      <c r="F355" s="6">
        <f>IF(B355="","",IFERROR(INDEX(Products!$E:$E,MATCH(B355,Products!$A:$A,0)),0))</f>
        <v/>
      </c>
      <c r="G355" s="6">
        <f>IF(B355="","",N(C355)*N(F355))</f>
        <v/>
      </c>
      <c r="H355">
        <f>IF(B355="","",IFERROR(INDEX(Products!$B:$B,MATCH(B355,Products!$A:$A,0)),"SKU not found"))</f>
        <v/>
      </c>
    </row>
    <row r="356">
      <c r="A356" s="7" t="n">
        <v>40867</v>
      </c>
      <c r="B356" s="4" t="inlineStr">
        <is>
          <t>22469</t>
        </is>
      </c>
      <c r="C356" s="4" t="n">
        <v>42</v>
      </c>
      <c r="D356" s="4" t="inlineStr">
        <is>
          <t>UK</t>
        </is>
      </c>
      <c r="E356" s="4" t="inlineStr">
        <is>
          <t>8 invoices</t>
        </is>
      </c>
      <c r="F356" s="6">
        <f>IF(B356="","",IFERROR(INDEX(Products!$E:$E,MATCH(B356,Products!$A:$A,0)),0))</f>
        <v/>
      </c>
      <c r="G356" s="6">
        <f>IF(B356="","",N(C356)*N(F356))</f>
        <v/>
      </c>
      <c r="H356">
        <f>IF(B356="","",IFERROR(INDEX(Products!$B:$B,MATCH(B356,Products!$A:$A,0)),"SKU not found"))</f>
        <v/>
      </c>
    </row>
    <row r="357">
      <c r="A357" s="7" t="n">
        <v>40867</v>
      </c>
      <c r="B357" s="4" t="inlineStr">
        <is>
          <t>22720</t>
        </is>
      </c>
      <c r="C357" s="4" t="n">
        <v>11</v>
      </c>
      <c r="D357" s="4" t="inlineStr">
        <is>
          <t>UK</t>
        </is>
      </c>
      <c r="E357" s="4" t="inlineStr">
        <is>
          <t>5 invoices</t>
        </is>
      </c>
      <c r="F357" s="6">
        <f>IF(B357="","",IFERROR(INDEX(Products!$E:$E,MATCH(B357,Products!$A:$A,0)),0))</f>
        <v/>
      </c>
      <c r="G357" s="6">
        <f>IF(B357="","",N(C357)*N(F357))</f>
        <v/>
      </c>
      <c r="H357">
        <f>IF(B357="","",IFERROR(INDEX(Products!$B:$B,MATCH(B357,Products!$A:$A,0)),"SKU not found"))</f>
        <v/>
      </c>
    </row>
    <row r="358">
      <c r="A358" s="7" t="n">
        <v>40867</v>
      </c>
      <c r="B358" s="4" t="inlineStr">
        <is>
          <t>47566</t>
        </is>
      </c>
      <c r="C358" s="4" t="n">
        <v>2</v>
      </c>
      <c r="D358" s="4" t="inlineStr">
        <is>
          <t>UK</t>
        </is>
      </c>
      <c r="E358" s="4" t="inlineStr">
        <is>
          <t>1 invoices</t>
        </is>
      </c>
      <c r="F358" s="6">
        <f>IF(B358="","",IFERROR(INDEX(Products!$E:$E,MATCH(B358,Products!$A:$A,0)),0))</f>
        <v/>
      </c>
      <c r="G358" s="6">
        <f>IF(B358="","",N(C358)*N(F358))</f>
        <v/>
      </c>
      <c r="H358">
        <f>IF(B358="","",IFERROR(INDEX(Products!$B:$B,MATCH(B358,Products!$A:$A,0)),"SKU not found"))</f>
        <v/>
      </c>
    </row>
    <row r="359">
      <c r="A359" s="7" t="n">
        <v>40867</v>
      </c>
      <c r="B359" s="4" t="inlineStr">
        <is>
          <t>47566</t>
        </is>
      </c>
      <c r="C359" s="4" t="n">
        <v>8</v>
      </c>
      <c r="D359" s="4" t="inlineStr">
        <is>
          <t>Other EU/Intl</t>
        </is>
      </c>
      <c r="E359" s="4" t="inlineStr">
        <is>
          <t>1 invoices</t>
        </is>
      </c>
      <c r="F359" s="6">
        <f>IF(B359="","",IFERROR(INDEX(Products!$E:$E,MATCH(B359,Products!$A:$A,0)),0))</f>
        <v/>
      </c>
      <c r="G359" s="6">
        <f>IF(B359="","",N(C359)*N(F359))</f>
        <v/>
      </c>
      <c r="H359">
        <f>IF(B359="","",IFERROR(INDEX(Products!$B:$B,MATCH(B359,Products!$A:$A,0)),"SKU not found"))</f>
        <v/>
      </c>
    </row>
    <row r="360">
      <c r="A360" s="7" t="n">
        <v>40867</v>
      </c>
      <c r="B360" s="4" t="inlineStr">
        <is>
          <t>84879</t>
        </is>
      </c>
      <c r="C360" s="4" t="n">
        <v>48</v>
      </c>
      <c r="D360" s="4" t="inlineStr">
        <is>
          <t>Other EU/Intl</t>
        </is>
      </c>
      <c r="E360" s="4" t="inlineStr">
        <is>
          <t>1 invoices</t>
        </is>
      </c>
      <c r="F360" s="6">
        <f>IF(B360="","",IFERROR(INDEX(Products!$E:$E,MATCH(B360,Products!$A:$A,0)),0))</f>
        <v/>
      </c>
      <c r="G360" s="6">
        <f>IF(B360="","",N(C360)*N(F360))</f>
        <v/>
      </c>
      <c r="H360">
        <f>IF(B360="","",IFERROR(INDEX(Products!$B:$B,MATCH(B360,Products!$A:$A,0)),"SKU not found"))</f>
        <v/>
      </c>
    </row>
    <row r="361">
      <c r="A361" s="7" t="n">
        <v>40867</v>
      </c>
      <c r="B361" s="4" t="inlineStr">
        <is>
          <t>84879</t>
        </is>
      </c>
      <c r="C361" s="4" t="n">
        <v>109</v>
      </c>
      <c r="D361" s="4" t="inlineStr">
        <is>
          <t>UK</t>
        </is>
      </c>
      <c r="E361" s="4" t="inlineStr">
        <is>
          <t>9 invoices</t>
        </is>
      </c>
      <c r="F361" s="6">
        <f>IF(B361="","",IFERROR(INDEX(Products!$E:$E,MATCH(B361,Products!$A:$A,0)),0))</f>
        <v/>
      </c>
      <c r="G361" s="6">
        <f>IF(B361="","",N(C361)*N(F361))</f>
        <v/>
      </c>
      <c r="H361">
        <f>IF(B361="","",IFERROR(INDEX(Products!$B:$B,MATCH(B361,Products!$A:$A,0)),"SKU not found"))</f>
        <v/>
      </c>
    </row>
    <row r="362">
      <c r="A362" s="7" t="n">
        <v>40867</v>
      </c>
      <c r="B362" s="4" t="inlineStr">
        <is>
          <t>85099B</t>
        </is>
      </c>
      <c r="C362" s="4" t="n">
        <v>87</v>
      </c>
      <c r="D362" s="4" t="inlineStr">
        <is>
          <t>UK</t>
        </is>
      </c>
      <c r="E362" s="4" t="inlineStr">
        <is>
          <t>9 invoices</t>
        </is>
      </c>
      <c r="F362" s="6">
        <f>IF(B362="","",IFERROR(INDEX(Products!$E:$E,MATCH(B362,Products!$A:$A,0)),0))</f>
        <v/>
      </c>
      <c r="G362" s="6">
        <f>IF(B362="","",N(C362)*N(F362))</f>
        <v/>
      </c>
      <c r="H362">
        <f>IF(B362="","",IFERROR(INDEX(Products!$B:$B,MATCH(B362,Products!$A:$A,0)),"SKU not found"))</f>
        <v/>
      </c>
    </row>
    <row r="363">
      <c r="A363" s="7" t="n">
        <v>40867</v>
      </c>
      <c r="B363" s="4" t="inlineStr">
        <is>
          <t>85123A</t>
        </is>
      </c>
      <c r="C363" s="4" t="n">
        <v>6</v>
      </c>
      <c r="D363" s="4" t="inlineStr">
        <is>
          <t>Other EU/Intl</t>
        </is>
      </c>
      <c r="E363" s="4" t="inlineStr">
        <is>
          <t>1 invoices</t>
        </is>
      </c>
      <c r="F363" s="6">
        <f>IF(B363="","",IFERROR(INDEX(Products!$E:$E,MATCH(B363,Products!$A:$A,0)),0))</f>
        <v/>
      </c>
      <c r="G363" s="6">
        <f>IF(B363="","",N(C363)*N(F363))</f>
        <v/>
      </c>
      <c r="H363">
        <f>IF(B363="","",IFERROR(INDEX(Products!$B:$B,MATCH(B363,Products!$A:$A,0)),"SKU not found"))</f>
        <v/>
      </c>
    </row>
    <row r="364">
      <c r="A364" s="7" t="n">
        <v>40867</v>
      </c>
      <c r="B364" s="4" t="inlineStr">
        <is>
          <t>85123A</t>
        </is>
      </c>
      <c r="C364" s="4" t="n">
        <v>95</v>
      </c>
      <c r="D364" s="4" t="inlineStr">
        <is>
          <t>UK</t>
        </is>
      </c>
      <c r="E364" s="4" t="inlineStr">
        <is>
          <t>8 invoices</t>
        </is>
      </c>
      <c r="F364" s="6">
        <f>IF(B364="","",IFERROR(INDEX(Products!$E:$E,MATCH(B364,Products!$A:$A,0)),0))</f>
        <v/>
      </c>
      <c r="G364" s="6">
        <f>IF(B364="","",N(C364)*N(F364))</f>
        <v/>
      </c>
      <c r="H364">
        <f>IF(B364="","",IFERROR(INDEX(Products!$B:$B,MATCH(B364,Products!$A:$A,0)),"SKU not found"))</f>
        <v/>
      </c>
    </row>
    <row r="365">
      <c r="A365" s="7" t="n">
        <v>40868</v>
      </c>
      <c r="B365" s="4" t="inlineStr">
        <is>
          <t>20725</t>
        </is>
      </c>
      <c r="C365" s="4" t="n">
        <v>37</v>
      </c>
      <c r="D365" s="4" t="inlineStr">
        <is>
          <t>UK</t>
        </is>
      </c>
      <c r="E365" s="4" t="inlineStr">
        <is>
          <t>6 invoices</t>
        </is>
      </c>
      <c r="F365" s="6">
        <f>IF(B365="","",IFERROR(INDEX(Products!$E:$E,MATCH(B365,Products!$A:$A,0)),0))</f>
        <v/>
      </c>
      <c r="G365" s="6">
        <f>IF(B365="","",N(C365)*N(F365))</f>
        <v/>
      </c>
      <c r="H365">
        <f>IF(B365="","",IFERROR(INDEX(Products!$B:$B,MATCH(B365,Products!$A:$A,0)),"SKU not found"))</f>
        <v/>
      </c>
    </row>
    <row r="366">
      <c r="A366" s="7" t="n">
        <v>40868</v>
      </c>
      <c r="B366" s="4" t="inlineStr">
        <is>
          <t>20727</t>
        </is>
      </c>
      <c r="C366" s="4" t="n">
        <v>38</v>
      </c>
      <c r="D366" s="4" t="inlineStr">
        <is>
          <t>UK</t>
        </is>
      </c>
      <c r="E366" s="4" t="inlineStr">
        <is>
          <t>7 invoices</t>
        </is>
      </c>
      <c r="F366" s="6">
        <f>IF(B366="","",IFERROR(INDEX(Products!$E:$E,MATCH(B366,Products!$A:$A,0)),0))</f>
        <v/>
      </c>
      <c r="G366" s="6">
        <f>IF(B366="","",N(C366)*N(F366))</f>
        <v/>
      </c>
      <c r="H366">
        <f>IF(B366="","",IFERROR(INDEX(Products!$B:$B,MATCH(B366,Products!$A:$A,0)),"SKU not found"))</f>
        <v/>
      </c>
    </row>
    <row r="367">
      <c r="A367" s="7" t="n">
        <v>40868</v>
      </c>
      <c r="B367" s="4" t="inlineStr">
        <is>
          <t>21212</t>
        </is>
      </c>
      <c r="C367" s="4" t="n">
        <v>24</v>
      </c>
      <c r="D367" s="4" t="inlineStr">
        <is>
          <t>France</t>
        </is>
      </c>
      <c r="E367" s="4" t="inlineStr">
        <is>
          <t>1 invoices</t>
        </is>
      </c>
      <c r="F367" s="6">
        <f>IF(B367="","",IFERROR(INDEX(Products!$E:$E,MATCH(B367,Products!$A:$A,0)),0))</f>
        <v/>
      </c>
      <c r="G367" s="6">
        <f>IF(B367="","",N(C367)*N(F367))</f>
        <v/>
      </c>
      <c r="H367">
        <f>IF(B367="","",IFERROR(INDEX(Products!$B:$B,MATCH(B367,Products!$A:$A,0)),"SKU not found"))</f>
        <v/>
      </c>
    </row>
    <row r="368">
      <c r="A368" s="7" t="n">
        <v>40868</v>
      </c>
      <c r="B368" s="4" t="inlineStr">
        <is>
          <t>21212</t>
        </is>
      </c>
      <c r="C368" s="4" t="n">
        <v>24</v>
      </c>
      <c r="D368" s="4" t="inlineStr">
        <is>
          <t>Ireland</t>
        </is>
      </c>
      <c r="E368" s="4" t="inlineStr">
        <is>
          <t>1 invoices</t>
        </is>
      </c>
      <c r="F368" s="6">
        <f>IF(B368="","",IFERROR(INDEX(Products!$E:$E,MATCH(B368,Products!$A:$A,0)),0))</f>
        <v/>
      </c>
      <c r="G368" s="6">
        <f>IF(B368="","",N(C368)*N(F368))</f>
        <v/>
      </c>
      <c r="H368">
        <f>IF(B368="","",IFERROR(INDEX(Products!$B:$B,MATCH(B368,Products!$A:$A,0)),"SKU not found"))</f>
        <v/>
      </c>
    </row>
    <row r="369">
      <c r="A369" s="7" t="n">
        <v>40868</v>
      </c>
      <c r="B369" s="4" t="inlineStr">
        <is>
          <t>21212</t>
        </is>
      </c>
      <c r="C369" s="4" t="n">
        <v>52</v>
      </c>
      <c r="D369" s="4" t="inlineStr">
        <is>
          <t>UK</t>
        </is>
      </c>
      <c r="E369" s="4" t="inlineStr">
        <is>
          <t>4 invoices</t>
        </is>
      </c>
      <c r="F369" s="6">
        <f>IF(B369="","",IFERROR(INDEX(Products!$E:$E,MATCH(B369,Products!$A:$A,0)),0))</f>
        <v/>
      </c>
      <c r="G369" s="6">
        <f>IF(B369="","",N(C369)*N(F369))</f>
        <v/>
      </c>
      <c r="H369">
        <f>IF(B369="","",IFERROR(INDEX(Products!$B:$B,MATCH(B369,Products!$A:$A,0)),"SKU not found"))</f>
        <v/>
      </c>
    </row>
    <row r="370">
      <c r="A370" s="7" t="n">
        <v>40868</v>
      </c>
      <c r="B370" s="4" t="inlineStr">
        <is>
          <t>21931</t>
        </is>
      </c>
      <c r="C370" s="4" t="n">
        <v>10</v>
      </c>
      <c r="D370" s="4" t="inlineStr">
        <is>
          <t>UK</t>
        </is>
      </c>
      <c r="E370" s="4" t="inlineStr">
        <is>
          <t>1 invoices</t>
        </is>
      </c>
      <c r="F370" s="6">
        <f>IF(B370="","",IFERROR(INDEX(Products!$E:$E,MATCH(B370,Products!$A:$A,0)),0))</f>
        <v/>
      </c>
      <c r="G370" s="6">
        <f>IF(B370="","",N(C370)*N(F370))</f>
        <v/>
      </c>
      <c r="H370">
        <f>IF(B370="","",IFERROR(INDEX(Products!$B:$B,MATCH(B370,Products!$A:$A,0)),"SKU not found"))</f>
        <v/>
      </c>
    </row>
    <row r="371">
      <c r="A371" s="7" t="n">
        <v>40868</v>
      </c>
      <c r="B371" s="4" t="inlineStr">
        <is>
          <t>22197</t>
        </is>
      </c>
      <c r="C371" s="4" t="n">
        <v>349</v>
      </c>
      <c r="D371" s="4" t="inlineStr">
        <is>
          <t>UK</t>
        </is>
      </c>
      <c r="E371" s="4" t="inlineStr">
        <is>
          <t>8 invoices</t>
        </is>
      </c>
      <c r="F371" s="6">
        <f>IF(B371="","",IFERROR(INDEX(Products!$E:$E,MATCH(B371,Products!$A:$A,0)),0))</f>
        <v/>
      </c>
      <c r="G371" s="6">
        <f>IF(B371="","",N(C371)*N(F371))</f>
        <v/>
      </c>
      <c r="H371">
        <f>IF(B371="","",IFERROR(INDEX(Products!$B:$B,MATCH(B371,Products!$A:$A,0)),"SKU not found"))</f>
        <v/>
      </c>
    </row>
    <row r="372">
      <c r="A372" s="7" t="n">
        <v>40868</v>
      </c>
      <c r="B372" s="4" t="inlineStr">
        <is>
          <t>22383</t>
        </is>
      </c>
      <c r="C372" s="4" t="n">
        <v>16</v>
      </c>
      <c r="D372" s="4" t="inlineStr">
        <is>
          <t>UK</t>
        </is>
      </c>
      <c r="E372" s="4" t="inlineStr">
        <is>
          <t>4 invoices</t>
        </is>
      </c>
      <c r="F372" s="6">
        <f>IF(B372="","",IFERROR(INDEX(Products!$E:$E,MATCH(B372,Products!$A:$A,0)),0))</f>
        <v/>
      </c>
      <c r="G372" s="6">
        <f>IF(B372="","",N(C372)*N(F372))</f>
        <v/>
      </c>
      <c r="H372">
        <f>IF(B372="","",IFERROR(INDEX(Products!$B:$B,MATCH(B372,Products!$A:$A,0)),"SKU not found"))</f>
        <v/>
      </c>
    </row>
    <row r="373">
      <c r="A373" s="7" t="n">
        <v>40868</v>
      </c>
      <c r="B373" s="4" t="inlineStr">
        <is>
          <t>22386</t>
        </is>
      </c>
      <c r="C373" s="4" t="n">
        <v>25</v>
      </c>
      <c r="D373" s="4" t="inlineStr">
        <is>
          <t>UK</t>
        </is>
      </c>
      <c r="E373" s="4" t="inlineStr">
        <is>
          <t>3 invoices</t>
        </is>
      </c>
      <c r="F373" s="6">
        <f>IF(B373="","",IFERROR(INDEX(Products!$E:$E,MATCH(B373,Products!$A:$A,0)),0))</f>
        <v/>
      </c>
      <c r="G373" s="6">
        <f>IF(B373="","",N(C373)*N(F373))</f>
        <v/>
      </c>
      <c r="H373">
        <f>IF(B373="","",IFERROR(INDEX(Products!$B:$B,MATCH(B373,Products!$A:$A,0)),"SKU not found"))</f>
        <v/>
      </c>
    </row>
    <row r="374">
      <c r="A374" s="7" t="n">
        <v>40868</v>
      </c>
      <c r="B374" s="4" t="inlineStr">
        <is>
          <t>22423</t>
        </is>
      </c>
      <c r="C374" s="4" t="n">
        <v>6</v>
      </c>
      <c r="D374" s="4" t="inlineStr">
        <is>
          <t>Other EU/Intl</t>
        </is>
      </c>
      <c r="E374" s="4" t="inlineStr">
        <is>
          <t>3 invoices</t>
        </is>
      </c>
      <c r="F374" s="6">
        <f>IF(B374="","",IFERROR(INDEX(Products!$E:$E,MATCH(B374,Products!$A:$A,0)),0))</f>
        <v/>
      </c>
      <c r="G374" s="6">
        <f>IF(B374="","",N(C374)*N(F374))</f>
        <v/>
      </c>
      <c r="H374">
        <f>IF(B374="","",IFERROR(INDEX(Products!$B:$B,MATCH(B374,Products!$A:$A,0)),"SKU not found"))</f>
        <v/>
      </c>
    </row>
    <row r="375">
      <c r="A375" s="7" t="n">
        <v>40868</v>
      </c>
      <c r="B375" s="4" t="inlineStr">
        <is>
          <t>22423</t>
        </is>
      </c>
      <c r="C375" s="4" t="n">
        <v>44</v>
      </c>
      <c r="D375" s="4" t="inlineStr">
        <is>
          <t>UK</t>
        </is>
      </c>
      <c r="E375" s="4" t="inlineStr">
        <is>
          <t>5 invoices</t>
        </is>
      </c>
      <c r="F375" s="6">
        <f>IF(B375="","",IFERROR(INDEX(Products!$E:$E,MATCH(B375,Products!$A:$A,0)),0))</f>
        <v/>
      </c>
      <c r="G375" s="6">
        <f>IF(B375="","",N(C375)*N(F375))</f>
        <v/>
      </c>
      <c r="H375">
        <f>IF(B375="","",IFERROR(INDEX(Products!$B:$B,MATCH(B375,Products!$A:$A,0)),"SKU not found"))</f>
        <v/>
      </c>
    </row>
    <row r="376">
      <c r="A376" s="7" t="n">
        <v>40868</v>
      </c>
      <c r="B376" s="4" t="inlineStr">
        <is>
          <t>22457</t>
        </is>
      </c>
      <c r="C376" s="4" t="n">
        <v>6</v>
      </c>
      <c r="D376" s="4" t="inlineStr">
        <is>
          <t>UK</t>
        </is>
      </c>
      <c r="E376" s="4" t="inlineStr">
        <is>
          <t>1 invoices</t>
        </is>
      </c>
      <c r="F376" s="6">
        <f>IF(B376="","",IFERROR(INDEX(Products!$E:$E,MATCH(B376,Products!$A:$A,0)),0))</f>
        <v/>
      </c>
      <c r="G376" s="6">
        <f>IF(B376="","",N(C376)*N(F376))</f>
        <v/>
      </c>
      <c r="H376">
        <f>IF(B376="","",IFERROR(INDEX(Products!$B:$B,MATCH(B376,Products!$A:$A,0)),"SKU not found"))</f>
        <v/>
      </c>
    </row>
    <row r="377">
      <c r="A377" s="7" t="n">
        <v>40868</v>
      </c>
      <c r="B377" s="4" t="inlineStr">
        <is>
          <t>22469</t>
        </is>
      </c>
      <c r="C377" s="4" t="n">
        <v>31</v>
      </c>
      <c r="D377" s="4" t="inlineStr">
        <is>
          <t>UK</t>
        </is>
      </c>
      <c r="E377" s="4" t="inlineStr">
        <is>
          <t>6 invoices</t>
        </is>
      </c>
      <c r="F377" s="6">
        <f>IF(B377="","",IFERROR(INDEX(Products!$E:$E,MATCH(B377,Products!$A:$A,0)),0))</f>
        <v/>
      </c>
      <c r="G377" s="6">
        <f>IF(B377="","",N(C377)*N(F377))</f>
        <v/>
      </c>
      <c r="H377">
        <f>IF(B377="","",IFERROR(INDEX(Products!$B:$B,MATCH(B377,Products!$A:$A,0)),"SKU not found"))</f>
        <v/>
      </c>
    </row>
    <row r="378">
      <c r="A378" s="7" t="n">
        <v>40868</v>
      </c>
      <c r="B378" s="4" t="inlineStr">
        <is>
          <t>22720</t>
        </is>
      </c>
      <c r="C378" s="4" t="n">
        <v>3</v>
      </c>
      <c r="D378" s="4" t="inlineStr">
        <is>
          <t>Other EU/Intl</t>
        </is>
      </c>
      <c r="E378" s="4" t="inlineStr">
        <is>
          <t>1 invoices</t>
        </is>
      </c>
      <c r="F378" s="6">
        <f>IF(B378="","",IFERROR(INDEX(Products!$E:$E,MATCH(B378,Products!$A:$A,0)),0))</f>
        <v/>
      </c>
      <c r="G378" s="6">
        <f>IF(B378="","",N(C378)*N(F378))</f>
        <v/>
      </c>
      <c r="H378">
        <f>IF(B378="","",IFERROR(INDEX(Products!$B:$B,MATCH(B378,Products!$A:$A,0)),"SKU not found"))</f>
        <v/>
      </c>
    </row>
    <row r="379">
      <c r="A379" s="7" t="n">
        <v>40868</v>
      </c>
      <c r="B379" s="4" t="inlineStr">
        <is>
          <t>22720</t>
        </is>
      </c>
      <c r="C379" s="4" t="n">
        <v>3</v>
      </c>
      <c r="D379" s="4" t="inlineStr">
        <is>
          <t>UK</t>
        </is>
      </c>
      <c r="E379" s="4" t="inlineStr">
        <is>
          <t>1 invoices</t>
        </is>
      </c>
      <c r="F379" s="6">
        <f>IF(B379="","",IFERROR(INDEX(Products!$E:$E,MATCH(B379,Products!$A:$A,0)),0))</f>
        <v/>
      </c>
      <c r="G379" s="6">
        <f>IF(B379="","",N(C379)*N(F379))</f>
        <v/>
      </c>
      <c r="H379">
        <f>IF(B379="","",IFERROR(INDEX(Products!$B:$B,MATCH(B379,Products!$A:$A,0)),"SKU not found"))</f>
        <v/>
      </c>
    </row>
    <row r="380">
      <c r="A380" s="7" t="n">
        <v>40868</v>
      </c>
      <c r="B380" s="4" t="inlineStr">
        <is>
          <t>47566</t>
        </is>
      </c>
      <c r="C380" s="4" t="n">
        <v>4</v>
      </c>
      <c r="D380" s="4" t="inlineStr">
        <is>
          <t>Ireland</t>
        </is>
      </c>
      <c r="E380" s="4" t="inlineStr">
        <is>
          <t>1 invoices</t>
        </is>
      </c>
      <c r="F380" s="6">
        <f>IF(B380="","",IFERROR(INDEX(Products!$E:$E,MATCH(B380,Products!$A:$A,0)),0))</f>
        <v/>
      </c>
      <c r="G380" s="6">
        <f>IF(B380="","",N(C380)*N(F380))</f>
        <v/>
      </c>
      <c r="H380">
        <f>IF(B380="","",IFERROR(INDEX(Products!$B:$B,MATCH(B380,Products!$A:$A,0)),"SKU not found"))</f>
        <v/>
      </c>
    </row>
    <row r="381">
      <c r="A381" s="7" t="n">
        <v>40868</v>
      </c>
      <c r="B381" s="4" t="inlineStr">
        <is>
          <t>47566</t>
        </is>
      </c>
      <c r="C381" s="4" t="n">
        <v>320</v>
      </c>
      <c r="D381" s="4" t="inlineStr">
        <is>
          <t>UK</t>
        </is>
      </c>
      <c r="E381" s="4" t="inlineStr">
        <is>
          <t>4 invoices</t>
        </is>
      </c>
      <c r="F381" s="6">
        <f>IF(B381="","",IFERROR(INDEX(Products!$E:$E,MATCH(B381,Products!$A:$A,0)),0))</f>
        <v/>
      </c>
      <c r="G381" s="6">
        <f>IF(B381="","",N(C381)*N(F381))</f>
        <v/>
      </c>
      <c r="H381">
        <f>IF(B381="","",IFERROR(INDEX(Products!$B:$B,MATCH(B381,Products!$A:$A,0)),"SKU not found"))</f>
        <v/>
      </c>
    </row>
    <row r="382">
      <c r="A382" s="7" t="n">
        <v>40868</v>
      </c>
      <c r="B382" s="4" t="inlineStr">
        <is>
          <t>84879</t>
        </is>
      </c>
      <c r="C382" s="4" t="n">
        <v>190</v>
      </c>
      <c r="D382" s="4" t="inlineStr">
        <is>
          <t>UK</t>
        </is>
      </c>
      <c r="E382" s="4" t="inlineStr">
        <is>
          <t>8 invoices</t>
        </is>
      </c>
      <c r="F382" s="6">
        <f>IF(B382="","",IFERROR(INDEX(Products!$E:$E,MATCH(B382,Products!$A:$A,0)),0))</f>
        <v/>
      </c>
      <c r="G382" s="6">
        <f>IF(B382="","",N(C382)*N(F382))</f>
        <v/>
      </c>
      <c r="H382">
        <f>IF(B382="","",IFERROR(INDEX(Products!$B:$B,MATCH(B382,Products!$A:$A,0)),"SKU not found"))</f>
        <v/>
      </c>
    </row>
    <row r="383">
      <c r="A383" s="7" t="n">
        <v>40868</v>
      </c>
      <c r="B383" s="4" t="inlineStr">
        <is>
          <t>85099B</t>
        </is>
      </c>
      <c r="C383" s="4" t="n">
        <v>147</v>
      </c>
      <c r="D383" s="4" t="inlineStr">
        <is>
          <t>UK</t>
        </is>
      </c>
      <c r="E383" s="4" t="inlineStr">
        <is>
          <t>7 invoices</t>
        </is>
      </c>
      <c r="F383" s="6">
        <f>IF(B383="","",IFERROR(INDEX(Products!$E:$E,MATCH(B383,Products!$A:$A,0)),0))</f>
        <v/>
      </c>
      <c r="G383" s="6">
        <f>IF(B383="","",N(C383)*N(F383))</f>
        <v/>
      </c>
      <c r="H383">
        <f>IF(B383="","",IFERROR(INDEX(Products!$B:$B,MATCH(B383,Products!$A:$A,0)),"SKU not found"))</f>
        <v/>
      </c>
    </row>
    <row r="384">
      <c r="A384" s="7" t="n">
        <v>40868</v>
      </c>
      <c r="B384" s="4" t="inlineStr">
        <is>
          <t>85123A</t>
        </is>
      </c>
      <c r="C384" s="4" t="n">
        <v>36</v>
      </c>
      <c r="D384" s="4" t="inlineStr">
        <is>
          <t>UK</t>
        </is>
      </c>
      <c r="E384" s="4" t="inlineStr">
        <is>
          <t>8 invoices</t>
        </is>
      </c>
      <c r="F384" s="6">
        <f>IF(B384="","",IFERROR(INDEX(Products!$E:$E,MATCH(B384,Products!$A:$A,0)),0))</f>
        <v/>
      </c>
      <c r="G384" s="6">
        <f>IF(B384="","",N(C384)*N(F384))</f>
        <v/>
      </c>
      <c r="H384">
        <f>IF(B384="","",IFERROR(INDEX(Products!$B:$B,MATCH(B384,Products!$A:$A,0)),"SKU not found"))</f>
        <v/>
      </c>
    </row>
    <row r="385">
      <c r="A385" s="7" t="n">
        <v>40869</v>
      </c>
      <c r="B385" s="4" t="inlineStr">
        <is>
          <t>20725</t>
        </is>
      </c>
      <c r="C385" s="4" t="n">
        <v>10</v>
      </c>
      <c r="D385" s="4" t="inlineStr">
        <is>
          <t>France</t>
        </is>
      </c>
      <c r="E385" s="4" t="inlineStr">
        <is>
          <t>1 invoices</t>
        </is>
      </c>
      <c r="F385" s="6">
        <f>IF(B385="","",IFERROR(INDEX(Products!$E:$E,MATCH(B385,Products!$A:$A,0)),0))</f>
        <v/>
      </c>
      <c r="G385" s="6">
        <f>IF(B385="","",N(C385)*N(F385))</f>
        <v/>
      </c>
      <c r="H385">
        <f>IF(B385="","",IFERROR(INDEX(Products!$B:$B,MATCH(B385,Products!$A:$A,0)),"SKU not found"))</f>
        <v/>
      </c>
    </row>
    <row r="386">
      <c r="A386" s="7" t="n">
        <v>40869</v>
      </c>
      <c r="B386" s="4" t="inlineStr">
        <is>
          <t>20725</t>
        </is>
      </c>
      <c r="C386" s="4" t="n">
        <v>37</v>
      </c>
      <c r="D386" s="4" t="inlineStr">
        <is>
          <t>UK</t>
        </is>
      </c>
      <c r="E386" s="4" t="inlineStr">
        <is>
          <t>3 invoices</t>
        </is>
      </c>
      <c r="F386" s="6">
        <f>IF(B386="","",IFERROR(INDEX(Products!$E:$E,MATCH(B386,Products!$A:$A,0)),0))</f>
        <v/>
      </c>
      <c r="G386" s="6">
        <f>IF(B386="","",N(C386)*N(F386))</f>
        <v/>
      </c>
      <c r="H386">
        <f>IF(B386="","",IFERROR(INDEX(Products!$B:$B,MATCH(B386,Products!$A:$A,0)),"SKU not found"))</f>
        <v/>
      </c>
    </row>
    <row r="387">
      <c r="A387" s="7" t="n">
        <v>40869</v>
      </c>
      <c r="B387" s="4" t="inlineStr">
        <is>
          <t>20727</t>
        </is>
      </c>
      <c r="C387" s="4" t="n">
        <v>41</v>
      </c>
      <c r="D387" s="4" t="inlineStr">
        <is>
          <t>UK</t>
        </is>
      </c>
      <c r="E387" s="4" t="inlineStr">
        <is>
          <t>7 invoices</t>
        </is>
      </c>
      <c r="F387" s="6">
        <f>IF(B387="","",IFERROR(INDEX(Products!$E:$E,MATCH(B387,Products!$A:$A,0)),0))</f>
        <v/>
      </c>
      <c r="G387" s="6">
        <f>IF(B387="","",N(C387)*N(F387))</f>
        <v/>
      </c>
      <c r="H387">
        <f>IF(B387="","",IFERROR(INDEX(Products!$B:$B,MATCH(B387,Products!$A:$A,0)),"SKU not found"))</f>
        <v/>
      </c>
    </row>
    <row r="388">
      <c r="A388" s="7" t="n">
        <v>40869</v>
      </c>
      <c r="B388" s="4" t="inlineStr">
        <is>
          <t>21212</t>
        </is>
      </c>
      <c r="C388" s="4" t="n">
        <v>24</v>
      </c>
      <c r="D388" s="4" t="inlineStr">
        <is>
          <t>Ireland</t>
        </is>
      </c>
      <c r="E388" s="4" t="inlineStr">
        <is>
          <t>1 invoices</t>
        </is>
      </c>
      <c r="F388" s="6">
        <f>IF(B388="","",IFERROR(INDEX(Products!$E:$E,MATCH(B388,Products!$A:$A,0)),0))</f>
        <v/>
      </c>
      <c r="G388" s="6">
        <f>IF(B388="","",N(C388)*N(F388))</f>
        <v/>
      </c>
      <c r="H388">
        <f>IF(B388="","",IFERROR(INDEX(Products!$B:$B,MATCH(B388,Products!$A:$A,0)),"SKU not found"))</f>
        <v/>
      </c>
    </row>
    <row r="389">
      <c r="A389" s="7" t="n">
        <v>40869</v>
      </c>
      <c r="B389" s="4" t="inlineStr">
        <is>
          <t>21212</t>
        </is>
      </c>
      <c r="C389" s="4" t="n">
        <v>75</v>
      </c>
      <c r="D389" s="4" t="inlineStr">
        <is>
          <t>UK</t>
        </is>
      </c>
      <c r="E389" s="4" t="inlineStr">
        <is>
          <t>6 invoices</t>
        </is>
      </c>
      <c r="F389" s="6">
        <f>IF(B389="","",IFERROR(INDEX(Products!$E:$E,MATCH(B389,Products!$A:$A,0)),0))</f>
        <v/>
      </c>
      <c r="G389" s="6">
        <f>IF(B389="","",N(C389)*N(F389))</f>
        <v/>
      </c>
      <c r="H389">
        <f>IF(B389="","",IFERROR(INDEX(Products!$B:$B,MATCH(B389,Products!$A:$A,0)),"SKU not found"))</f>
        <v/>
      </c>
    </row>
    <row r="390">
      <c r="A390" s="7" t="n">
        <v>40869</v>
      </c>
      <c r="B390" s="4" t="inlineStr">
        <is>
          <t>21931</t>
        </is>
      </c>
      <c r="C390" s="4" t="n">
        <v>14</v>
      </c>
      <c r="D390" s="4" t="inlineStr">
        <is>
          <t>UK</t>
        </is>
      </c>
      <c r="E390" s="4" t="inlineStr">
        <is>
          <t>3 invoices</t>
        </is>
      </c>
      <c r="F390" s="6">
        <f>IF(B390="","",IFERROR(INDEX(Products!$E:$E,MATCH(B390,Products!$A:$A,0)),0))</f>
        <v/>
      </c>
      <c r="G390" s="6">
        <f>IF(B390="","",N(C390)*N(F390))</f>
        <v/>
      </c>
      <c r="H390">
        <f>IF(B390="","",IFERROR(INDEX(Products!$B:$B,MATCH(B390,Products!$A:$A,0)),"SKU not found"))</f>
        <v/>
      </c>
    </row>
    <row r="391">
      <c r="A391" s="7" t="n">
        <v>40869</v>
      </c>
      <c r="B391" s="4" t="inlineStr">
        <is>
          <t>22197</t>
        </is>
      </c>
      <c r="C391" s="4" t="n">
        <v>1162</v>
      </c>
      <c r="D391" s="4" t="inlineStr">
        <is>
          <t>UK</t>
        </is>
      </c>
      <c r="E391" s="4" t="inlineStr">
        <is>
          <t>10 invoices</t>
        </is>
      </c>
      <c r="F391" s="6">
        <f>IF(B391="","",IFERROR(INDEX(Products!$E:$E,MATCH(B391,Products!$A:$A,0)),0))</f>
        <v/>
      </c>
      <c r="G391" s="6">
        <f>IF(B391="","",N(C391)*N(F391))</f>
        <v/>
      </c>
      <c r="H391">
        <f>IF(B391="","",IFERROR(INDEX(Products!$B:$B,MATCH(B391,Products!$A:$A,0)),"SKU not found"))</f>
        <v/>
      </c>
    </row>
    <row r="392">
      <c r="A392" s="7" t="n">
        <v>40869</v>
      </c>
      <c r="B392" s="4" t="inlineStr">
        <is>
          <t>22383</t>
        </is>
      </c>
      <c r="C392" s="4" t="n">
        <v>29</v>
      </c>
      <c r="D392" s="4" t="inlineStr">
        <is>
          <t>UK</t>
        </is>
      </c>
      <c r="E392" s="4" t="inlineStr">
        <is>
          <t>7 invoices</t>
        </is>
      </c>
      <c r="F392" s="6">
        <f>IF(B392="","",IFERROR(INDEX(Products!$E:$E,MATCH(B392,Products!$A:$A,0)),0))</f>
        <v/>
      </c>
      <c r="G392" s="6">
        <f>IF(B392="","",N(C392)*N(F392))</f>
        <v/>
      </c>
      <c r="H392">
        <f>IF(B392="","",IFERROR(INDEX(Products!$B:$B,MATCH(B392,Products!$A:$A,0)),"SKU not found"))</f>
        <v/>
      </c>
    </row>
    <row r="393">
      <c r="A393" s="7" t="n">
        <v>40869</v>
      </c>
      <c r="B393" s="4" t="inlineStr">
        <is>
          <t>22386</t>
        </is>
      </c>
      <c r="C393" s="4" t="n">
        <v>2</v>
      </c>
      <c r="D393" s="4" t="inlineStr">
        <is>
          <t>UK</t>
        </is>
      </c>
      <c r="E393" s="4" t="inlineStr">
        <is>
          <t>2 invoices</t>
        </is>
      </c>
      <c r="F393" s="6">
        <f>IF(B393="","",IFERROR(INDEX(Products!$E:$E,MATCH(B393,Products!$A:$A,0)),0))</f>
        <v/>
      </c>
      <c r="G393" s="6">
        <f>IF(B393="","",N(C393)*N(F393))</f>
        <v/>
      </c>
      <c r="H393">
        <f>IF(B393="","",IFERROR(INDEX(Products!$B:$B,MATCH(B393,Products!$A:$A,0)),"SKU not found"))</f>
        <v/>
      </c>
    </row>
    <row r="394">
      <c r="A394" s="7" t="n">
        <v>40869</v>
      </c>
      <c r="B394" s="4" t="inlineStr">
        <is>
          <t>22423</t>
        </is>
      </c>
      <c r="C394" s="4" t="n">
        <v>29</v>
      </c>
      <c r="D394" s="4" t="inlineStr">
        <is>
          <t>UK</t>
        </is>
      </c>
      <c r="E394" s="4" t="inlineStr">
        <is>
          <t>9 invoices</t>
        </is>
      </c>
      <c r="F394" s="6">
        <f>IF(B394="","",IFERROR(INDEX(Products!$E:$E,MATCH(B394,Products!$A:$A,0)),0))</f>
        <v/>
      </c>
      <c r="G394" s="6">
        <f>IF(B394="","",N(C394)*N(F394))</f>
        <v/>
      </c>
      <c r="H394">
        <f>IF(B394="","",IFERROR(INDEX(Products!$B:$B,MATCH(B394,Products!$A:$A,0)),"SKU not found"))</f>
        <v/>
      </c>
    </row>
    <row r="395">
      <c r="A395" s="7" t="n">
        <v>40869</v>
      </c>
      <c r="B395" s="4" t="inlineStr">
        <is>
          <t>22457</t>
        </is>
      </c>
      <c r="C395" s="4" t="n">
        <v>15</v>
      </c>
      <c r="D395" s="4" t="inlineStr">
        <is>
          <t>UK</t>
        </is>
      </c>
      <c r="E395" s="4" t="inlineStr">
        <is>
          <t>4 invoices</t>
        </is>
      </c>
      <c r="F395" s="6">
        <f>IF(B395="","",IFERROR(INDEX(Products!$E:$E,MATCH(B395,Products!$A:$A,0)),0))</f>
        <v/>
      </c>
      <c r="G395" s="6">
        <f>IF(B395="","",N(C395)*N(F395))</f>
        <v/>
      </c>
      <c r="H395">
        <f>IF(B395="","",IFERROR(INDEX(Products!$B:$B,MATCH(B395,Products!$A:$A,0)),"SKU not found"))</f>
        <v/>
      </c>
    </row>
    <row r="396">
      <c r="A396" s="7" t="n">
        <v>40869</v>
      </c>
      <c r="B396" s="4" t="inlineStr">
        <is>
          <t>22469</t>
        </is>
      </c>
      <c r="C396" s="4" t="n">
        <v>48</v>
      </c>
      <c r="D396" s="4" t="inlineStr">
        <is>
          <t>UK</t>
        </is>
      </c>
      <c r="E396" s="4" t="inlineStr">
        <is>
          <t>7 invoices</t>
        </is>
      </c>
      <c r="F396" s="6">
        <f>IF(B396="","",IFERROR(INDEX(Products!$E:$E,MATCH(B396,Products!$A:$A,0)),0))</f>
        <v/>
      </c>
      <c r="G396" s="6">
        <f>IF(B396="","",N(C396)*N(F396))</f>
        <v/>
      </c>
      <c r="H396">
        <f>IF(B396="","",IFERROR(INDEX(Products!$B:$B,MATCH(B396,Products!$A:$A,0)),"SKU not found"))</f>
        <v/>
      </c>
    </row>
    <row r="397">
      <c r="A397" s="7" t="n">
        <v>40869</v>
      </c>
      <c r="B397" s="4" t="inlineStr">
        <is>
          <t>22720</t>
        </is>
      </c>
      <c r="C397" s="4" t="n">
        <v>3</v>
      </c>
      <c r="D397" s="4" t="inlineStr">
        <is>
          <t>Other EU/Intl</t>
        </is>
      </c>
      <c r="E397" s="4" t="inlineStr">
        <is>
          <t>1 invoices</t>
        </is>
      </c>
      <c r="F397" s="6">
        <f>IF(B397="","",IFERROR(INDEX(Products!$E:$E,MATCH(B397,Products!$A:$A,0)),0))</f>
        <v/>
      </c>
      <c r="G397" s="6">
        <f>IF(B397="","",N(C397)*N(F397))</f>
        <v/>
      </c>
      <c r="H397">
        <f>IF(B397="","",IFERROR(INDEX(Products!$B:$B,MATCH(B397,Products!$A:$A,0)),"SKU not found"))</f>
        <v/>
      </c>
    </row>
    <row r="398">
      <c r="A398" s="7" t="n">
        <v>40869</v>
      </c>
      <c r="B398" s="4" t="inlineStr">
        <is>
          <t>22720</t>
        </is>
      </c>
      <c r="C398" s="4" t="n">
        <v>7</v>
      </c>
      <c r="D398" s="4" t="inlineStr">
        <is>
          <t>UK</t>
        </is>
      </c>
      <c r="E398" s="4" t="inlineStr">
        <is>
          <t>2 invoices</t>
        </is>
      </c>
      <c r="F398" s="6">
        <f>IF(B398="","",IFERROR(INDEX(Products!$E:$E,MATCH(B398,Products!$A:$A,0)),0))</f>
        <v/>
      </c>
      <c r="G398" s="6">
        <f>IF(B398="","",N(C398)*N(F398))</f>
        <v/>
      </c>
      <c r="H398">
        <f>IF(B398="","",IFERROR(INDEX(Products!$B:$B,MATCH(B398,Products!$A:$A,0)),"SKU not found"))</f>
        <v/>
      </c>
    </row>
    <row r="399">
      <c r="A399" s="7" t="n">
        <v>40869</v>
      </c>
      <c r="B399" s="4" t="inlineStr">
        <is>
          <t>47566</t>
        </is>
      </c>
      <c r="C399" s="4" t="n">
        <v>13</v>
      </c>
      <c r="D399" s="4" t="inlineStr">
        <is>
          <t>UK</t>
        </is>
      </c>
      <c r="E399" s="4" t="inlineStr">
        <is>
          <t>1 invoices</t>
        </is>
      </c>
      <c r="F399" s="6">
        <f>IF(B399="","",IFERROR(INDEX(Products!$E:$E,MATCH(B399,Products!$A:$A,0)),0))</f>
        <v/>
      </c>
      <c r="G399" s="6">
        <f>IF(B399="","",N(C399)*N(F399))</f>
        <v/>
      </c>
      <c r="H399">
        <f>IF(B399="","",IFERROR(INDEX(Products!$B:$B,MATCH(B399,Products!$A:$A,0)),"SKU not found"))</f>
        <v/>
      </c>
    </row>
    <row r="400">
      <c r="A400" s="7" t="n">
        <v>40869</v>
      </c>
      <c r="B400" s="4" t="inlineStr">
        <is>
          <t>84879</t>
        </is>
      </c>
      <c r="C400" s="4" t="n">
        <v>132</v>
      </c>
      <c r="D400" s="4" t="inlineStr">
        <is>
          <t>UK</t>
        </is>
      </c>
      <c r="E400" s="4" t="inlineStr">
        <is>
          <t>10 invoices</t>
        </is>
      </c>
      <c r="F400" s="6">
        <f>IF(B400="","",IFERROR(INDEX(Products!$E:$E,MATCH(B400,Products!$A:$A,0)),0))</f>
        <v/>
      </c>
      <c r="G400" s="6">
        <f>IF(B400="","",N(C400)*N(F400))</f>
        <v/>
      </c>
      <c r="H400">
        <f>IF(B400="","",IFERROR(INDEX(Products!$B:$B,MATCH(B400,Products!$A:$A,0)),"SKU not found"))</f>
        <v/>
      </c>
    </row>
    <row r="401">
      <c r="A401" s="7" t="n">
        <v>40869</v>
      </c>
      <c r="B401" s="4" t="inlineStr">
        <is>
          <t>85099B</t>
        </is>
      </c>
      <c r="C401" s="4" t="n">
        <v>10</v>
      </c>
      <c r="D401" s="4" t="inlineStr">
        <is>
          <t>France</t>
        </is>
      </c>
      <c r="E401" s="4" t="inlineStr">
        <is>
          <t>1 invoices</t>
        </is>
      </c>
      <c r="F401" s="6">
        <f>IF(B401="","",IFERROR(INDEX(Products!$E:$E,MATCH(B401,Products!$A:$A,0)),0))</f>
        <v/>
      </c>
      <c r="G401" s="6">
        <f>IF(B401="","",N(C401)*N(F401))</f>
        <v/>
      </c>
      <c r="H401">
        <f>IF(B401="","",IFERROR(INDEX(Products!$B:$B,MATCH(B401,Products!$A:$A,0)),"SKU not found"))</f>
        <v/>
      </c>
    </row>
    <row r="402">
      <c r="A402" s="7" t="n">
        <v>40869</v>
      </c>
      <c r="B402" s="4" t="inlineStr">
        <is>
          <t>85099B</t>
        </is>
      </c>
      <c r="C402" s="4" t="n">
        <v>122</v>
      </c>
      <c r="D402" s="4" t="inlineStr">
        <is>
          <t>UK</t>
        </is>
      </c>
      <c r="E402" s="4" t="inlineStr">
        <is>
          <t>4 invoices</t>
        </is>
      </c>
      <c r="F402" s="6">
        <f>IF(B402="","",IFERROR(INDEX(Products!$E:$E,MATCH(B402,Products!$A:$A,0)),0))</f>
        <v/>
      </c>
      <c r="G402" s="6">
        <f>IF(B402="","",N(C402)*N(F402))</f>
        <v/>
      </c>
      <c r="H402">
        <f>IF(B402="","",IFERROR(INDEX(Products!$B:$B,MATCH(B402,Products!$A:$A,0)),"SKU not found"))</f>
        <v/>
      </c>
    </row>
    <row r="403">
      <c r="A403" s="7" t="n">
        <v>40869</v>
      </c>
      <c r="B403" s="4" t="inlineStr">
        <is>
          <t>85123A</t>
        </is>
      </c>
      <c r="C403" s="4" t="n">
        <v>6</v>
      </c>
      <c r="D403" s="4" t="inlineStr">
        <is>
          <t>Other EU/Intl</t>
        </is>
      </c>
      <c r="E403" s="4" t="inlineStr">
        <is>
          <t>1 invoices</t>
        </is>
      </c>
      <c r="F403" s="6">
        <f>IF(B403="","",IFERROR(INDEX(Products!$E:$E,MATCH(B403,Products!$A:$A,0)),0))</f>
        <v/>
      </c>
      <c r="G403" s="6">
        <f>IF(B403="","",N(C403)*N(F403))</f>
        <v/>
      </c>
      <c r="H403">
        <f>IF(B403="","",IFERROR(INDEX(Products!$B:$B,MATCH(B403,Products!$A:$A,0)),"SKU not found"))</f>
        <v/>
      </c>
    </row>
    <row r="404">
      <c r="A404" s="7" t="n">
        <v>40869</v>
      </c>
      <c r="B404" s="4" t="inlineStr">
        <is>
          <t>85123A</t>
        </is>
      </c>
      <c r="C404" s="4" t="n">
        <v>87</v>
      </c>
      <c r="D404" s="4" t="inlineStr">
        <is>
          <t>UK</t>
        </is>
      </c>
      <c r="E404" s="4" t="inlineStr">
        <is>
          <t>12 invoices</t>
        </is>
      </c>
      <c r="F404" s="6">
        <f>IF(B404="","",IFERROR(INDEX(Products!$E:$E,MATCH(B404,Products!$A:$A,0)),0))</f>
        <v/>
      </c>
      <c r="G404" s="6">
        <f>IF(B404="","",N(C404)*N(F404))</f>
        <v/>
      </c>
      <c r="H404">
        <f>IF(B404="","",IFERROR(INDEX(Products!$B:$B,MATCH(B404,Products!$A:$A,0)),"SKU not found"))</f>
        <v/>
      </c>
    </row>
    <row r="405">
      <c r="A405" s="7" t="n">
        <v>40869</v>
      </c>
      <c r="B405" s="4" t="inlineStr">
        <is>
          <t>85123A</t>
        </is>
      </c>
      <c r="C405" s="4" t="n">
        <v>160</v>
      </c>
      <c r="D405" s="4" t="inlineStr">
        <is>
          <t>Ireland</t>
        </is>
      </c>
      <c r="E405" s="4" t="inlineStr">
        <is>
          <t>1 invoices</t>
        </is>
      </c>
      <c r="F405" s="6">
        <f>IF(B405="","",IFERROR(INDEX(Products!$E:$E,MATCH(B405,Products!$A:$A,0)),0))</f>
        <v/>
      </c>
      <c r="G405" s="6">
        <f>IF(B405="","",N(C405)*N(F405))</f>
        <v/>
      </c>
      <c r="H405">
        <f>IF(B405="","",IFERROR(INDEX(Products!$B:$B,MATCH(B405,Products!$A:$A,0)),"SKU not found"))</f>
        <v/>
      </c>
    </row>
    <row r="406">
      <c r="A406" s="7" t="n">
        <v>40870</v>
      </c>
      <c r="B406" s="4" t="inlineStr">
        <is>
          <t>20725</t>
        </is>
      </c>
      <c r="C406" s="4" t="n">
        <v>37</v>
      </c>
      <c r="D406" s="4" t="inlineStr">
        <is>
          <t>UK</t>
        </is>
      </c>
      <c r="E406" s="4" t="inlineStr">
        <is>
          <t>5 invoices</t>
        </is>
      </c>
      <c r="F406" s="6">
        <f>IF(B406="","",IFERROR(INDEX(Products!$E:$E,MATCH(B406,Products!$A:$A,0)),0))</f>
        <v/>
      </c>
      <c r="G406" s="6">
        <f>IF(B406="","",N(C406)*N(F406))</f>
        <v/>
      </c>
      <c r="H406">
        <f>IF(B406="","",IFERROR(INDEX(Products!$B:$B,MATCH(B406,Products!$A:$A,0)),"SKU not found"))</f>
        <v/>
      </c>
    </row>
    <row r="407">
      <c r="A407" s="7" t="n">
        <v>40870</v>
      </c>
      <c r="B407" s="4" t="inlineStr">
        <is>
          <t>20727</t>
        </is>
      </c>
      <c r="C407" s="4" t="n">
        <v>35</v>
      </c>
      <c r="D407" s="4" t="inlineStr">
        <is>
          <t>UK</t>
        </is>
      </c>
      <c r="E407" s="4" t="inlineStr">
        <is>
          <t>5 invoices</t>
        </is>
      </c>
      <c r="F407" s="6">
        <f>IF(B407="","",IFERROR(INDEX(Products!$E:$E,MATCH(B407,Products!$A:$A,0)),0))</f>
        <v/>
      </c>
      <c r="G407" s="6">
        <f>IF(B407="","",N(C407)*N(F407))</f>
        <v/>
      </c>
      <c r="H407">
        <f>IF(B407="","",IFERROR(INDEX(Products!$B:$B,MATCH(B407,Products!$A:$A,0)),"SKU not found"))</f>
        <v/>
      </c>
    </row>
    <row r="408">
      <c r="A408" s="7" t="n">
        <v>40870</v>
      </c>
      <c r="B408" s="4" t="inlineStr">
        <is>
          <t>20727</t>
        </is>
      </c>
      <c r="C408" s="4" t="n">
        <v>100</v>
      </c>
      <c r="D408" s="4" t="inlineStr">
        <is>
          <t>Other EU/Intl</t>
        </is>
      </c>
      <c r="E408" s="4" t="inlineStr">
        <is>
          <t>1 invoices</t>
        </is>
      </c>
      <c r="F408" s="6">
        <f>IF(B408="","",IFERROR(INDEX(Products!$E:$E,MATCH(B408,Products!$A:$A,0)),0))</f>
        <v/>
      </c>
      <c r="G408" s="6">
        <f>IF(B408="","",N(C408)*N(F408))</f>
        <v/>
      </c>
      <c r="H408">
        <f>IF(B408="","",IFERROR(INDEX(Products!$B:$B,MATCH(B408,Products!$A:$A,0)),"SKU not found"))</f>
        <v/>
      </c>
    </row>
    <row r="409">
      <c r="A409" s="7" t="n">
        <v>40870</v>
      </c>
      <c r="B409" s="4" t="inlineStr">
        <is>
          <t>21212</t>
        </is>
      </c>
      <c r="C409" s="4" t="n">
        <v>82</v>
      </c>
      <c r="D409" s="4" t="inlineStr">
        <is>
          <t>UK</t>
        </is>
      </c>
      <c r="E409" s="4" t="inlineStr">
        <is>
          <t>5 invoices</t>
        </is>
      </c>
      <c r="F409" s="6">
        <f>IF(B409="","",IFERROR(INDEX(Products!$E:$E,MATCH(B409,Products!$A:$A,0)),0))</f>
        <v/>
      </c>
      <c r="G409" s="6">
        <f>IF(B409="","",N(C409)*N(F409))</f>
        <v/>
      </c>
      <c r="H409">
        <f>IF(B409="","",IFERROR(INDEX(Products!$B:$B,MATCH(B409,Products!$A:$A,0)),"SKU not found"))</f>
        <v/>
      </c>
    </row>
    <row r="410">
      <c r="A410" s="7" t="n">
        <v>40870</v>
      </c>
      <c r="B410" s="4" t="inlineStr">
        <is>
          <t>21931</t>
        </is>
      </c>
      <c r="C410" s="4" t="n">
        <v>17</v>
      </c>
      <c r="D410" s="4" t="inlineStr">
        <is>
          <t>UK</t>
        </is>
      </c>
      <c r="E410" s="4" t="inlineStr">
        <is>
          <t>3 invoices</t>
        </is>
      </c>
      <c r="F410" s="6">
        <f>IF(B410="","",IFERROR(INDEX(Products!$E:$E,MATCH(B410,Products!$A:$A,0)),0))</f>
        <v/>
      </c>
      <c r="G410" s="6">
        <f>IF(B410="","",N(C410)*N(F410))</f>
        <v/>
      </c>
      <c r="H410">
        <f>IF(B410="","",IFERROR(INDEX(Products!$B:$B,MATCH(B410,Products!$A:$A,0)),"SKU not found"))</f>
        <v/>
      </c>
    </row>
    <row r="411">
      <c r="A411" s="7" t="n">
        <v>40870</v>
      </c>
      <c r="B411" s="4" t="inlineStr">
        <is>
          <t>22197</t>
        </is>
      </c>
      <c r="C411" s="4" t="n">
        <v>100</v>
      </c>
      <c r="D411" s="4" t="inlineStr">
        <is>
          <t>Other EU/Intl</t>
        </is>
      </c>
      <c r="E411" s="4" t="inlineStr">
        <is>
          <t>1 invoices</t>
        </is>
      </c>
      <c r="F411" s="6">
        <f>IF(B411="","",IFERROR(INDEX(Products!$E:$E,MATCH(B411,Products!$A:$A,0)),0))</f>
        <v/>
      </c>
      <c r="G411" s="6">
        <f>IF(B411="","",N(C411)*N(F411))</f>
        <v/>
      </c>
      <c r="H411">
        <f>IF(B411="","",IFERROR(INDEX(Products!$B:$B,MATCH(B411,Products!$A:$A,0)),"SKU not found"))</f>
        <v/>
      </c>
    </row>
    <row r="412">
      <c r="A412" s="7" t="n">
        <v>40870</v>
      </c>
      <c r="B412" s="4" t="inlineStr">
        <is>
          <t>22197</t>
        </is>
      </c>
      <c r="C412" s="4" t="n">
        <v>397</v>
      </c>
      <c r="D412" s="4" t="inlineStr">
        <is>
          <t>UK</t>
        </is>
      </c>
      <c r="E412" s="4" t="inlineStr">
        <is>
          <t>11 invoices</t>
        </is>
      </c>
      <c r="F412" s="6">
        <f>IF(B412="","",IFERROR(INDEX(Products!$E:$E,MATCH(B412,Products!$A:$A,0)),0))</f>
        <v/>
      </c>
      <c r="G412" s="6">
        <f>IF(B412="","",N(C412)*N(F412))</f>
        <v/>
      </c>
      <c r="H412">
        <f>IF(B412="","",IFERROR(INDEX(Products!$B:$B,MATCH(B412,Products!$A:$A,0)),"SKU not found"))</f>
        <v/>
      </c>
    </row>
    <row r="413">
      <c r="A413" s="7" t="n">
        <v>40870</v>
      </c>
      <c r="B413" s="4" t="inlineStr">
        <is>
          <t>22383</t>
        </is>
      </c>
      <c r="C413" s="4" t="n">
        <v>53</v>
      </c>
      <c r="D413" s="4" t="inlineStr">
        <is>
          <t>UK</t>
        </is>
      </c>
      <c r="E413" s="4" t="inlineStr">
        <is>
          <t>7 invoices</t>
        </is>
      </c>
      <c r="F413" s="6">
        <f>IF(B413="","",IFERROR(INDEX(Products!$E:$E,MATCH(B413,Products!$A:$A,0)),0))</f>
        <v/>
      </c>
      <c r="G413" s="6">
        <f>IF(B413="","",N(C413)*N(F413))</f>
        <v/>
      </c>
      <c r="H413">
        <f>IF(B413="","",IFERROR(INDEX(Products!$B:$B,MATCH(B413,Products!$A:$A,0)),"SKU not found"))</f>
        <v/>
      </c>
    </row>
    <row r="414">
      <c r="A414" s="7" t="n">
        <v>40870</v>
      </c>
      <c r="B414" s="4" t="inlineStr">
        <is>
          <t>22383</t>
        </is>
      </c>
      <c r="C414" s="4" t="n">
        <v>100</v>
      </c>
      <c r="D414" s="4" t="inlineStr">
        <is>
          <t>Other EU/Intl</t>
        </is>
      </c>
      <c r="E414" s="4" t="inlineStr">
        <is>
          <t>1 invoices</t>
        </is>
      </c>
      <c r="F414" s="6">
        <f>IF(B414="","",IFERROR(INDEX(Products!$E:$E,MATCH(B414,Products!$A:$A,0)),0))</f>
        <v/>
      </c>
      <c r="G414" s="6">
        <f>IF(B414="","",N(C414)*N(F414))</f>
        <v/>
      </c>
      <c r="H414">
        <f>IF(B414="","",IFERROR(INDEX(Products!$B:$B,MATCH(B414,Products!$A:$A,0)),"SKU not found"))</f>
        <v/>
      </c>
    </row>
    <row r="415">
      <c r="A415" s="7" t="n">
        <v>40870</v>
      </c>
      <c r="B415" s="4" t="inlineStr">
        <is>
          <t>22386</t>
        </is>
      </c>
      <c r="C415" s="4" t="n">
        <v>29</v>
      </c>
      <c r="D415" s="4" t="inlineStr">
        <is>
          <t>UK</t>
        </is>
      </c>
      <c r="E415" s="4" t="inlineStr">
        <is>
          <t>4 invoices</t>
        </is>
      </c>
      <c r="F415" s="6">
        <f>IF(B415="","",IFERROR(INDEX(Products!$E:$E,MATCH(B415,Products!$A:$A,0)),0))</f>
        <v/>
      </c>
      <c r="G415" s="6">
        <f>IF(B415="","",N(C415)*N(F415))</f>
        <v/>
      </c>
      <c r="H415">
        <f>IF(B415="","",IFERROR(INDEX(Products!$B:$B,MATCH(B415,Products!$A:$A,0)),"SKU not found"))</f>
        <v/>
      </c>
    </row>
    <row r="416">
      <c r="A416" s="7" t="n">
        <v>40870</v>
      </c>
      <c r="B416" s="4" t="inlineStr">
        <is>
          <t>22423</t>
        </is>
      </c>
      <c r="C416" s="4" t="n">
        <v>47</v>
      </c>
      <c r="D416" s="4" t="inlineStr">
        <is>
          <t>UK</t>
        </is>
      </c>
      <c r="E416" s="4" t="inlineStr">
        <is>
          <t>9 invoices</t>
        </is>
      </c>
      <c r="F416" s="6">
        <f>IF(B416="","",IFERROR(INDEX(Products!$E:$E,MATCH(B416,Products!$A:$A,0)),0))</f>
        <v/>
      </c>
      <c r="G416" s="6">
        <f>IF(B416="","",N(C416)*N(F416))</f>
        <v/>
      </c>
      <c r="H416">
        <f>IF(B416="","",IFERROR(INDEX(Products!$B:$B,MATCH(B416,Products!$A:$A,0)),"SKU not found"))</f>
        <v/>
      </c>
    </row>
    <row r="417">
      <c r="A417" s="7" t="n">
        <v>40870</v>
      </c>
      <c r="B417" s="4" t="inlineStr">
        <is>
          <t>22457</t>
        </is>
      </c>
      <c r="C417" s="4" t="n">
        <v>23</v>
      </c>
      <c r="D417" s="4" t="inlineStr">
        <is>
          <t>UK</t>
        </is>
      </c>
      <c r="E417" s="4" t="inlineStr">
        <is>
          <t>4 invoices</t>
        </is>
      </c>
      <c r="F417" s="6">
        <f>IF(B417="","",IFERROR(INDEX(Products!$E:$E,MATCH(B417,Products!$A:$A,0)),0))</f>
        <v/>
      </c>
      <c r="G417" s="6">
        <f>IF(B417="","",N(C417)*N(F417))</f>
        <v/>
      </c>
      <c r="H417">
        <f>IF(B417="","",IFERROR(INDEX(Products!$B:$B,MATCH(B417,Products!$A:$A,0)),"SKU not found"))</f>
        <v/>
      </c>
    </row>
    <row r="418">
      <c r="A418" s="7" t="n">
        <v>40870</v>
      </c>
      <c r="B418" s="4" t="inlineStr">
        <is>
          <t>22469</t>
        </is>
      </c>
      <c r="C418" s="4" t="n">
        <v>81</v>
      </c>
      <c r="D418" s="4" t="inlineStr">
        <is>
          <t>UK</t>
        </is>
      </c>
      <c r="E418" s="4" t="inlineStr">
        <is>
          <t>5 invoices</t>
        </is>
      </c>
      <c r="F418" s="6">
        <f>IF(B418="","",IFERROR(INDEX(Products!$E:$E,MATCH(B418,Products!$A:$A,0)),0))</f>
        <v/>
      </c>
      <c r="G418" s="6">
        <f>IF(B418="","",N(C418)*N(F418))</f>
        <v/>
      </c>
      <c r="H418">
        <f>IF(B418="","",IFERROR(INDEX(Products!$B:$B,MATCH(B418,Products!$A:$A,0)),"SKU not found"))</f>
        <v/>
      </c>
    </row>
    <row r="419">
      <c r="A419" s="7" t="n">
        <v>40870</v>
      </c>
      <c r="B419" s="4" t="inlineStr">
        <is>
          <t>22720</t>
        </is>
      </c>
      <c r="C419" s="4" t="n">
        <v>26</v>
      </c>
      <c r="D419" s="4" t="inlineStr">
        <is>
          <t>UK</t>
        </is>
      </c>
      <c r="E419" s="4" t="inlineStr">
        <is>
          <t>7 invoices</t>
        </is>
      </c>
      <c r="F419" s="6">
        <f>IF(B419="","",IFERROR(INDEX(Products!$E:$E,MATCH(B419,Products!$A:$A,0)),0))</f>
        <v/>
      </c>
      <c r="G419" s="6">
        <f>IF(B419="","",N(C419)*N(F419))</f>
        <v/>
      </c>
      <c r="H419">
        <f>IF(B419="","",IFERROR(INDEX(Products!$B:$B,MATCH(B419,Products!$A:$A,0)),"SKU not found"))</f>
        <v/>
      </c>
    </row>
    <row r="420">
      <c r="A420" s="7" t="n">
        <v>40870</v>
      </c>
      <c r="B420" s="4" t="inlineStr">
        <is>
          <t>47566</t>
        </is>
      </c>
      <c r="C420" s="4" t="n">
        <v>32</v>
      </c>
      <c r="D420" s="4" t="inlineStr">
        <is>
          <t>UK</t>
        </is>
      </c>
      <c r="E420" s="4" t="inlineStr">
        <is>
          <t>6 invoices</t>
        </is>
      </c>
      <c r="F420" s="6">
        <f>IF(B420="","",IFERROR(INDEX(Products!$E:$E,MATCH(B420,Products!$A:$A,0)),0))</f>
        <v/>
      </c>
      <c r="G420" s="6">
        <f>IF(B420="","",N(C420)*N(F420))</f>
        <v/>
      </c>
      <c r="H420">
        <f>IF(B420="","",IFERROR(INDEX(Products!$B:$B,MATCH(B420,Products!$A:$A,0)),"SKU not found"))</f>
        <v/>
      </c>
    </row>
    <row r="421">
      <c r="A421" s="7" t="n">
        <v>40870</v>
      </c>
      <c r="B421" s="4" t="inlineStr">
        <is>
          <t>84879</t>
        </is>
      </c>
      <c r="C421" s="4" t="n">
        <v>80</v>
      </c>
      <c r="D421" s="4" t="inlineStr">
        <is>
          <t>UK</t>
        </is>
      </c>
      <c r="E421" s="4" t="inlineStr">
        <is>
          <t>6 invoices</t>
        </is>
      </c>
      <c r="F421" s="6">
        <f>IF(B421="","",IFERROR(INDEX(Products!$E:$E,MATCH(B421,Products!$A:$A,0)),0))</f>
        <v/>
      </c>
      <c r="G421" s="6">
        <f>IF(B421="","",N(C421)*N(F421))</f>
        <v/>
      </c>
      <c r="H421">
        <f>IF(B421="","",IFERROR(INDEX(Products!$B:$B,MATCH(B421,Products!$A:$A,0)),"SKU not found"))</f>
        <v/>
      </c>
    </row>
    <row r="422">
      <c r="A422" s="7" t="n">
        <v>40870</v>
      </c>
      <c r="B422" s="4" t="inlineStr">
        <is>
          <t>85099B</t>
        </is>
      </c>
      <c r="C422" s="4" t="n">
        <v>146</v>
      </c>
      <c r="D422" s="4" t="inlineStr">
        <is>
          <t>UK</t>
        </is>
      </c>
      <c r="E422" s="4" t="inlineStr">
        <is>
          <t>6 invoices</t>
        </is>
      </c>
      <c r="F422" s="6">
        <f>IF(B422="","",IFERROR(INDEX(Products!$E:$E,MATCH(B422,Products!$A:$A,0)),0))</f>
        <v/>
      </c>
      <c r="G422" s="6">
        <f>IF(B422="","",N(C422)*N(F422))</f>
        <v/>
      </c>
      <c r="H422">
        <f>IF(B422="","",IFERROR(INDEX(Products!$B:$B,MATCH(B422,Products!$A:$A,0)),"SKU not found"))</f>
        <v/>
      </c>
    </row>
    <row r="423">
      <c r="A423" s="7" t="n">
        <v>40870</v>
      </c>
      <c r="B423" s="4" t="inlineStr">
        <is>
          <t>85123A</t>
        </is>
      </c>
      <c r="C423" s="4" t="n">
        <v>88</v>
      </c>
      <c r="D423" s="4" t="inlineStr">
        <is>
          <t>UK</t>
        </is>
      </c>
      <c r="E423" s="4" t="inlineStr">
        <is>
          <t>8 invoices</t>
        </is>
      </c>
      <c r="F423" s="6">
        <f>IF(B423="","",IFERROR(INDEX(Products!$E:$E,MATCH(B423,Products!$A:$A,0)),0))</f>
        <v/>
      </c>
      <c r="G423" s="6">
        <f>IF(B423="","",N(C423)*N(F423))</f>
        <v/>
      </c>
      <c r="H423">
        <f>IF(B423="","",IFERROR(INDEX(Products!$B:$B,MATCH(B423,Products!$A:$A,0)),"SKU not found"))</f>
        <v/>
      </c>
    </row>
    <row r="424">
      <c r="A424" s="7" t="n">
        <v>40870</v>
      </c>
      <c r="B424" s="4" t="inlineStr">
        <is>
          <t>85123A</t>
        </is>
      </c>
      <c r="C424" s="4" t="n">
        <v>160</v>
      </c>
      <c r="D424" s="4" t="inlineStr">
        <is>
          <t>Other EU/Intl</t>
        </is>
      </c>
      <c r="E424" s="4" t="inlineStr">
        <is>
          <t>1 invoices</t>
        </is>
      </c>
      <c r="F424" s="6">
        <f>IF(B424="","",IFERROR(INDEX(Products!$E:$E,MATCH(B424,Products!$A:$A,0)),0))</f>
        <v/>
      </c>
      <c r="G424" s="6">
        <f>IF(B424="","",N(C424)*N(F424))</f>
        <v/>
      </c>
      <c r="H424">
        <f>IF(B424="","",IFERROR(INDEX(Products!$B:$B,MATCH(B424,Products!$A:$A,0)),"SKU not found"))</f>
        <v/>
      </c>
    </row>
    <row r="425">
      <c r="A425" s="7" t="n">
        <v>40871</v>
      </c>
      <c r="B425" s="4" t="inlineStr">
        <is>
          <t>20725</t>
        </is>
      </c>
      <c r="C425" s="4" t="n">
        <v>44</v>
      </c>
      <c r="D425" s="4" t="inlineStr">
        <is>
          <t>UK</t>
        </is>
      </c>
      <c r="E425" s="4" t="inlineStr">
        <is>
          <t>6 invoices</t>
        </is>
      </c>
      <c r="F425" s="6">
        <f>IF(B425="","",IFERROR(INDEX(Products!$E:$E,MATCH(B425,Products!$A:$A,0)),0))</f>
        <v/>
      </c>
      <c r="G425" s="6">
        <f>IF(B425="","",N(C425)*N(F425))</f>
        <v/>
      </c>
      <c r="H425">
        <f>IF(B425="","",IFERROR(INDEX(Products!$B:$B,MATCH(B425,Products!$A:$A,0)),"SKU not found"))</f>
        <v/>
      </c>
    </row>
    <row r="426">
      <c r="A426" s="7" t="n">
        <v>40871</v>
      </c>
      <c r="B426" s="4" t="inlineStr">
        <is>
          <t>20727</t>
        </is>
      </c>
      <c r="C426" s="4" t="n">
        <v>72</v>
      </c>
      <c r="D426" s="4" t="inlineStr">
        <is>
          <t>UK</t>
        </is>
      </c>
      <c r="E426" s="4" t="inlineStr">
        <is>
          <t>10 invoices</t>
        </is>
      </c>
      <c r="F426" s="6">
        <f>IF(B426="","",IFERROR(INDEX(Products!$E:$E,MATCH(B426,Products!$A:$A,0)),0))</f>
        <v/>
      </c>
      <c r="G426" s="6">
        <f>IF(B426="","",N(C426)*N(F426))</f>
        <v/>
      </c>
      <c r="H426">
        <f>IF(B426="","",IFERROR(INDEX(Products!$B:$B,MATCH(B426,Products!$A:$A,0)),"SKU not found"))</f>
        <v/>
      </c>
    </row>
    <row r="427">
      <c r="A427" s="7" t="n">
        <v>40871</v>
      </c>
      <c r="B427" s="4" t="inlineStr">
        <is>
          <t>21212</t>
        </is>
      </c>
      <c r="C427" s="4" t="n">
        <v>1</v>
      </c>
      <c r="D427" s="4" t="inlineStr">
        <is>
          <t>UK</t>
        </is>
      </c>
      <c r="E427" s="4" t="inlineStr">
        <is>
          <t>1 invoices</t>
        </is>
      </c>
      <c r="F427" s="6">
        <f>IF(B427="","",IFERROR(INDEX(Products!$E:$E,MATCH(B427,Products!$A:$A,0)),0))</f>
        <v/>
      </c>
      <c r="G427" s="6">
        <f>IF(B427="","",N(C427)*N(F427))</f>
        <v/>
      </c>
      <c r="H427">
        <f>IF(B427="","",IFERROR(INDEX(Products!$B:$B,MATCH(B427,Products!$A:$A,0)),"SKU not found"))</f>
        <v/>
      </c>
    </row>
    <row r="428">
      <c r="A428" s="7" t="n">
        <v>40871</v>
      </c>
      <c r="B428" s="4" t="inlineStr">
        <is>
          <t>21931</t>
        </is>
      </c>
      <c r="C428" s="4" t="n">
        <v>3</v>
      </c>
      <c r="D428" s="4" t="inlineStr">
        <is>
          <t>France</t>
        </is>
      </c>
      <c r="E428" s="4" t="inlineStr">
        <is>
          <t>1 invoices</t>
        </is>
      </c>
      <c r="F428" s="6">
        <f>IF(B428="","",IFERROR(INDEX(Products!$E:$E,MATCH(B428,Products!$A:$A,0)),0))</f>
        <v/>
      </c>
      <c r="G428" s="6">
        <f>IF(B428="","",N(C428)*N(F428))</f>
        <v/>
      </c>
      <c r="H428">
        <f>IF(B428="","",IFERROR(INDEX(Products!$B:$B,MATCH(B428,Products!$A:$A,0)),"SKU not found"))</f>
        <v/>
      </c>
    </row>
    <row r="429">
      <c r="A429" s="7" t="n">
        <v>40871</v>
      </c>
      <c r="B429" s="4" t="inlineStr">
        <is>
          <t>21931</t>
        </is>
      </c>
      <c r="C429" s="4" t="n">
        <v>122</v>
      </c>
      <c r="D429" s="4" t="inlineStr">
        <is>
          <t>UK</t>
        </is>
      </c>
      <c r="E429" s="4" t="inlineStr">
        <is>
          <t>4 invoices</t>
        </is>
      </c>
      <c r="F429" s="6">
        <f>IF(B429="","",IFERROR(INDEX(Products!$E:$E,MATCH(B429,Products!$A:$A,0)),0))</f>
        <v/>
      </c>
      <c r="G429" s="6">
        <f>IF(B429="","",N(C429)*N(F429))</f>
        <v/>
      </c>
      <c r="H429">
        <f>IF(B429="","",IFERROR(INDEX(Products!$B:$B,MATCH(B429,Products!$A:$A,0)),"SKU not found"))</f>
        <v/>
      </c>
    </row>
    <row r="430">
      <c r="A430" s="7" t="n">
        <v>40871</v>
      </c>
      <c r="B430" s="4" t="inlineStr">
        <is>
          <t>22197</t>
        </is>
      </c>
      <c r="C430" s="4" t="n">
        <v>558</v>
      </c>
      <c r="D430" s="4" t="inlineStr">
        <is>
          <t>UK</t>
        </is>
      </c>
      <c r="E430" s="4" t="inlineStr">
        <is>
          <t>9 invoices</t>
        </is>
      </c>
      <c r="F430" s="6">
        <f>IF(B430="","",IFERROR(INDEX(Products!$E:$E,MATCH(B430,Products!$A:$A,0)),0))</f>
        <v/>
      </c>
      <c r="G430" s="6">
        <f>IF(B430="","",N(C430)*N(F430))</f>
        <v/>
      </c>
      <c r="H430">
        <f>IF(B430="","",IFERROR(INDEX(Products!$B:$B,MATCH(B430,Products!$A:$A,0)),"SKU not found"))</f>
        <v/>
      </c>
    </row>
    <row r="431">
      <c r="A431" s="7" t="n">
        <v>40871</v>
      </c>
      <c r="B431" s="4" t="inlineStr">
        <is>
          <t>22383</t>
        </is>
      </c>
      <c r="C431" s="4" t="n">
        <v>10</v>
      </c>
      <c r="D431" s="4" t="inlineStr">
        <is>
          <t>Other EU/Intl</t>
        </is>
      </c>
      <c r="E431" s="4" t="inlineStr">
        <is>
          <t>1 invoices</t>
        </is>
      </c>
      <c r="F431" s="6">
        <f>IF(B431="","",IFERROR(INDEX(Products!$E:$E,MATCH(B431,Products!$A:$A,0)),0))</f>
        <v/>
      </c>
      <c r="G431" s="6">
        <f>IF(B431="","",N(C431)*N(F431))</f>
        <v/>
      </c>
      <c r="H431">
        <f>IF(B431="","",IFERROR(INDEX(Products!$B:$B,MATCH(B431,Products!$A:$A,0)),"SKU not found"))</f>
        <v/>
      </c>
    </row>
    <row r="432">
      <c r="A432" s="7" t="n">
        <v>40871</v>
      </c>
      <c r="B432" s="4" t="inlineStr">
        <is>
          <t>22383</t>
        </is>
      </c>
      <c r="C432" s="4" t="n">
        <v>13</v>
      </c>
      <c r="D432" s="4" t="inlineStr">
        <is>
          <t>UK</t>
        </is>
      </c>
      <c r="E432" s="4" t="inlineStr">
        <is>
          <t>4 invoices</t>
        </is>
      </c>
      <c r="F432" s="6">
        <f>IF(B432="","",IFERROR(INDEX(Products!$E:$E,MATCH(B432,Products!$A:$A,0)),0))</f>
        <v/>
      </c>
      <c r="G432" s="6">
        <f>IF(B432="","",N(C432)*N(F432))</f>
        <v/>
      </c>
      <c r="H432">
        <f>IF(B432="","",IFERROR(INDEX(Products!$B:$B,MATCH(B432,Products!$A:$A,0)),"SKU not found"))</f>
        <v/>
      </c>
    </row>
    <row r="433">
      <c r="A433" s="7" t="n">
        <v>40871</v>
      </c>
      <c r="B433" s="4" t="inlineStr">
        <is>
          <t>22386</t>
        </is>
      </c>
      <c r="C433" s="4" t="n">
        <v>33</v>
      </c>
      <c r="D433" s="4" t="inlineStr">
        <is>
          <t>UK</t>
        </is>
      </c>
      <c r="E433" s="4" t="inlineStr">
        <is>
          <t>6 invoices</t>
        </is>
      </c>
      <c r="F433" s="6">
        <f>IF(B433="","",IFERROR(INDEX(Products!$E:$E,MATCH(B433,Products!$A:$A,0)),0))</f>
        <v/>
      </c>
      <c r="G433" s="6">
        <f>IF(B433="","",N(C433)*N(F433))</f>
        <v/>
      </c>
      <c r="H433">
        <f>IF(B433="","",IFERROR(INDEX(Products!$B:$B,MATCH(B433,Products!$A:$A,0)),"SKU not found"))</f>
        <v/>
      </c>
    </row>
    <row r="434">
      <c r="A434" s="7" t="n">
        <v>40871</v>
      </c>
      <c r="B434" s="4" t="inlineStr">
        <is>
          <t>22423</t>
        </is>
      </c>
      <c r="C434" s="4" t="n">
        <v>2</v>
      </c>
      <c r="D434" s="4" t="inlineStr">
        <is>
          <t>Ireland</t>
        </is>
      </c>
      <c r="E434" s="4" t="inlineStr">
        <is>
          <t>1 invoices</t>
        </is>
      </c>
      <c r="F434" s="6">
        <f>IF(B434="","",IFERROR(INDEX(Products!$E:$E,MATCH(B434,Products!$A:$A,0)),0))</f>
        <v/>
      </c>
      <c r="G434" s="6">
        <f>IF(B434="","",N(C434)*N(F434))</f>
        <v/>
      </c>
      <c r="H434">
        <f>IF(B434="","",IFERROR(INDEX(Products!$B:$B,MATCH(B434,Products!$A:$A,0)),"SKU not found"))</f>
        <v/>
      </c>
    </row>
    <row r="435">
      <c r="A435" s="7" t="n">
        <v>40871</v>
      </c>
      <c r="B435" s="4" t="inlineStr">
        <is>
          <t>22423</t>
        </is>
      </c>
      <c r="C435" s="4" t="n">
        <v>32</v>
      </c>
      <c r="D435" s="4" t="inlineStr">
        <is>
          <t>UK</t>
        </is>
      </c>
      <c r="E435" s="4" t="inlineStr">
        <is>
          <t>8 invoices</t>
        </is>
      </c>
      <c r="F435" s="6">
        <f>IF(B435="","",IFERROR(INDEX(Products!$E:$E,MATCH(B435,Products!$A:$A,0)),0))</f>
        <v/>
      </c>
      <c r="G435" s="6">
        <f>IF(B435="","",N(C435)*N(F435))</f>
        <v/>
      </c>
      <c r="H435">
        <f>IF(B435="","",IFERROR(INDEX(Products!$B:$B,MATCH(B435,Products!$A:$A,0)),"SKU not found"))</f>
        <v/>
      </c>
    </row>
    <row r="436">
      <c r="A436" s="7" t="n">
        <v>40871</v>
      </c>
      <c r="B436" s="4" t="inlineStr">
        <is>
          <t>22423</t>
        </is>
      </c>
      <c r="C436" s="4" t="n">
        <v>48</v>
      </c>
      <c r="D436" s="4" t="inlineStr">
        <is>
          <t>Germany</t>
        </is>
      </c>
      <c r="E436" s="4" t="inlineStr">
        <is>
          <t>2 invoices</t>
        </is>
      </c>
      <c r="F436" s="6">
        <f>IF(B436="","",IFERROR(INDEX(Products!$E:$E,MATCH(B436,Products!$A:$A,0)),0))</f>
        <v/>
      </c>
      <c r="G436" s="6">
        <f>IF(B436="","",N(C436)*N(F436))</f>
        <v/>
      </c>
      <c r="H436">
        <f>IF(B436="","",IFERROR(INDEX(Products!$B:$B,MATCH(B436,Products!$A:$A,0)),"SKU not found"))</f>
        <v/>
      </c>
    </row>
    <row r="437">
      <c r="A437" s="7" t="n">
        <v>40871</v>
      </c>
      <c r="B437" s="4" t="inlineStr">
        <is>
          <t>22457</t>
        </is>
      </c>
      <c r="C437" s="4" t="n">
        <v>54</v>
      </c>
      <c r="D437" s="4" t="inlineStr">
        <is>
          <t>UK</t>
        </is>
      </c>
      <c r="E437" s="4" t="inlineStr">
        <is>
          <t>8 invoices</t>
        </is>
      </c>
      <c r="F437" s="6">
        <f>IF(B437="","",IFERROR(INDEX(Products!$E:$E,MATCH(B437,Products!$A:$A,0)),0))</f>
        <v/>
      </c>
      <c r="G437" s="6">
        <f>IF(B437="","",N(C437)*N(F437))</f>
        <v/>
      </c>
      <c r="H437">
        <f>IF(B437="","",IFERROR(INDEX(Products!$B:$B,MATCH(B437,Products!$A:$A,0)),"SKU not found"))</f>
        <v/>
      </c>
    </row>
    <row r="438">
      <c r="A438" s="7" t="n">
        <v>40871</v>
      </c>
      <c r="B438" s="4" t="inlineStr">
        <is>
          <t>22469</t>
        </is>
      </c>
      <c r="C438" s="4" t="n">
        <v>19</v>
      </c>
      <c r="D438" s="4" t="inlineStr">
        <is>
          <t>UK</t>
        </is>
      </c>
      <c r="E438" s="4" t="inlineStr">
        <is>
          <t>3 invoices</t>
        </is>
      </c>
      <c r="F438" s="6">
        <f>IF(B438="","",IFERROR(INDEX(Products!$E:$E,MATCH(B438,Products!$A:$A,0)),0))</f>
        <v/>
      </c>
      <c r="G438" s="6">
        <f>IF(B438="","",N(C438)*N(F438))</f>
        <v/>
      </c>
      <c r="H438">
        <f>IF(B438="","",IFERROR(INDEX(Products!$B:$B,MATCH(B438,Products!$A:$A,0)),"SKU not found"))</f>
        <v/>
      </c>
    </row>
    <row r="439">
      <c r="A439" s="7" t="n">
        <v>40871</v>
      </c>
      <c r="B439" s="4" t="inlineStr">
        <is>
          <t>22720</t>
        </is>
      </c>
      <c r="C439" s="4" t="n">
        <v>3</v>
      </c>
      <c r="D439" s="4" t="inlineStr">
        <is>
          <t>Germany</t>
        </is>
      </c>
      <c r="E439" s="4" t="inlineStr">
        <is>
          <t>1 invoices</t>
        </is>
      </c>
      <c r="F439" s="6">
        <f>IF(B439="","",IFERROR(INDEX(Products!$E:$E,MATCH(B439,Products!$A:$A,0)),0))</f>
        <v/>
      </c>
      <c r="G439" s="6">
        <f>IF(B439="","",N(C439)*N(F439))</f>
        <v/>
      </c>
      <c r="H439">
        <f>IF(B439="","",IFERROR(INDEX(Products!$B:$B,MATCH(B439,Products!$A:$A,0)),"SKU not found"))</f>
        <v/>
      </c>
    </row>
    <row r="440">
      <c r="A440" s="7" t="n">
        <v>40871</v>
      </c>
      <c r="B440" s="4" t="inlineStr">
        <is>
          <t>22720</t>
        </is>
      </c>
      <c r="C440" s="4" t="n">
        <v>15</v>
      </c>
      <c r="D440" s="4" t="inlineStr">
        <is>
          <t>UK</t>
        </is>
      </c>
      <c r="E440" s="4" t="inlineStr">
        <is>
          <t>8 invoices</t>
        </is>
      </c>
      <c r="F440" s="6">
        <f>IF(B440="","",IFERROR(INDEX(Products!$E:$E,MATCH(B440,Products!$A:$A,0)),0))</f>
        <v/>
      </c>
      <c r="G440" s="6">
        <f>IF(B440="","",N(C440)*N(F440))</f>
        <v/>
      </c>
      <c r="H440">
        <f>IF(B440="","",IFERROR(INDEX(Products!$B:$B,MATCH(B440,Products!$A:$A,0)),"SKU not found"))</f>
        <v/>
      </c>
    </row>
    <row r="441">
      <c r="A441" s="7" t="n">
        <v>40871</v>
      </c>
      <c r="B441" s="4" t="inlineStr">
        <is>
          <t>47566</t>
        </is>
      </c>
      <c r="C441" s="4" t="n">
        <v>56</v>
      </c>
      <c r="D441" s="4" t="inlineStr">
        <is>
          <t>UK</t>
        </is>
      </c>
      <c r="E441" s="4" t="inlineStr">
        <is>
          <t>4 invoices</t>
        </is>
      </c>
      <c r="F441" s="6">
        <f>IF(B441="","",IFERROR(INDEX(Products!$E:$E,MATCH(B441,Products!$A:$A,0)),0))</f>
        <v/>
      </c>
      <c r="G441" s="6">
        <f>IF(B441="","",N(C441)*N(F441))</f>
        <v/>
      </c>
      <c r="H441">
        <f>IF(B441="","",IFERROR(INDEX(Products!$B:$B,MATCH(B441,Products!$A:$A,0)),"SKU not found"))</f>
        <v/>
      </c>
    </row>
    <row r="442">
      <c r="A442" s="7" t="n">
        <v>40871</v>
      </c>
      <c r="B442" s="4" t="inlineStr">
        <is>
          <t>84879</t>
        </is>
      </c>
      <c r="C442" s="4" t="n">
        <v>8</v>
      </c>
      <c r="D442" s="4" t="inlineStr">
        <is>
          <t>Other EU/Intl</t>
        </is>
      </c>
      <c r="E442" s="4" t="inlineStr">
        <is>
          <t>1 invoices</t>
        </is>
      </c>
      <c r="F442" s="6">
        <f>IF(B442="","",IFERROR(INDEX(Products!$E:$E,MATCH(B442,Products!$A:$A,0)),0))</f>
        <v/>
      </c>
      <c r="G442" s="6">
        <f>IF(B442="","",N(C442)*N(F442))</f>
        <v/>
      </c>
      <c r="H442">
        <f>IF(B442="","",IFERROR(INDEX(Products!$B:$B,MATCH(B442,Products!$A:$A,0)),"SKU not found"))</f>
        <v/>
      </c>
    </row>
    <row r="443">
      <c r="A443" s="7" t="n">
        <v>40871</v>
      </c>
      <c r="B443" s="4" t="inlineStr">
        <is>
          <t>84879</t>
        </is>
      </c>
      <c r="C443" s="4" t="n">
        <v>32</v>
      </c>
      <c r="D443" s="4" t="inlineStr">
        <is>
          <t>France</t>
        </is>
      </c>
      <c r="E443" s="4" t="inlineStr">
        <is>
          <t>1 invoices</t>
        </is>
      </c>
      <c r="F443" s="6">
        <f>IF(B443="","",IFERROR(INDEX(Products!$E:$E,MATCH(B443,Products!$A:$A,0)),0))</f>
        <v/>
      </c>
      <c r="G443" s="6">
        <f>IF(B443="","",N(C443)*N(F443))</f>
        <v/>
      </c>
      <c r="H443">
        <f>IF(B443="","",IFERROR(INDEX(Products!$B:$B,MATCH(B443,Products!$A:$A,0)),"SKU not found"))</f>
        <v/>
      </c>
    </row>
    <row r="444">
      <c r="A444" s="7" t="n">
        <v>40871</v>
      </c>
      <c r="B444" s="4" t="inlineStr">
        <is>
          <t>84879</t>
        </is>
      </c>
      <c r="C444" s="4" t="n">
        <v>40</v>
      </c>
      <c r="D444" s="4" t="inlineStr">
        <is>
          <t>Germany</t>
        </is>
      </c>
      <c r="E444" s="4" t="inlineStr">
        <is>
          <t>1 invoices</t>
        </is>
      </c>
      <c r="F444" s="6">
        <f>IF(B444="","",IFERROR(INDEX(Products!$E:$E,MATCH(B444,Products!$A:$A,0)),0))</f>
        <v/>
      </c>
      <c r="G444" s="6">
        <f>IF(B444="","",N(C444)*N(F444))</f>
        <v/>
      </c>
      <c r="H444">
        <f>IF(B444="","",IFERROR(INDEX(Products!$B:$B,MATCH(B444,Products!$A:$A,0)),"SKU not found"))</f>
        <v/>
      </c>
    </row>
    <row r="445">
      <c r="A445" s="7" t="n">
        <v>40871</v>
      </c>
      <c r="B445" s="4" t="inlineStr">
        <is>
          <t>84879</t>
        </is>
      </c>
      <c r="C445" s="4" t="n">
        <v>275</v>
      </c>
      <c r="D445" s="4" t="inlineStr">
        <is>
          <t>UK</t>
        </is>
      </c>
      <c r="E445" s="4" t="inlineStr">
        <is>
          <t>11 invoices</t>
        </is>
      </c>
      <c r="F445" s="6">
        <f>IF(B445="","",IFERROR(INDEX(Products!$E:$E,MATCH(B445,Products!$A:$A,0)),0))</f>
        <v/>
      </c>
      <c r="G445" s="6">
        <f>IF(B445="","",N(C445)*N(F445))</f>
        <v/>
      </c>
      <c r="H445">
        <f>IF(B445="","",IFERROR(INDEX(Products!$B:$B,MATCH(B445,Products!$A:$A,0)),"SKU not found"))</f>
        <v/>
      </c>
    </row>
    <row r="446">
      <c r="A446" s="7" t="n">
        <v>40871</v>
      </c>
      <c r="B446" s="4" t="inlineStr">
        <is>
          <t>85099B</t>
        </is>
      </c>
      <c r="C446" s="4" t="n">
        <v>6</v>
      </c>
      <c r="D446" s="4" t="inlineStr">
        <is>
          <t>France</t>
        </is>
      </c>
      <c r="E446" s="4" t="inlineStr">
        <is>
          <t>1 invoices</t>
        </is>
      </c>
      <c r="F446" s="6">
        <f>IF(B446="","",IFERROR(INDEX(Products!$E:$E,MATCH(B446,Products!$A:$A,0)),0))</f>
        <v/>
      </c>
      <c r="G446" s="6">
        <f>IF(B446="","",N(C446)*N(F446))</f>
        <v/>
      </c>
      <c r="H446">
        <f>IF(B446="","",IFERROR(INDEX(Products!$B:$B,MATCH(B446,Products!$A:$A,0)),"SKU not found"))</f>
        <v/>
      </c>
    </row>
    <row r="447">
      <c r="A447" s="7" t="n">
        <v>40871</v>
      </c>
      <c r="B447" s="4" t="inlineStr">
        <is>
          <t>85099B</t>
        </is>
      </c>
      <c r="C447" s="4" t="n">
        <v>10</v>
      </c>
      <c r="D447" s="4" t="inlineStr">
        <is>
          <t>Germany</t>
        </is>
      </c>
      <c r="E447" s="4" t="inlineStr">
        <is>
          <t>1 invoices</t>
        </is>
      </c>
      <c r="F447" s="6">
        <f>IF(B447="","",IFERROR(INDEX(Products!$E:$E,MATCH(B447,Products!$A:$A,0)),0))</f>
        <v/>
      </c>
      <c r="G447" s="6">
        <f>IF(B447="","",N(C447)*N(F447))</f>
        <v/>
      </c>
      <c r="H447">
        <f>IF(B447="","",IFERROR(INDEX(Products!$B:$B,MATCH(B447,Products!$A:$A,0)),"SKU not found"))</f>
        <v/>
      </c>
    </row>
    <row r="448">
      <c r="A448" s="7" t="n">
        <v>40871</v>
      </c>
      <c r="B448" s="4" t="inlineStr">
        <is>
          <t>85099B</t>
        </is>
      </c>
      <c r="C448" s="4" t="n">
        <v>229</v>
      </c>
      <c r="D448" s="4" t="inlineStr">
        <is>
          <t>UK</t>
        </is>
      </c>
      <c r="E448" s="4" t="inlineStr">
        <is>
          <t>14 invoices</t>
        </is>
      </c>
      <c r="F448" s="6">
        <f>IF(B448="","",IFERROR(INDEX(Products!$E:$E,MATCH(B448,Products!$A:$A,0)),0))</f>
        <v/>
      </c>
      <c r="G448" s="6">
        <f>IF(B448="","",N(C448)*N(F448))</f>
        <v/>
      </c>
      <c r="H448">
        <f>IF(B448="","",IFERROR(INDEX(Products!$B:$B,MATCH(B448,Products!$A:$A,0)),"SKU not found"))</f>
        <v/>
      </c>
    </row>
    <row r="449">
      <c r="A449" s="7" t="n">
        <v>40871</v>
      </c>
      <c r="B449" s="4" t="inlineStr">
        <is>
          <t>85123A</t>
        </is>
      </c>
      <c r="C449" s="4" t="n">
        <v>8</v>
      </c>
      <c r="D449" s="4" t="inlineStr">
        <is>
          <t>France</t>
        </is>
      </c>
      <c r="E449" s="4" t="inlineStr">
        <is>
          <t>1 invoices</t>
        </is>
      </c>
      <c r="F449" s="6">
        <f>IF(B449="","",IFERROR(INDEX(Products!$E:$E,MATCH(B449,Products!$A:$A,0)),0))</f>
        <v/>
      </c>
      <c r="G449" s="6">
        <f>IF(B449="","",N(C449)*N(F449))</f>
        <v/>
      </c>
      <c r="H449">
        <f>IF(B449="","",IFERROR(INDEX(Products!$B:$B,MATCH(B449,Products!$A:$A,0)),"SKU not found"))</f>
        <v/>
      </c>
    </row>
    <row r="450">
      <c r="A450" s="7" t="n">
        <v>40871</v>
      </c>
      <c r="B450" s="4" t="inlineStr">
        <is>
          <t>85123A</t>
        </is>
      </c>
      <c r="C450" s="4" t="n">
        <v>12</v>
      </c>
      <c r="D450" s="4" t="inlineStr">
        <is>
          <t>Germany</t>
        </is>
      </c>
      <c r="E450" s="4" t="inlineStr">
        <is>
          <t>1 invoices</t>
        </is>
      </c>
      <c r="F450" s="6">
        <f>IF(B450="","",IFERROR(INDEX(Products!$E:$E,MATCH(B450,Products!$A:$A,0)),0))</f>
        <v/>
      </c>
      <c r="G450" s="6">
        <f>IF(B450="","",N(C450)*N(F450))</f>
        <v/>
      </c>
      <c r="H450">
        <f>IF(B450="","",IFERROR(INDEX(Products!$B:$B,MATCH(B450,Products!$A:$A,0)),"SKU not found"))</f>
        <v/>
      </c>
    </row>
    <row r="451">
      <c r="A451" s="7" t="n">
        <v>40871</v>
      </c>
      <c r="B451" s="4" t="inlineStr">
        <is>
          <t>85123A</t>
        </is>
      </c>
      <c r="C451" s="4" t="n">
        <v>111</v>
      </c>
      <c r="D451" s="4" t="inlineStr">
        <is>
          <t>UK</t>
        </is>
      </c>
      <c r="E451" s="4" t="inlineStr">
        <is>
          <t>11 invoices</t>
        </is>
      </c>
      <c r="F451" s="6">
        <f>IF(B451="","",IFERROR(INDEX(Products!$E:$E,MATCH(B451,Products!$A:$A,0)),0))</f>
        <v/>
      </c>
      <c r="G451" s="6">
        <f>IF(B451="","",N(C451)*N(F451))</f>
        <v/>
      </c>
      <c r="H451">
        <f>IF(B451="","",IFERROR(INDEX(Products!$B:$B,MATCH(B451,Products!$A:$A,0)),"SKU not found"))</f>
        <v/>
      </c>
    </row>
    <row r="452">
      <c r="A452" s="7" t="n">
        <v>40872</v>
      </c>
      <c r="B452" s="4" t="inlineStr">
        <is>
          <t>20725</t>
        </is>
      </c>
      <c r="C452" s="4" t="n">
        <v>10</v>
      </c>
      <c r="D452" s="4" t="inlineStr">
        <is>
          <t>France</t>
        </is>
      </c>
      <c r="E452" s="4" t="inlineStr">
        <is>
          <t>1 invoices</t>
        </is>
      </c>
      <c r="F452" s="6">
        <f>IF(B452="","",IFERROR(INDEX(Products!$E:$E,MATCH(B452,Products!$A:$A,0)),0))</f>
        <v/>
      </c>
      <c r="G452" s="6">
        <f>IF(B452="","",N(C452)*N(F452))</f>
        <v/>
      </c>
      <c r="H452">
        <f>IF(B452="","",IFERROR(INDEX(Products!$B:$B,MATCH(B452,Products!$A:$A,0)),"SKU not found"))</f>
        <v/>
      </c>
    </row>
    <row r="453">
      <c r="A453" s="7" t="n">
        <v>40872</v>
      </c>
      <c r="B453" s="4" t="inlineStr">
        <is>
          <t>20725</t>
        </is>
      </c>
      <c r="C453" s="4" t="n">
        <v>83</v>
      </c>
      <c r="D453" s="4" t="inlineStr">
        <is>
          <t>UK</t>
        </is>
      </c>
      <c r="E453" s="4" t="inlineStr">
        <is>
          <t>8 invoices</t>
        </is>
      </c>
      <c r="F453" s="6">
        <f>IF(B453="","",IFERROR(INDEX(Products!$E:$E,MATCH(B453,Products!$A:$A,0)),0))</f>
        <v/>
      </c>
      <c r="G453" s="6">
        <f>IF(B453="","",N(C453)*N(F453))</f>
        <v/>
      </c>
      <c r="H453">
        <f>IF(B453="","",IFERROR(INDEX(Products!$B:$B,MATCH(B453,Products!$A:$A,0)),"SKU not found"))</f>
        <v/>
      </c>
    </row>
    <row r="454">
      <c r="A454" s="7" t="n">
        <v>40872</v>
      </c>
      <c r="B454" s="4" t="inlineStr">
        <is>
          <t>20727</t>
        </is>
      </c>
      <c r="C454" s="4" t="n">
        <v>44</v>
      </c>
      <c r="D454" s="4" t="inlineStr">
        <is>
          <t>UK</t>
        </is>
      </c>
      <c r="E454" s="4" t="inlineStr">
        <is>
          <t>6 invoices</t>
        </is>
      </c>
      <c r="F454" s="6">
        <f>IF(B454="","",IFERROR(INDEX(Products!$E:$E,MATCH(B454,Products!$A:$A,0)),0))</f>
        <v/>
      </c>
      <c r="G454" s="6">
        <f>IF(B454="","",N(C454)*N(F454))</f>
        <v/>
      </c>
      <c r="H454">
        <f>IF(B454="","",IFERROR(INDEX(Products!$B:$B,MATCH(B454,Products!$A:$A,0)),"SKU not found"))</f>
        <v/>
      </c>
    </row>
    <row r="455">
      <c r="A455" s="7" t="n">
        <v>40872</v>
      </c>
      <c r="B455" s="4" t="inlineStr">
        <is>
          <t>21212</t>
        </is>
      </c>
      <c r="C455" s="4" t="n">
        <v>45</v>
      </c>
      <c r="D455" s="4" t="inlineStr">
        <is>
          <t>UK</t>
        </is>
      </c>
      <c r="E455" s="4" t="inlineStr">
        <is>
          <t>5 invoices</t>
        </is>
      </c>
      <c r="F455" s="6">
        <f>IF(B455="","",IFERROR(INDEX(Products!$E:$E,MATCH(B455,Products!$A:$A,0)),0))</f>
        <v/>
      </c>
      <c r="G455" s="6">
        <f>IF(B455="","",N(C455)*N(F455))</f>
        <v/>
      </c>
      <c r="H455">
        <f>IF(B455="","",IFERROR(INDEX(Products!$B:$B,MATCH(B455,Products!$A:$A,0)),"SKU not found"))</f>
        <v/>
      </c>
    </row>
    <row r="456">
      <c r="A456" s="7" t="n">
        <v>40872</v>
      </c>
      <c r="B456" s="4" t="inlineStr">
        <is>
          <t>21931</t>
        </is>
      </c>
      <c r="C456" s="4" t="n">
        <v>35</v>
      </c>
      <c r="D456" s="4" t="inlineStr">
        <is>
          <t>UK</t>
        </is>
      </c>
      <c r="E456" s="4" t="inlineStr">
        <is>
          <t>4 invoices</t>
        </is>
      </c>
      <c r="F456" s="6">
        <f>IF(B456="","",IFERROR(INDEX(Products!$E:$E,MATCH(B456,Products!$A:$A,0)),0))</f>
        <v/>
      </c>
      <c r="G456" s="6">
        <f>IF(B456="","",N(C456)*N(F456))</f>
        <v/>
      </c>
      <c r="H456">
        <f>IF(B456="","",IFERROR(INDEX(Products!$B:$B,MATCH(B456,Products!$A:$A,0)),"SKU not found"))</f>
        <v/>
      </c>
    </row>
    <row r="457">
      <c r="A457" s="7" t="n">
        <v>40872</v>
      </c>
      <c r="B457" s="4" t="inlineStr">
        <is>
          <t>22197</t>
        </is>
      </c>
      <c r="C457" s="4" t="n">
        <v>342</v>
      </c>
      <c r="D457" s="4" t="inlineStr">
        <is>
          <t>UK</t>
        </is>
      </c>
      <c r="E457" s="4" t="inlineStr">
        <is>
          <t>10 invoices</t>
        </is>
      </c>
      <c r="F457" s="6">
        <f>IF(B457="","",IFERROR(INDEX(Products!$E:$E,MATCH(B457,Products!$A:$A,0)),0))</f>
        <v/>
      </c>
      <c r="G457" s="6">
        <f>IF(B457="","",N(C457)*N(F457))</f>
        <v/>
      </c>
      <c r="H457">
        <f>IF(B457="","",IFERROR(INDEX(Products!$B:$B,MATCH(B457,Products!$A:$A,0)),"SKU not found"))</f>
        <v/>
      </c>
    </row>
    <row r="458">
      <c r="A458" s="7" t="n">
        <v>40872</v>
      </c>
      <c r="B458" s="4" t="inlineStr">
        <is>
          <t>22383</t>
        </is>
      </c>
      <c r="C458" s="4" t="n">
        <v>10</v>
      </c>
      <c r="D458" s="4" t="inlineStr">
        <is>
          <t>France</t>
        </is>
      </c>
      <c r="E458" s="4" t="inlineStr">
        <is>
          <t>1 invoices</t>
        </is>
      </c>
      <c r="F458" s="6">
        <f>IF(B458="","",IFERROR(INDEX(Products!$E:$E,MATCH(B458,Products!$A:$A,0)),0))</f>
        <v/>
      </c>
      <c r="G458" s="6">
        <f>IF(B458="","",N(C458)*N(F458))</f>
        <v/>
      </c>
      <c r="H458">
        <f>IF(B458="","",IFERROR(INDEX(Products!$B:$B,MATCH(B458,Products!$A:$A,0)),"SKU not found"))</f>
        <v/>
      </c>
    </row>
    <row r="459">
      <c r="A459" s="7" t="n">
        <v>40872</v>
      </c>
      <c r="B459" s="4" t="inlineStr">
        <is>
          <t>22383</t>
        </is>
      </c>
      <c r="C459" s="4" t="n">
        <v>23</v>
      </c>
      <c r="D459" s="4" t="inlineStr">
        <is>
          <t>UK</t>
        </is>
      </c>
      <c r="E459" s="4" t="inlineStr">
        <is>
          <t>4 invoices</t>
        </is>
      </c>
      <c r="F459" s="6">
        <f>IF(B459="","",IFERROR(INDEX(Products!$E:$E,MATCH(B459,Products!$A:$A,0)),0))</f>
        <v/>
      </c>
      <c r="G459" s="6">
        <f>IF(B459="","",N(C459)*N(F459))</f>
        <v/>
      </c>
      <c r="H459">
        <f>IF(B459="","",IFERROR(INDEX(Products!$B:$B,MATCH(B459,Products!$A:$A,0)),"SKU not found"))</f>
        <v/>
      </c>
    </row>
    <row r="460">
      <c r="A460" s="7" t="n">
        <v>40872</v>
      </c>
      <c r="B460" s="4" t="inlineStr">
        <is>
          <t>22386</t>
        </is>
      </c>
      <c r="C460" s="4" t="n">
        <v>142</v>
      </c>
      <c r="D460" s="4" t="inlineStr">
        <is>
          <t>UK</t>
        </is>
      </c>
      <c r="E460" s="4" t="inlineStr">
        <is>
          <t>5 invoices</t>
        </is>
      </c>
      <c r="F460" s="6">
        <f>IF(B460="","",IFERROR(INDEX(Products!$E:$E,MATCH(B460,Products!$A:$A,0)),0))</f>
        <v/>
      </c>
      <c r="G460" s="6">
        <f>IF(B460="","",N(C460)*N(F460))</f>
        <v/>
      </c>
      <c r="H460">
        <f>IF(B460="","",IFERROR(INDEX(Products!$B:$B,MATCH(B460,Products!$A:$A,0)),"SKU not found"))</f>
        <v/>
      </c>
    </row>
    <row r="461">
      <c r="A461" s="7" t="n">
        <v>40872</v>
      </c>
      <c r="B461" s="4" t="inlineStr">
        <is>
          <t>22423</t>
        </is>
      </c>
      <c r="C461" s="4" t="n">
        <v>4</v>
      </c>
      <c r="D461" s="4" t="inlineStr">
        <is>
          <t>Other EU/Intl</t>
        </is>
      </c>
      <c r="E461" s="4" t="inlineStr">
        <is>
          <t>1 invoices</t>
        </is>
      </c>
      <c r="F461" s="6">
        <f>IF(B461="","",IFERROR(INDEX(Products!$E:$E,MATCH(B461,Products!$A:$A,0)),0))</f>
        <v/>
      </c>
      <c r="G461" s="6">
        <f>IF(B461="","",N(C461)*N(F461))</f>
        <v/>
      </c>
      <c r="H461">
        <f>IF(B461="","",IFERROR(INDEX(Products!$B:$B,MATCH(B461,Products!$A:$A,0)),"SKU not found"))</f>
        <v/>
      </c>
    </row>
    <row r="462">
      <c r="A462" s="7" t="n">
        <v>40872</v>
      </c>
      <c r="B462" s="4" t="inlineStr">
        <is>
          <t>22423</t>
        </is>
      </c>
      <c r="C462" s="4" t="n">
        <v>19</v>
      </c>
      <c r="D462" s="4" t="inlineStr">
        <is>
          <t>UK</t>
        </is>
      </c>
      <c r="E462" s="4" t="inlineStr">
        <is>
          <t>7 invoices</t>
        </is>
      </c>
      <c r="F462" s="6">
        <f>IF(B462="","",IFERROR(INDEX(Products!$E:$E,MATCH(B462,Products!$A:$A,0)),0))</f>
        <v/>
      </c>
      <c r="G462" s="6">
        <f>IF(B462="","",N(C462)*N(F462))</f>
        <v/>
      </c>
      <c r="H462">
        <f>IF(B462="","",IFERROR(INDEX(Products!$B:$B,MATCH(B462,Products!$A:$A,0)),"SKU not found"))</f>
        <v/>
      </c>
    </row>
    <row r="463">
      <c r="A463" s="7" t="n">
        <v>40872</v>
      </c>
      <c r="B463" s="4" t="inlineStr">
        <is>
          <t>22457</t>
        </is>
      </c>
      <c r="C463" s="4" t="n">
        <v>83</v>
      </c>
      <c r="D463" s="4" t="inlineStr">
        <is>
          <t>UK</t>
        </is>
      </c>
      <c r="E463" s="4" t="inlineStr">
        <is>
          <t>9 invoices</t>
        </is>
      </c>
      <c r="F463" s="6">
        <f>IF(B463="","",IFERROR(INDEX(Products!$E:$E,MATCH(B463,Products!$A:$A,0)),0))</f>
        <v/>
      </c>
      <c r="G463" s="6">
        <f>IF(B463="","",N(C463)*N(F463))</f>
        <v/>
      </c>
      <c r="H463">
        <f>IF(B463="","",IFERROR(INDEX(Products!$B:$B,MATCH(B463,Products!$A:$A,0)),"SKU not found"))</f>
        <v/>
      </c>
    </row>
    <row r="464">
      <c r="A464" s="7" t="n">
        <v>40872</v>
      </c>
      <c r="B464" s="4" t="inlineStr">
        <is>
          <t>22469</t>
        </is>
      </c>
      <c r="C464" s="4" t="n">
        <v>26</v>
      </c>
      <c r="D464" s="4" t="inlineStr">
        <is>
          <t>UK</t>
        </is>
      </c>
      <c r="E464" s="4" t="inlineStr">
        <is>
          <t>6 invoices</t>
        </is>
      </c>
      <c r="F464" s="6">
        <f>IF(B464="","",IFERROR(INDEX(Products!$E:$E,MATCH(B464,Products!$A:$A,0)),0))</f>
        <v/>
      </c>
      <c r="G464" s="6">
        <f>IF(B464="","",N(C464)*N(F464))</f>
        <v/>
      </c>
      <c r="H464">
        <f>IF(B464="","",IFERROR(INDEX(Products!$B:$B,MATCH(B464,Products!$A:$A,0)),"SKU not found"))</f>
        <v/>
      </c>
    </row>
    <row r="465">
      <c r="A465" s="7" t="n">
        <v>40872</v>
      </c>
      <c r="B465" s="4" t="inlineStr">
        <is>
          <t>22720</t>
        </is>
      </c>
      <c r="C465" s="4" t="n">
        <v>11</v>
      </c>
      <c r="D465" s="4" t="inlineStr">
        <is>
          <t>UK</t>
        </is>
      </c>
      <c r="E465" s="4" t="inlineStr">
        <is>
          <t>4 invoices</t>
        </is>
      </c>
      <c r="F465" s="6">
        <f>IF(B465="","",IFERROR(INDEX(Products!$E:$E,MATCH(B465,Products!$A:$A,0)),0))</f>
        <v/>
      </c>
      <c r="G465" s="6">
        <f>IF(B465="","",N(C465)*N(F465))</f>
        <v/>
      </c>
      <c r="H465">
        <f>IF(B465="","",IFERROR(INDEX(Products!$B:$B,MATCH(B465,Products!$A:$A,0)),"SKU not found"))</f>
        <v/>
      </c>
    </row>
    <row r="466">
      <c r="A466" s="7" t="n">
        <v>40872</v>
      </c>
      <c r="B466" s="4" t="inlineStr">
        <is>
          <t>47566</t>
        </is>
      </c>
      <c r="C466" s="4" t="n">
        <v>27</v>
      </c>
      <c r="D466" s="4" t="inlineStr">
        <is>
          <t>UK</t>
        </is>
      </c>
      <c r="E466" s="4" t="inlineStr">
        <is>
          <t>5 invoices</t>
        </is>
      </c>
      <c r="F466" s="6">
        <f>IF(B466="","",IFERROR(INDEX(Products!$E:$E,MATCH(B466,Products!$A:$A,0)),0))</f>
        <v/>
      </c>
      <c r="G466" s="6">
        <f>IF(B466="","",N(C466)*N(F466))</f>
        <v/>
      </c>
      <c r="H466">
        <f>IF(B466="","",IFERROR(INDEX(Products!$B:$B,MATCH(B466,Products!$A:$A,0)),"SKU not found"))</f>
        <v/>
      </c>
    </row>
    <row r="467">
      <c r="A467" s="7" t="n">
        <v>40872</v>
      </c>
      <c r="B467" s="4" t="inlineStr">
        <is>
          <t>84879</t>
        </is>
      </c>
      <c r="C467" s="4" t="n">
        <v>272</v>
      </c>
      <c r="D467" s="4" t="inlineStr">
        <is>
          <t>UK</t>
        </is>
      </c>
      <c r="E467" s="4" t="inlineStr">
        <is>
          <t>6 invoices</t>
        </is>
      </c>
      <c r="F467" s="6">
        <f>IF(B467="","",IFERROR(INDEX(Products!$E:$E,MATCH(B467,Products!$A:$A,0)),0))</f>
        <v/>
      </c>
      <c r="G467" s="6">
        <f>IF(B467="","",N(C467)*N(F467))</f>
        <v/>
      </c>
      <c r="H467">
        <f>IF(B467="","",IFERROR(INDEX(Products!$B:$B,MATCH(B467,Products!$A:$A,0)),"SKU not found"))</f>
        <v/>
      </c>
    </row>
    <row r="468">
      <c r="A468" s="7" t="n">
        <v>40872</v>
      </c>
      <c r="B468" s="4" t="inlineStr">
        <is>
          <t>85099B</t>
        </is>
      </c>
      <c r="C468" s="4" t="n">
        <v>55</v>
      </c>
      <c r="D468" s="4" t="inlineStr">
        <is>
          <t>UK</t>
        </is>
      </c>
      <c r="E468" s="4" t="inlineStr">
        <is>
          <t>7 invoices</t>
        </is>
      </c>
      <c r="F468" s="6">
        <f>IF(B468="","",IFERROR(INDEX(Products!$E:$E,MATCH(B468,Products!$A:$A,0)),0))</f>
        <v/>
      </c>
      <c r="G468" s="6">
        <f>IF(B468="","",N(C468)*N(F468))</f>
        <v/>
      </c>
      <c r="H468">
        <f>IF(B468="","",IFERROR(INDEX(Products!$B:$B,MATCH(B468,Products!$A:$A,0)),"SKU not found"))</f>
        <v/>
      </c>
    </row>
    <row r="469">
      <c r="A469" s="7" t="n">
        <v>40872</v>
      </c>
      <c r="B469" s="4" t="inlineStr">
        <is>
          <t>85123A</t>
        </is>
      </c>
      <c r="C469" s="4" t="n">
        <v>222</v>
      </c>
      <c r="D469" s="4" t="inlineStr">
        <is>
          <t>UK</t>
        </is>
      </c>
      <c r="E469" s="4" t="inlineStr">
        <is>
          <t>10 invoices</t>
        </is>
      </c>
      <c r="F469" s="6">
        <f>IF(B469="","",IFERROR(INDEX(Products!$E:$E,MATCH(B469,Products!$A:$A,0)),0))</f>
        <v/>
      </c>
      <c r="G469" s="6">
        <f>IF(B469="","",N(C469)*N(F469))</f>
        <v/>
      </c>
      <c r="H469">
        <f>IF(B469="","",IFERROR(INDEX(Products!$B:$B,MATCH(B469,Products!$A:$A,0)),"SKU not found"))</f>
        <v/>
      </c>
    </row>
    <row r="470">
      <c r="A470" s="7" t="n">
        <v>40874</v>
      </c>
      <c r="B470" s="4" t="inlineStr">
        <is>
          <t>20725</t>
        </is>
      </c>
      <c r="C470" s="4" t="n">
        <v>18</v>
      </c>
      <c r="D470" s="4" t="inlineStr">
        <is>
          <t>UK</t>
        </is>
      </c>
      <c r="E470" s="4" t="inlineStr">
        <is>
          <t>3 invoices</t>
        </is>
      </c>
      <c r="F470" s="6">
        <f>IF(B470="","",IFERROR(INDEX(Products!$E:$E,MATCH(B470,Products!$A:$A,0)),0))</f>
        <v/>
      </c>
      <c r="G470" s="6">
        <f>IF(B470="","",N(C470)*N(F470))</f>
        <v/>
      </c>
      <c r="H470">
        <f>IF(B470="","",IFERROR(INDEX(Products!$B:$B,MATCH(B470,Products!$A:$A,0)),"SKU not found"))</f>
        <v/>
      </c>
    </row>
    <row r="471">
      <c r="A471" s="7" t="n">
        <v>40874</v>
      </c>
      <c r="B471" s="4" t="inlineStr">
        <is>
          <t>20727</t>
        </is>
      </c>
      <c r="C471" s="4" t="n">
        <v>21</v>
      </c>
      <c r="D471" s="4" t="inlineStr">
        <is>
          <t>UK</t>
        </is>
      </c>
      <c r="E471" s="4" t="inlineStr">
        <is>
          <t>5 invoices</t>
        </is>
      </c>
      <c r="F471" s="6">
        <f>IF(B471="","",IFERROR(INDEX(Products!$E:$E,MATCH(B471,Products!$A:$A,0)),0))</f>
        <v/>
      </c>
      <c r="G471" s="6">
        <f>IF(B471="","",N(C471)*N(F471))</f>
        <v/>
      </c>
      <c r="H471">
        <f>IF(B471="","",IFERROR(INDEX(Products!$B:$B,MATCH(B471,Products!$A:$A,0)),"SKU not found"))</f>
        <v/>
      </c>
    </row>
    <row r="472">
      <c r="A472" s="7" t="n">
        <v>40874</v>
      </c>
      <c r="B472" s="4" t="inlineStr">
        <is>
          <t>21212</t>
        </is>
      </c>
      <c r="C472" s="4" t="n">
        <v>15</v>
      </c>
      <c r="D472" s="4" t="inlineStr">
        <is>
          <t>UK</t>
        </is>
      </c>
      <c r="E472" s="4" t="inlineStr">
        <is>
          <t>2 invoices</t>
        </is>
      </c>
      <c r="F472" s="6">
        <f>IF(B472="","",IFERROR(INDEX(Products!$E:$E,MATCH(B472,Products!$A:$A,0)),0))</f>
        <v/>
      </c>
      <c r="G472" s="6">
        <f>IF(B472="","",N(C472)*N(F472))</f>
        <v/>
      </c>
      <c r="H472">
        <f>IF(B472="","",IFERROR(INDEX(Products!$B:$B,MATCH(B472,Products!$A:$A,0)),"SKU not found"))</f>
        <v/>
      </c>
    </row>
    <row r="473">
      <c r="A473" s="7" t="n">
        <v>40874</v>
      </c>
      <c r="B473" s="4" t="inlineStr">
        <is>
          <t>21931</t>
        </is>
      </c>
      <c r="C473" s="4" t="n">
        <v>11</v>
      </c>
      <c r="D473" s="4" t="inlineStr">
        <is>
          <t>UK</t>
        </is>
      </c>
      <c r="E473" s="4" t="inlineStr">
        <is>
          <t>3 invoices</t>
        </is>
      </c>
      <c r="F473" s="6">
        <f>IF(B473="","",IFERROR(INDEX(Products!$E:$E,MATCH(B473,Products!$A:$A,0)),0))</f>
        <v/>
      </c>
      <c r="G473" s="6">
        <f>IF(B473="","",N(C473)*N(F473))</f>
        <v/>
      </c>
      <c r="H473">
        <f>IF(B473="","",IFERROR(INDEX(Products!$B:$B,MATCH(B473,Products!$A:$A,0)),"SKU not found"))</f>
        <v/>
      </c>
    </row>
    <row r="474">
      <c r="A474" s="7" t="n">
        <v>40874</v>
      </c>
      <c r="B474" s="4" t="inlineStr">
        <is>
          <t>22197</t>
        </is>
      </c>
      <c r="C474" s="4" t="n">
        <v>47</v>
      </c>
      <c r="D474" s="4" t="inlineStr">
        <is>
          <t>UK</t>
        </is>
      </c>
      <c r="E474" s="4" t="inlineStr">
        <is>
          <t>7 invoices</t>
        </is>
      </c>
      <c r="F474" s="6">
        <f>IF(B474="","",IFERROR(INDEX(Products!$E:$E,MATCH(B474,Products!$A:$A,0)),0))</f>
        <v/>
      </c>
      <c r="G474" s="6">
        <f>IF(B474="","",N(C474)*N(F474))</f>
        <v/>
      </c>
      <c r="H474">
        <f>IF(B474="","",IFERROR(INDEX(Products!$B:$B,MATCH(B474,Products!$A:$A,0)),"SKU not found"))</f>
        <v/>
      </c>
    </row>
    <row r="475">
      <c r="A475" s="7" t="n">
        <v>40874</v>
      </c>
      <c r="B475" s="4" t="inlineStr">
        <is>
          <t>22383</t>
        </is>
      </c>
      <c r="C475" s="4" t="n">
        <v>37</v>
      </c>
      <c r="D475" s="4" t="inlineStr">
        <is>
          <t>UK</t>
        </is>
      </c>
      <c r="E475" s="4" t="inlineStr">
        <is>
          <t>7 invoices</t>
        </is>
      </c>
      <c r="F475" s="6">
        <f>IF(B475="","",IFERROR(INDEX(Products!$E:$E,MATCH(B475,Products!$A:$A,0)),0))</f>
        <v/>
      </c>
      <c r="G475" s="6">
        <f>IF(B475="","",N(C475)*N(F475))</f>
        <v/>
      </c>
      <c r="H475">
        <f>IF(B475="","",IFERROR(INDEX(Products!$B:$B,MATCH(B475,Products!$A:$A,0)),"SKU not found"))</f>
        <v/>
      </c>
    </row>
    <row r="476">
      <c r="A476" s="7" t="n">
        <v>40874</v>
      </c>
      <c r="B476" s="4" t="inlineStr">
        <is>
          <t>22386</t>
        </is>
      </c>
      <c r="C476" s="4" t="n">
        <v>22</v>
      </c>
      <c r="D476" s="4" t="inlineStr">
        <is>
          <t>UK</t>
        </is>
      </c>
      <c r="E476" s="4" t="inlineStr">
        <is>
          <t>5 invoices</t>
        </is>
      </c>
      <c r="F476" s="6">
        <f>IF(B476="","",IFERROR(INDEX(Products!$E:$E,MATCH(B476,Products!$A:$A,0)),0))</f>
        <v/>
      </c>
      <c r="G476" s="6">
        <f>IF(B476="","",N(C476)*N(F476))</f>
        <v/>
      </c>
      <c r="H476">
        <f>IF(B476="","",IFERROR(INDEX(Products!$B:$B,MATCH(B476,Products!$A:$A,0)),"SKU not found"))</f>
        <v/>
      </c>
    </row>
    <row r="477">
      <c r="A477" s="7" t="n">
        <v>40874</v>
      </c>
      <c r="B477" s="4" t="inlineStr">
        <is>
          <t>22423</t>
        </is>
      </c>
      <c r="C477" s="4" t="n">
        <v>14</v>
      </c>
      <c r="D477" s="4" t="inlineStr">
        <is>
          <t>UK</t>
        </is>
      </c>
      <c r="E477" s="4" t="inlineStr">
        <is>
          <t>4 invoices</t>
        </is>
      </c>
      <c r="F477" s="6">
        <f>IF(B477="","",IFERROR(INDEX(Products!$E:$E,MATCH(B477,Products!$A:$A,0)),0))</f>
        <v/>
      </c>
      <c r="G477" s="6">
        <f>IF(B477="","",N(C477)*N(F477))</f>
        <v/>
      </c>
      <c r="H477">
        <f>IF(B477="","",IFERROR(INDEX(Products!$B:$B,MATCH(B477,Products!$A:$A,0)),"SKU not found"))</f>
        <v/>
      </c>
    </row>
    <row r="478">
      <c r="A478" s="7" t="n">
        <v>40874</v>
      </c>
      <c r="B478" s="4" t="inlineStr">
        <is>
          <t>22423</t>
        </is>
      </c>
      <c r="C478" s="4" t="n">
        <v>16</v>
      </c>
      <c r="D478" s="4" t="inlineStr">
        <is>
          <t>Ireland</t>
        </is>
      </c>
      <c r="E478" s="4" t="inlineStr">
        <is>
          <t>1 invoices</t>
        </is>
      </c>
      <c r="F478" s="6">
        <f>IF(B478="","",IFERROR(INDEX(Products!$E:$E,MATCH(B478,Products!$A:$A,0)),0))</f>
        <v/>
      </c>
      <c r="G478" s="6">
        <f>IF(B478="","",N(C478)*N(F478))</f>
        <v/>
      </c>
      <c r="H478">
        <f>IF(B478="","",IFERROR(INDEX(Products!$B:$B,MATCH(B478,Products!$A:$A,0)),"SKU not found"))</f>
        <v/>
      </c>
    </row>
    <row r="479">
      <c r="A479" s="7" t="n">
        <v>40874</v>
      </c>
      <c r="B479" s="4" t="inlineStr">
        <is>
          <t>22457</t>
        </is>
      </c>
      <c r="C479" s="4" t="n">
        <v>14</v>
      </c>
      <c r="D479" s="4" t="inlineStr">
        <is>
          <t>UK</t>
        </is>
      </c>
      <c r="E479" s="4" t="inlineStr">
        <is>
          <t>3 invoices</t>
        </is>
      </c>
      <c r="F479" s="6">
        <f>IF(B479="","",IFERROR(INDEX(Products!$E:$E,MATCH(B479,Products!$A:$A,0)),0))</f>
        <v/>
      </c>
      <c r="G479" s="6">
        <f>IF(B479="","",N(C479)*N(F479))</f>
        <v/>
      </c>
      <c r="H479">
        <f>IF(B479="","",IFERROR(INDEX(Products!$B:$B,MATCH(B479,Products!$A:$A,0)),"SKU not found"))</f>
        <v/>
      </c>
    </row>
    <row r="480">
      <c r="A480" s="7" t="n">
        <v>40874</v>
      </c>
      <c r="B480" s="4" t="inlineStr">
        <is>
          <t>22469</t>
        </is>
      </c>
      <c r="C480" s="4" t="n">
        <v>8</v>
      </c>
      <c r="D480" s="4" t="inlineStr">
        <is>
          <t>UK</t>
        </is>
      </c>
      <c r="E480" s="4" t="inlineStr">
        <is>
          <t>3 invoices</t>
        </is>
      </c>
      <c r="F480" s="6">
        <f>IF(B480="","",IFERROR(INDEX(Products!$E:$E,MATCH(B480,Products!$A:$A,0)),0))</f>
        <v/>
      </c>
      <c r="G480" s="6">
        <f>IF(B480="","",N(C480)*N(F480))</f>
        <v/>
      </c>
      <c r="H480">
        <f>IF(B480="","",IFERROR(INDEX(Products!$B:$B,MATCH(B480,Products!$A:$A,0)),"SKU not found"))</f>
        <v/>
      </c>
    </row>
    <row r="481">
      <c r="A481" s="7" t="n">
        <v>40874</v>
      </c>
      <c r="B481" s="4" t="inlineStr">
        <is>
          <t>22720</t>
        </is>
      </c>
      <c r="C481" s="4" t="n">
        <v>2</v>
      </c>
      <c r="D481" s="4" t="inlineStr">
        <is>
          <t>UK</t>
        </is>
      </c>
      <c r="E481" s="4" t="inlineStr">
        <is>
          <t>2 invoices</t>
        </is>
      </c>
      <c r="F481" s="6">
        <f>IF(B481="","",IFERROR(INDEX(Products!$E:$E,MATCH(B481,Products!$A:$A,0)),0))</f>
        <v/>
      </c>
      <c r="G481" s="6">
        <f>IF(B481="","",N(C481)*N(F481))</f>
        <v/>
      </c>
      <c r="H481">
        <f>IF(B481="","",IFERROR(INDEX(Products!$B:$B,MATCH(B481,Products!$A:$A,0)),"SKU not found"))</f>
        <v/>
      </c>
    </row>
    <row r="482">
      <c r="A482" s="7" t="n">
        <v>40874</v>
      </c>
      <c r="B482" s="4" t="inlineStr">
        <is>
          <t>47566</t>
        </is>
      </c>
      <c r="C482" s="4" t="n">
        <v>3</v>
      </c>
      <c r="D482" s="4" t="inlineStr">
        <is>
          <t>UK</t>
        </is>
      </c>
      <c r="E482" s="4" t="inlineStr">
        <is>
          <t>2 invoices</t>
        </is>
      </c>
      <c r="F482" s="6">
        <f>IF(B482="","",IFERROR(INDEX(Products!$E:$E,MATCH(B482,Products!$A:$A,0)),0))</f>
        <v/>
      </c>
      <c r="G482" s="6">
        <f>IF(B482="","",N(C482)*N(F482))</f>
        <v/>
      </c>
      <c r="H482">
        <f>IF(B482="","",IFERROR(INDEX(Products!$B:$B,MATCH(B482,Products!$A:$A,0)),"SKU not found"))</f>
        <v/>
      </c>
    </row>
    <row r="483">
      <c r="A483" s="7" t="n">
        <v>40874</v>
      </c>
      <c r="B483" s="4" t="inlineStr">
        <is>
          <t>84879</t>
        </is>
      </c>
      <c r="C483" s="4" t="n">
        <v>8</v>
      </c>
      <c r="D483" s="4" t="inlineStr">
        <is>
          <t>UK</t>
        </is>
      </c>
      <c r="E483" s="4" t="inlineStr">
        <is>
          <t>1 invoices</t>
        </is>
      </c>
      <c r="F483" s="6">
        <f>IF(B483="","",IFERROR(INDEX(Products!$E:$E,MATCH(B483,Products!$A:$A,0)),0))</f>
        <v/>
      </c>
      <c r="G483" s="6">
        <f>IF(B483="","",N(C483)*N(F483))</f>
        <v/>
      </c>
      <c r="H483">
        <f>IF(B483="","",IFERROR(INDEX(Products!$B:$B,MATCH(B483,Products!$A:$A,0)),"SKU not found"))</f>
        <v/>
      </c>
    </row>
    <row r="484">
      <c r="A484" s="7" t="n">
        <v>40874</v>
      </c>
      <c r="B484" s="4" t="inlineStr">
        <is>
          <t>85099B</t>
        </is>
      </c>
      <c r="C484" s="4" t="n">
        <v>28</v>
      </c>
      <c r="D484" s="4" t="inlineStr">
        <is>
          <t>UK</t>
        </is>
      </c>
      <c r="E484" s="4" t="inlineStr">
        <is>
          <t>4 invoices</t>
        </is>
      </c>
      <c r="F484" s="6">
        <f>IF(B484="","",IFERROR(INDEX(Products!$E:$E,MATCH(B484,Products!$A:$A,0)),0))</f>
        <v/>
      </c>
      <c r="G484" s="6">
        <f>IF(B484="","",N(C484)*N(F484))</f>
        <v/>
      </c>
      <c r="H484">
        <f>IF(B484="","",IFERROR(INDEX(Products!$B:$B,MATCH(B484,Products!$A:$A,0)),"SKU not found"))</f>
        <v/>
      </c>
    </row>
    <row r="485">
      <c r="A485" s="7" t="n">
        <v>40874</v>
      </c>
      <c r="B485" s="4" t="inlineStr">
        <is>
          <t>85123A</t>
        </is>
      </c>
      <c r="C485" s="4" t="n">
        <v>8</v>
      </c>
      <c r="D485" s="4" t="inlineStr">
        <is>
          <t>UK</t>
        </is>
      </c>
      <c r="E485" s="4" t="inlineStr">
        <is>
          <t>4 invoices</t>
        </is>
      </c>
      <c r="F485" s="6">
        <f>IF(B485="","",IFERROR(INDEX(Products!$E:$E,MATCH(B485,Products!$A:$A,0)),0))</f>
        <v/>
      </c>
      <c r="G485" s="6">
        <f>IF(B485="","",N(C485)*N(F485))</f>
        <v/>
      </c>
      <c r="H485">
        <f>IF(B485="","",IFERROR(INDEX(Products!$B:$B,MATCH(B485,Products!$A:$A,0)),"SKU not found"))</f>
        <v/>
      </c>
    </row>
    <row r="486">
      <c r="A486" s="7" t="n">
        <v>40875</v>
      </c>
      <c r="B486" s="4" t="inlineStr">
        <is>
          <t>20725</t>
        </is>
      </c>
      <c r="C486" s="4" t="n">
        <v>58</v>
      </c>
      <c r="D486" s="4" t="inlineStr">
        <is>
          <t>UK</t>
        </is>
      </c>
      <c r="E486" s="4" t="inlineStr">
        <is>
          <t>7 invoices</t>
        </is>
      </c>
      <c r="F486" s="6">
        <f>IF(B486="","",IFERROR(INDEX(Products!$E:$E,MATCH(B486,Products!$A:$A,0)),0))</f>
        <v/>
      </c>
      <c r="G486" s="6">
        <f>IF(B486="","",N(C486)*N(F486))</f>
        <v/>
      </c>
      <c r="H486">
        <f>IF(B486="","",IFERROR(INDEX(Products!$B:$B,MATCH(B486,Products!$A:$A,0)),"SKU not found"))</f>
        <v/>
      </c>
    </row>
    <row r="487">
      <c r="A487" s="7" t="n">
        <v>40875</v>
      </c>
      <c r="B487" s="4" t="inlineStr">
        <is>
          <t>20727</t>
        </is>
      </c>
      <c r="C487" s="4" t="n">
        <v>43</v>
      </c>
      <c r="D487" s="4" t="inlineStr">
        <is>
          <t>UK</t>
        </is>
      </c>
      <c r="E487" s="4" t="inlineStr">
        <is>
          <t>4 invoices</t>
        </is>
      </c>
      <c r="F487" s="6">
        <f>IF(B487="","",IFERROR(INDEX(Products!$E:$E,MATCH(B487,Products!$A:$A,0)),0))</f>
        <v/>
      </c>
      <c r="G487" s="6">
        <f>IF(B487="","",N(C487)*N(F487))</f>
        <v/>
      </c>
      <c r="H487">
        <f>IF(B487="","",IFERROR(INDEX(Products!$B:$B,MATCH(B487,Products!$A:$A,0)),"SKU not found"))</f>
        <v/>
      </c>
    </row>
    <row r="488">
      <c r="A488" s="7" t="n">
        <v>40875</v>
      </c>
      <c r="B488" s="4" t="inlineStr">
        <is>
          <t>21212</t>
        </is>
      </c>
      <c r="C488" s="4" t="n">
        <v>24</v>
      </c>
      <c r="D488" s="4" t="inlineStr">
        <is>
          <t>Germany</t>
        </is>
      </c>
      <c r="E488" s="4" t="inlineStr">
        <is>
          <t>1 invoices</t>
        </is>
      </c>
      <c r="F488" s="6">
        <f>IF(B488="","",IFERROR(INDEX(Products!$E:$E,MATCH(B488,Products!$A:$A,0)),0))</f>
        <v/>
      </c>
      <c r="G488" s="6">
        <f>IF(B488="","",N(C488)*N(F488))</f>
        <v/>
      </c>
      <c r="H488">
        <f>IF(B488="","",IFERROR(INDEX(Products!$B:$B,MATCH(B488,Products!$A:$A,0)),"SKU not found"))</f>
        <v/>
      </c>
    </row>
    <row r="489">
      <c r="A489" s="7" t="n">
        <v>40875</v>
      </c>
      <c r="B489" s="4" t="inlineStr">
        <is>
          <t>21212</t>
        </is>
      </c>
      <c r="C489" s="4" t="n">
        <v>36</v>
      </c>
      <c r="D489" s="4" t="inlineStr">
        <is>
          <t>UK</t>
        </is>
      </c>
      <c r="E489" s="4" t="inlineStr">
        <is>
          <t>5 invoices</t>
        </is>
      </c>
      <c r="F489" s="6">
        <f>IF(B489="","",IFERROR(INDEX(Products!$E:$E,MATCH(B489,Products!$A:$A,0)),0))</f>
        <v/>
      </c>
      <c r="G489" s="6">
        <f>IF(B489="","",N(C489)*N(F489))</f>
        <v/>
      </c>
      <c r="H489">
        <f>IF(B489="","",IFERROR(INDEX(Products!$B:$B,MATCH(B489,Products!$A:$A,0)),"SKU not found"))</f>
        <v/>
      </c>
    </row>
    <row r="490">
      <c r="A490" s="7" t="n">
        <v>40875</v>
      </c>
      <c r="B490" s="4" t="inlineStr">
        <is>
          <t>21931</t>
        </is>
      </c>
      <c r="C490" s="4" t="n">
        <v>46</v>
      </c>
      <c r="D490" s="4" t="inlineStr">
        <is>
          <t>UK</t>
        </is>
      </c>
      <c r="E490" s="4" t="inlineStr">
        <is>
          <t>5 invoices</t>
        </is>
      </c>
      <c r="F490" s="6">
        <f>IF(B490="","",IFERROR(INDEX(Products!$E:$E,MATCH(B490,Products!$A:$A,0)),0))</f>
        <v/>
      </c>
      <c r="G490" s="6">
        <f>IF(B490="","",N(C490)*N(F490))</f>
        <v/>
      </c>
      <c r="H490">
        <f>IF(B490="","",IFERROR(INDEX(Products!$B:$B,MATCH(B490,Products!$A:$A,0)),"SKU not found"))</f>
        <v/>
      </c>
    </row>
    <row r="491">
      <c r="A491" s="7" t="n">
        <v>40875</v>
      </c>
      <c r="B491" s="4" t="inlineStr">
        <is>
          <t>22197</t>
        </is>
      </c>
      <c r="C491" s="4" t="n">
        <v>12</v>
      </c>
      <c r="D491" s="4" t="inlineStr">
        <is>
          <t>Ireland</t>
        </is>
      </c>
      <c r="E491" s="4" t="inlineStr">
        <is>
          <t>1 invoices</t>
        </is>
      </c>
      <c r="F491" s="6">
        <f>IF(B491="","",IFERROR(INDEX(Products!$E:$E,MATCH(B491,Products!$A:$A,0)),0))</f>
        <v/>
      </c>
      <c r="G491" s="6">
        <f>IF(B491="","",N(C491)*N(F491))</f>
        <v/>
      </c>
      <c r="H491">
        <f>IF(B491="","",IFERROR(INDEX(Products!$B:$B,MATCH(B491,Products!$A:$A,0)),"SKU not found"))</f>
        <v/>
      </c>
    </row>
    <row r="492">
      <c r="A492" s="7" t="n">
        <v>40875</v>
      </c>
      <c r="B492" s="4" t="inlineStr">
        <is>
          <t>22197</t>
        </is>
      </c>
      <c r="C492" s="4" t="n">
        <v>236</v>
      </c>
      <c r="D492" s="4" t="inlineStr">
        <is>
          <t>UK</t>
        </is>
      </c>
      <c r="E492" s="4" t="inlineStr">
        <is>
          <t>13 invoices</t>
        </is>
      </c>
      <c r="F492" s="6">
        <f>IF(B492="","",IFERROR(INDEX(Products!$E:$E,MATCH(B492,Products!$A:$A,0)),0))</f>
        <v/>
      </c>
      <c r="G492" s="6">
        <f>IF(B492="","",N(C492)*N(F492))</f>
        <v/>
      </c>
      <c r="H492">
        <f>IF(B492="","",IFERROR(INDEX(Products!$B:$B,MATCH(B492,Products!$A:$A,0)),"SKU not found"))</f>
        <v/>
      </c>
    </row>
    <row r="493">
      <c r="A493" s="7" t="n">
        <v>40875</v>
      </c>
      <c r="B493" s="4" t="inlineStr">
        <is>
          <t>22383</t>
        </is>
      </c>
      <c r="C493" s="4" t="n">
        <v>56</v>
      </c>
      <c r="D493" s="4" t="inlineStr">
        <is>
          <t>UK</t>
        </is>
      </c>
      <c r="E493" s="4" t="inlineStr">
        <is>
          <t>6 invoices</t>
        </is>
      </c>
      <c r="F493" s="6">
        <f>IF(B493="","",IFERROR(INDEX(Products!$E:$E,MATCH(B493,Products!$A:$A,0)),0))</f>
        <v/>
      </c>
      <c r="G493" s="6">
        <f>IF(B493="","",N(C493)*N(F493))</f>
        <v/>
      </c>
      <c r="H493">
        <f>IF(B493="","",IFERROR(INDEX(Products!$B:$B,MATCH(B493,Products!$A:$A,0)),"SKU not found"))</f>
        <v/>
      </c>
    </row>
    <row r="494">
      <c r="A494" s="7" t="n">
        <v>40875</v>
      </c>
      <c r="B494" s="4" t="inlineStr">
        <is>
          <t>22386</t>
        </is>
      </c>
      <c r="C494" s="4" t="n">
        <v>11</v>
      </c>
      <c r="D494" s="4" t="inlineStr">
        <is>
          <t>UK</t>
        </is>
      </c>
      <c r="E494" s="4" t="inlineStr">
        <is>
          <t>2 invoices</t>
        </is>
      </c>
      <c r="F494" s="6">
        <f>IF(B494="","",IFERROR(INDEX(Products!$E:$E,MATCH(B494,Products!$A:$A,0)),0))</f>
        <v/>
      </c>
      <c r="G494" s="6">
        <f>IF(B494="","",N(C494)*N(F494))</f>
        <v/>
      </c>
      <c r="H494">
        <f>IF(B494="","",IFERROR(INDEX(Products!$B:$B,MATCH(B494,Products!$A:$A,0)),"SKU not found"))</f>
        <v/>
      </c>
    </row>
    <row r="495">
      <c r="A495" s="7" t="n">
        <v>40875</v>
      </c>
      <c r="B495" s="4" t="inlineStr">
        <is>
          <t>22423</t>
        </is>
      </c>
      <c r="C495" s="4" t="n">
        <v>6</v>
      </c>
      <c r="D495" s="4" t="inlineStr">
        <is>
          <t>Ireland</t>
        </is>
      </c>
      <c r="E495" s="4" t="inlineStr">
        <is>
          <t>1 invoices</t>
        </is>
      </c>
      <c r="F495" s="6">
        <f>IF(B495="","",IFERROR(INDEX(Products!$E:$E,MATCH(B495,Products!$A:$A,0)),0))</f>
        <v/>
      </c>
      <c r="G495" s="6">
        <f>IF(B495="","",N(C495)*N(F495))</f>
        <v/>
      </c>
      <c r="H495">
        <f>IF(B495="","",IFERROR(INDEX(Products!$B:$B,MATCH(B495,Products!$A:$A,0)),"SKU not found"))</f>
        <v/>
      </c>
    </row>
    <row r="496">
      <c r="A496" s="7" t="n">
        <v>40875</v>
      </c>
      <c r="B496" s="4" t="inlineStr">
        <is>
          <t>22423</t>
        </is>
      </c>
      <c r="C496" s="4" t="n">
        <v>8</v>
      </c>
      <c r="D496" s="4" t="inlineStr">
        <is>
          <t>UK</t>
        </is>
      </c>
      <c r="E496" s="4" t="inlineStr">
        <is>
          <t>6 invoices</t>
        </is>
      </c>
      <c r="F496" s="6">
        <f>IF(B496="","",IFERROR(INDEX(Products!$E:$E,MATCH(B496,Products!$A:$A,0)),0))</f>
        <v/>
      </c>
      <c r="G496" s="6">
        <f>IF(B496="","",N(C496)*N(F496))</f>
        <v/>
      </c>
      <c r="H496">
        <f>IF(B496="","",IFERROR(INDEX(Products!$B:$B,MATCH(B496,Products!$A:$A,0)),"SKU not found"))</f>
        <v/>
      </c>
    </row>
    <row r="497">
      <c r="A497" s="7" t="n">
        <v>40875</v>
      </c>
      <c r="B497" s="4" t="inlineStr">
        <is>
          <t>22423</t>
        </is>
      </c>
      <c r="C497" s="4" t="n">
        <v>20</v>
      </c>
      <c r="D497" s="4" t="inlineStr">
        <is>
          <t>France</t>
        </is>
      </c>
      <c r="E497" s="4" t="inlineStr">
        <is>
          <t>2 invoices</t>
        </is>
      </c>
      <c r="F497" s="6">
        <f>IF(B497="","",IFERROR(INDEX(Products!$E:$E,MATCH(B497,Products!$A:$A,0)),0))</f>
        <v/>
      </c>
      <c r="G497" s="6">
        <f>IF(B497="","",N(C497)*N(F497))</f>
        <v/>
      </c>
      <c r="H497">
        <f>IF(B497="","",IFERROR(INDEX(Products!$B:$B,MATCH(B497,Products!$A:$A,0)),"SKU not found"))</f>
        <v/>
      </c>
    </row>
    <row r="498">
      <c r="A498" s="7" t="n">
        <v>40875</v>
      </c>
      <c r="B498" s="4" t="inlineStr">
        <is>
          <t>22457</t>
        </is>
      </c>
      <c r="C498" s="4" t="n">
        <v>19</v>
      </c>
      <c r="D498" s="4" t="inlineStr">
        <is>
          <t>UK</t>
        </is>
      </c>
      <c r="E498" s="4" t="inlineStr">
        <is>
          <t>4 invoices</t>
        </is>
      </c>
      <c r="F498" s="6">
        <f>IF(B498="","",IFERROR(INDEX(Products!$E:$E,MATCH(B498,Products!$A:$A,0)),0))</f>
        <v/>
      </c>
      <c r="G498" s="6">
        <f>IF(B498="","",N(C498)*N(F498))</f>
        <v/>
      </c>
      <c r="H498">
        <f>IF(B498="","",IFERROR(INDEX(Products!$B:$B,MATCH(B498,Products!$A:$A,0)),"SKU not found"))</f>
        <v/>
      </c>
    </row>
    <row r="499">
      <c r="A499" s="7" t="n">
        <v>40875</v>
      </c>
      <c r="B499" s="4" t="inlineStr">
        <is>
          <t>22469</t>
        </is>
      </c>
      <c r="C499" s="4" t="n">
        <v>655</v>
      </c>
      <c r="D499" s="4" t="inlineStr">
        <is>
          <t>UK</t>
        </is>
      </c>
      <c r="E499" s="4" t="inlineStr">
        <is>
          <t>7 invoices</t>
        </is>
      </c>
      <c r="F499" s="6">
        <f>IF(B499="","",IFERROR(INDEX(Products!$E:$E,MATCH(B499,Products!$A:$A,0)),0))</f>
        <v/>
      </c>
      <c r="G499" s="6">
        <f>IF(B499="","",N(C499)*N(F499))</f>
        <v/>
      </c>
      <c r="H499">
        <f>IF(B499="","",IFERROR(INDEX(Products!$B:$B,MATCH(B499,Products!$A:$A,0)),"SKU not found"))</f>
        <v/>
      </c>
    </row>
    <row r="500">
      <c r="A500" s="7" t="n">
        <v>40875</v>
      </c>
      <c r="B500" s="4" t="inlineStr">
        <is>
          <t>22720</t>
        </is>
      </c>
      <c r="C500" s="4" t="n">
        <v>6</v>
      </c>
      <c r="D500" s="4" t="inlineStr">
        <is>
          <t>Germany</t>
        </is>
      </c>
      <c r="E500" s="4" t="inlineStr">
        <is>
          <t>2 invoices</t>
        </is>
      </c>
      <c r="F500" s="6">
        <f>IF(B500="","",IFERROR(INDEX(Products!$E:$E,MATCH(B500,Products!$A:$A,0)),0))</f>
        <v/>
      </c>
      <c r="G500" s="6">
        <f>IF(B500="","",N(C500)*N(F500))</f>
        <v/>
      </c>
      <c r="H500">
        <f>IF(B500="","",IFERROR(INDEX(Products!$B:$B,MATCH(B500,Products!$A:$A,0)),"SKU not found"))</f>
        <v/>
      </c>
    </row>
    <row r="501">
      <c r="A501" s="7" t="n">
        <v>40875</v>
      </c>
      <c r="B501" s="4" t="inlineStr">
        <is>
          <t>22720</t>
        </is>
      </c>
      <c r="C501" s="4" t="n">
        <v>8</v>
      </c>
      <c r="D501" s="4" t="inlineStr">
        <is>
          <t>UK</t>
        </is>
      </c>
      <c r="E501" s="4" t="inlineStr">
        <is>
          <t>3 invoices</t>
        </is>
      </c>
      <c r="F501" s="6">
        <f>IF(B501="","",IFERROR(INDEX(Products!$E:$E,MATCH(B501,Products!$A:$A,0)),0))</f>
        <v/>
      </c>
      <c r="G501" s="6">
        <f>IF(B501="","",N(C501)*N(F501))</f>
        <v/>
      </c>
      <c r="H501">
        <f>IF(B501="","",IFERROR(INDEX(Products!$B:$B,MATCH(B501,Products!$A:$A,0)),"SKU not found"))</f>
        <v/>
      </c>
    </row>
    <row r="502">
      <c r="A502" s="7" t="n">
        <v>40875</v>
      </c>
      <c r="B502" s="4" t="inlineStr">
        <is>
          <t>47566</t>
        </is>
      </c>
      <c r="C502" s="4" t="n">
        <v>9</v>
      </c>
      <c r="D502" s="4" t="inlineStr">
        <is>
          <t>UK</t>
        </is>
      </c>
      <c r="E502" s="4" t="inlineStr">
        <is>
          <t>2 invoices</t>
        </is>
      </c>
      <c r="F502" s="6">
        <f>IF(B502="","",IFERROR(INDEX(Products!$E:$E,MATCH(B502,Products!$A:$A,0)),0))</f>
        <v/>
      </c>
      <c r="G502" s="6">
        <f>IF(B502="","",N(C502)*N(F502))</f>
        <v/>
      </c>
      <c r="H502">
        <f>IF(B502="","",IFERROR(INDEX(Products!$B:$B,MATCH(B502,Products!$A:$A,0)),"SKU not found"))</f>
        <v/>
      </c>
    </row>
    <row r="503">
      <c r="A503" s="7" t="n">
        <v>40875</v>
      </c>
      <c r="B503" s="4" t="inlineStr">
        <is>
          <t>84879</t>
        </is>
      </c>
      <c r="C503" s="4" t="n">
        <v>56</v>
      </c>
      <c r="D503" s="4" t="inlineStr">
        <is>
          <t>UK</t>
        </is>
      </c>
      <c r="E503" s="4" t="inlineStr">
        <is>
          <t>4 invoices</t>
        </is>
      </c>
      <c r="F503" s="6">
        <f>IF(B503="","",IFERROR(INDEX(Products!$E:$E,MATCH(B503,Products!$A:$A,0)),0))</f>
        <v/>
      </c>
      <c r="G503" s="6">
        <f>IF(B503="","",N(C503)*N(F503))</f>
        <v/>
      </c>
      <c r="H503">
        <f>IF(B503="","",IFERROR(INDEX(Products!$B:$B,MATCH(B503,Products!$A:$A,0)),"SKU not found"))</f>
        <v/>
      </c>
    </row>
    <row r="504">
      <c r="A504" s="7" t="n">
        <v>40875</v>
      </c>
      <c r="B504" s="4" t="inlineStr">
        <is>
          <t>85099B</t>
        </is>
      </c>
      <c r="C504" s="4" t="n">
        <v>42</v>
      </c>
      <c r="D504" s="4" t="inlineStr">
        <is>
          <t>UK</t>
        </is>
      </c>
      <c r="E504" s="4" t="inlineStr">
        <is>
          <t>6 invoices</t>
        </is>
      </c>
      <c r="F504" s="6">
        <f>IF(B504="","",IFERROR(INDEX(Products!$E:$E,MATCH(B504,Products!$A:$A,0)),0))</f>
        <v/>
      </c>
      <c r="G504" s="6">
        <f>IF(B504="","",N(C504)*N(F504))</f>
        <v/>
      </c>
      <c r="H504">
        <f>IF(B504="","",IFERROR(INDEX(Products!$B:$B,MATCH(B504,Products!$A:$A,0)),"SKU not found"))</f>
        <v/>
      </c>
    </row>
    <row r="505">
      <c r="A505" s="7" t="n">
        <v>40875</v>
      </c>
      <c r="B505" s="4" t="inlineStr">
        <is>
          <t>85123A</t>
        </is>
      </c>
      <c r="C505" s="4" t="n">
        <v>133</v>
      </c>
      <c r="D505" s="4" t="inlineStr">
        <is>
          <t>UK</t>
        </is>
      </c>
      <c r="E505" s="4" t="inlineStr">
        <is>
          <t>6 invoices</t>
        </is>
      </c>
      <c r="F505" s="6">
        <f>IF(B505="","",IFERROR(INDEX(Products!$E:$E,MATCH(B505,Products!$A:$A,0)),0))</f>
        <v/>
      </c>
      <c r="G505" s="6">
        <f>IF(B505="","",N(C505)*N(F505))</f>
        <v/>
      </c>
      <c r="H505">
        <f>IF(B505="","",IFERROR(INDEX(Products!$B:$B,MATCH(B505,Products!$A:$A,0)),"SKU not found"))</f>
        <v/>
      </c>
    </row>
    <row r="506">
      <c r="A506" s="7" t="n">
        <v>40876</v>
      </c>
      <c r="B506" s="4" t="inlineStr">
        <is>
          <t>20725</t>
        </is>
      </c>
      <c r="C506" s="4" t="n">
        <v>49</v>
      </c>
      <c r="D506" s="4" t="inlineStr">
        <is>
          <t>UK</t>
        </is>
      </c>
      <c r="E506" s="4" t="inlineStr">
        <is>
          <t>6 invoices</t>
        </is>
      </c>
      <c r="F506" s="6">
        <f>IF(B506="","",IFERROR(INDEX(Products!$E:$E,MATCH(B506,Products!$A:$A,0)),0))</f>
        <v/>
      </c>
      <c r="G506" s="6">
        <f>IF(B506="","",N(C506)*N(F506))</f>
        <v/>
      </c>
      <c r="H506">
        <f>IF(B506="","",IFERROR(INDEX(Products!$B:$B,MATCH(B506,Products!$A:$A,0)),"SKU not found"))</f>
        <v/>
      </c>
    </row>
    <row r="507">
      <c r="A507" s="7" t="n">
        <v>40876</v>
      </c>
      <c r="B507" s="4" t="inlineStr">
        <is>
          <t>20727</t>
        </is>
      </c>
      <c r="C507" s="4" t="n">
        <v>30</v>
      </c>
      <c r="D507" s="4" t="inlineStr">
        <is>
          <t>UK</t>
        </is>
      </c>
      <c r="E507" s="4" t="inlineStr">
        <is>
          <t>5 invoices</t>
        </is>
      </c>
      <c r="F507" s="6">
        <f>IF(B507="","",IFERROR(INDEX(Products!$E:$E,MATCH(B507,Products!$A:$A,0)),0))</f>
        <v/>
      </c>
      <c r="G507" s="6">
        <f>IF(B507="","",N(C507)*N(F507))</f>
        <v/>
      </c>
      <c r="H507">
        <f>IF(B507="","",IFERROR(INDEX(Products!$B:$B,MATCH(B507,Products!$A:$A,0)),"SKU not found"))</f>
        <v/>
      </c>
    </row>
    <row r="508">
      <c r="A508" s="7" t="n">
        <v>40876</v>
      </c>
      <c r="B508" s="4" t="inlineStr">
        <is>
          <t>21212</t>
        </is>
      </c>
      <c r="C508" s="4" t="n">
        <v>52</v>
      </c>
      <c r="D508" s="4" t="inlineStr">
        <is>
          <t>UK</t>
        </is>
      </c>
      <c r="E508" s="4" t="inlineStr">
        <is>
          <t>5 invoices</t>
        </is>
      </c>
      <c r="F508" s="6">
        <f>IF(B508="","",IFERROR(INDEX(Products!$E:$E,MATCH(B508,Products!$A:$A,0)),0))</f>
        <v/>
      </c>
      <c r="G508" s="6">
        <f>IF(B508="","",N(C508)*N(F508))</f>
        <v/>
      </c>
      <c r="H508">
        <f>IF(B508="","",IFERROR(INDEX(Products!$B:$B,MATCH(B508,Products!$A:$A,0)),"SKU not found"))</f>
        <v/>
      </c>
    </row>
    <row r="509">
      <c r="A509" s="7" t="n">
        <v>40876</v>
      </c>
      <c r="B509" s="4" t="inlineStr">
        <is>
          <t>21931</t>
        </is>
      </c>
      <c r="C509" s="4" t="n">
        <v>1</v>
      </c>
      <c r="D509" s="4" t="inlineStr">
        <is>
          <t>Other EU/Intl</t>
        </is>
      </c>
      <c r="E509" s="4" t="inlineStr">
        <is>
          <t>1 invoices</t>
        </is>
      </c>
      <c r="F509" s="6">
        <f>IF(B509="","",IFERROR(INDEX(Products!$E:$E,MATCH(B509,Products!$A:$A,0)),0))</f>
        <v/>
      </c>
      <c r="G509" s="6">
        <f>IF(B509="","",N(C509)*N(F509))</f>
        <v/>
      </c>
      <c r="H509">
        <f>IF(B509="","",IFERROR(INDEX(Products!$B:$B,MATCH(B509,Products!$A:$A,0)),"SKU not found"))</f>
        <v/>
      </c>
    </row>
    <row r="510">
      <c r="A510" s="7" t="n">
        <v>40876</v>
      </c>
      <c r="B510" s="4" t="inlineStr">
        <is>
          <t>21931</t>
        </is>
      </c>
      <c r="C510" s="4" t="n">
        <v>18</v>
      </c>
      <c r="D510" s="4" t="inlineStr">
        <is>
          <t>UK</t>
        </is>
      </c>
      <c r="E510" s="4" t="inlineStr">
        <is>
          <t>4 invoices</t>
        </is>
      </c>
      <c r="F510" s="6">
        <f>IF(B510="","",IFERROR(INDEX(Products!$E:$E,MATCH(B510,Products!$A:$A,0)),0))</f>
        <v/>
      </c>
      <c r="G510" s="6">
        <f>IF(B510="","",N(C510)*N(F510))</f>
        <v/>
      </c>
      <c r="H510">
        <f>IF(B510="","",IFERROR(INDEX(Products!$B:$B,MATCH(B510,Products!$A:$A,0)),"SKU not found"))</f>
        <v/>
      </c>
    </row>
    <row r="511">
      <c r="A511" s="7" t="n">
        <v>40876</v>
      </c>
      <c r="B511" s="4" t="inlineStr">
        <is>
          <t>22197</t>
        </is>
      </c>
      <c r="C511" s="4" t="n">
        <v>796</v>
      </c>
      <c r="D511" s="4" t="inlineStr">
        <is>
          <t>UK</t>
        </is>
      </c>
      <c r="E511" s="4" t="inlineStr">
        <is>
          <t>17 invoices</t>
        </is>
      </c>
      <c r="F511" s="6">
        <f>IF(B511="","",IFERROR(INDEX(Products!$E:$E,MATCH(B511,Products!$A:$A,0)),0))</f>
        <v/>
      </c>
      <c r="G511" s="6">
        <f>IF(B511="","",N(C511)*N(F511))</f>
        <v/>
      </c>
      <c r="H511">
        <f>IF(B511="","",IFERROR(INDEX(Products!$B:$B,MATCH(B511,Products!$A:$A,0)),"SKU not found"))</f>
        <v/>
      </c>
    </row>
    <row r="512">
      <c r="A512" s="7" t="n">
        <v>40876</v>
      </c>
      <c r="B512" s="4" t="inlineStr">
        <is>
          <t>22383</t>
        </is>
      </c>
      <c r="C512" s="4" t="n">
        <v>19</v>
      </c>
      <c r="D512" s="4" t="inlineStr">
        <is>
          <t>UK</t>
        </is>
      </c>
      <c r="E512" s="4" t="inlineStr">
        <is>
          <t>5 invoices</t>
        </is>
      </c>
      <c r="F512" s="6">
        <f>IF(B512="","",IFERROR(INDEX(Products!$E:$E,MATCH(B512,Products!$A:$A,0)),0))</f>
        <v/>
      </c>
      <c r="G512" s="6">
        <f>IF(B512="","",N(C512)*N(F512))</f>
        <v/>
      </c>
      <c r="H512">
        <f>IF(B512="","",IFERROR(INDEX(Products!$B:$B,MATCH(B512,Products!$A:$A,0)),"SKU not found"))</f>
        <v/>
      </c>
    </row>
    <row r="513">
      <c r="A513" s="7" t="n">
        <v>40876</v>
      </c>
      <c r="B513" s="4" t="inlineStr">
        <is>
          <t>22386</t>
        </is>
      </c>
      <c r="C513" s="4" t="n">
        <v>33</v>
      </c>
      <c r="D513" s="4" t="inlineStr">
        <is>
          <t>UK</t>
        </is>
      </c>
      <c r="E513" s="4" t="inlineStr">
        <is>
          <t>6 invoices</t>
        </is>
      </c>
      <c r="F513" s="6">
        <f>IF(B513="","",IFERROR(INDEX(Products!$E:$E,MATCH(B513,Products!$A:$A,0)),0))</f>
        <v/>
      </c>
      <c r="G513" s="6">
        <f>IF(B513="","",N(C513)*N(F513))</f>
        <v/>
      </c>
      <c r="H513">
        <f>IF(B513="","",IFERROR(INDEX(Products!$B:$B,MATCH(B513,Products!$A:$A,0)),"SKU not found"))</f>
        <v/>
      </c>
    </row>
    <row r="514">
      <c r="A514" s="7" t="n">
        <v>40876</v>
      </c>
      <c r="B514" s="4" t="inlineStr">
        <is>
          <t>22423</t>
        </is>
      </c>
      <c r="C514" s="4" t="n">
        <v>93</v>
      </c>
      <c r="D514" s="4" t="inlineStr">
        <is>
          <t>UK</t>
        </is>
      </c>
      <c r="E514" s="4" t="inlineStr">
        <is>
          <t>5 invoices</t>
        </is>
      </c>
      <c r="F514" s="6">
        <f>IF(B514="","",IFERROR(INDEX(Products!$E:$E,MATCH(B514,Products!$A:$A,0)),0))</f>
        <v/>
      </c>
      <c r="G514" s="6">
        <f>IF(B514="","",N(C514)*N(F514))</f>
        <v/>
      </c>
      <c r="H514">
        <f>IF(B514="","",IFERROR(INDEX(Products!$B:$B,MATCH(B514,Products!$A:$A,0)),"SKU not found"))</f>
        <v/>
      </c>
    </row>
    <row r="515">
      <c r="A515" s="7" t="n">
        <v>40876</v>
      </c>
      <c r="B515" s="4" t="inlineStr">
        <is>
          <t>22457</t>
        </is>
      </c>
      <c r="C515" s="4" t="n">
        <v>39</v>
      </c>
      <c r="D515" s="4" t="inlineStr">
        <is>
          <t>UK</t>
        </is>
      </c>
      <c r="E515" s="4" t="inlineStr">
        <is>
          <t>9 invoices</t>
        </is>
      </c>
      <c r="F515" s="6">
        <f>IF(B515="","",IFERROR(INDEX(Products!$E:$E,MATCH(B515,Products!$A:$A,0)),0))</f>
        <v/>
      </c>
      <c r="G515" s="6">
        <f>IF(B515="","",N(C515)*N(F515))</f>
        <v/>
      </c>
      <c r="H515">
        <f>IF(B515="","",IFERROR(INDEX(Products!$B:$B,MATCH(B515,Products!$A:$A,0)),"SKU not found"))</f>
        <v/>
      </c>
    </row>
    <row r="516">
      <c r="A516" s="7" t="n">
        <v>40876</v>
      </c>
      <c r="B516" s="4" t="inlineStr">
        <is>
          <t>22469</t>
        </is>
      </c>
      <c r="C516" s="4" t="n">
        <v>40</v>
      </c>
      <c r="D516" s="4" t="inlineStr">
        <is>
          <t>UK</t>
        </is>
      </c>
      <c r="E516" s="4" t="inlineStr">
        <is>
          <t>5 invoices</t>
        </is>
      </c>
      <c r="F516" s="6">
        <f>IF(B516="","",IFERROR(INDEX(Products!$E:$E,MATCH(B516,Products!$A:$A,0)),0))</f>
        <v/>
      </c>
      <c r="G516" s="6">
        <f>IF(B516="","",N(C516)*N(F516))</f>
        <v/>
      </c>
      <c r="H516">
        <f>IF(B516="","",IFERROR(INDEX(Products!$B:$B,MATCH(B516,Products!$A:$A,0)),"SKU not found"))</f>
        <v/>
      </c>
    </row>
    <row r="517">
      <c r="A517" s="7" t="n">
        <v>40876</v>
      </c>
      <c r="B517" s="4" t="inlineStr">
        <is>
          <t>22720</t>
        </is>
      </c>
      <c r="C517" s="4" t="n">
        <v>82</v>
      </c>
      <c r="D517" s="4" t="inlineStr">
        <is>
          <t>UK</t>
        </is>
      </c>
      <c r="E517" s="4" t="inlineStr">
        <is>
          <t>10 invoices</t>
        </is>
      </c>
      <c r="F517" s="6">
        <f>IF(B517="","",IFERROR(INDEX(Products!$E:$E,MATCH(B517,Products!$A:$A,0)),0))</f>
        <v/>
      </c>
      <c r="G517" s="6">
        <f>IF(B517="","",N(C517)*N(F517))</f>
        <v/>
      </c>
      <c r="H517">
        <f>IF(B517="","",IFERROR(INDEX(Products!$B:$B,MATCH(B517,Products!$A:$A,0)),"SKU not found"))</f>
        <v/>
      </c>
    </row>
    <row r="518">
      <c r="A518" s="7" t="n">
        <v>40876</v>
      </c>
      <c r="B518" s="4" t="inlineStr">
        <is>
          <t>47566</t>
        </is>
      </c>
      <c r="C518" s="4" t="n">
        <v>10</v>
      </c>
      <c r="D518" s="4" t="inlineStr">
        <is>
          <t>UK</t>
        </is>
      </c>
      <c r="E518" s="4" t="inlineStr">
        <is>
          <t>3 invoices</t>
        </is>
      </c>
      <c r="F518" s="6">
        <f>IF(B518="","",IFERROR(INDEX(Products!$E:$E,MATCH(B518,Products!$A:$A,0)),0))</f>
        <v/>
      </c>
      <c r="G518" s="6">
        <f>IF(B518="","",N(C518)*N(F518))</f>
        <v/>
      </c>
      <c r="H518">
        <f>IF(B518="","",IFERROR(INDEX(Products!$B:$B,MATCH(B518,Products!$A:$A,0)),"SKU not found"))</f>
        <v/>
      </c>
    </row>
    <row r="519">
      <c r="A519" s="7" t="n">
        <v>40876</v>
      </c>
      <c r="B519" s="4" t="inlineStr">
        <is>
          <t>84879</t>
        </is>
      </c>
      <c r="C519" s="4" t="n">
        <v>127</v>
      </c>
      <c r="D519" s="4" t="inlineStr">
        <is>
          <t>UK</t>
        </is>
      </c>
      <c r="E519" s="4" t="inlineStr">
        <is>
          <t>11 invoices</t>
        </is>
      </c>
      <c r="F519" s="6">
        <f>IF(B519="","",IFERROR(INDEX(Products!$E:$E,MATCH(B519,Products!$A:$A,0)),0))</f>
        <v/>
      </c>
      <c r="G519" s="6">
        <f>IF(B519="","",N(C519)*N(F519))</f>
        <v/>
      </c>
      <c r="H519">
        <f>IF(B519="","",IFERROR(INDEX(Products!$B:$B,MATCH(B519,Products!$A:$A,0)),"SKU not found"))</f>
        <v/>
      </c>
    </row>
    <row r="520">
      <c r="A520" s="7" t="n">
        <v>40876</v>
      </c>
      <c r="B520" s="4" t="inlineStr">
        <is>
          <t>85099B</t>
        </is>
      </c>
      <c r="C520" s="4" t="n">
        <v>1</v>
      </c>
      <c r="D520" s="4" t="inlineStr">
        <is>
          <t>Other EU/Intl</t>
        </is>
      </c>
      <c r="E520" s="4" t="inlineStr">
        <is>
          <t>1 invoices</t>
        </is>
      </c>
      <c r="F520" s="6">
        <f>IF(B520="","",IFERROR(INDEX(Products!$E:$E,MATCH(B520,Products!$A:$A,0)),0))</f>
        <v/>
      </c>
      <c r="G520" s="6">
        <f>IF(B520="","",N(C520)*N(F520))</f>
        <v/>
      </c>
      <c r="H520">
        <f>IF(B520="","",IFERROR(INDEX(Products!$B:$B,MATCH(B520,Products!$A:$A,0)),"SKU not found"))</f>
        <v/>
      </c>
    </row>
    <row r="521">
      <c r="A521" s="7" t="n">
        <v>40876</v>
      </c>
      <c r="B521" s="4" t="inlineStr">
        <is>
          <t>85099B</t>
        </is>
      </c>
      <c r="C521" s="4" t="n">
        <v>164</v>
      </c>
      <c r="D521" s="4" t="inlineStr">
        <is>
          <t>UK</t>
        </is>
      </c>
      <c r="E521" s="4" t="inlineStr">
        <is>
          <t>17 invoices</t>
        </is>
      </c>
      <c r="F521" s="6">
        <f>IF(B521="","",IFERROR(INDEX(Products!$E:$E,MATCH(B521,Products!$A:$A,0)),0))</f>
        <v/>
      </c>
      <c r="G521" s="6">
        <f>IF(B521="","",N(C521)*N(F521))</f>
        <v/>
      </c>
      <c r="H521">
        <f>IF(B521="","",IFERROR(INDEX(Products!$B:$B,MATCH(B521,Products!$A:$A,0)),"SKU not found"))</f>
        <v/>
      </c>
    </row>
    <row r="522">
      <c r="A522" s="7" t="n">
        <v>40876</v>
      </c>
      <c r="B522" s="4" t="inlineStr">
        <is>
          <t>85123A</t>
        </is>
      </c>
      <c r="C522" s="4" t="n">
        <v>116</v>
      </c>
      <c r="D522" s="4" t="inlineStr">
        <is>
          <t>UK</t>
        </is>
      </c>
      <c r="E522" s="4" t="inlineStr">
        <is>
          <t>13 invoices</t>
        </is>
      </c>
      <c r="F522" s="6">
        <f>IF(B522="","",IFERROR(INDEX(Products!$E:$E,MATCH(B522,Products!$A:$A,0)),0))</f>
        <v/>
      </c>
      <c r="G522" s="6">
        <f>IF(B522="","",N(C522)*N(F522))</f>
        <v/>
      </c>
      <c r="H522">
        <f>IF(B522="","",IFERROR(INDEX(Products!$B:$B,MATCH(B522,Products!$A:$A,0)),"SKU not found"))</f>
        <v/>
      </c>
    </row>
    <row r="523">
      <c r="A523" s="7" t="n">
        <v>40877</v>
      </c>
      <c r="B523" s="4" t="inlineStr">
        <is>
          <t>20725</t>
        </is>
      </c>
      <c r="C523" s="4" t="n">
        <v>10</v>
      </c>
      <c r="D523" s="4" t="inlineStr">
        <is>
          <t>France</t>
        </is>
      </c>
      <c r="E523" s="4" t="inlineStr">
        <is>
          <t>1 invoices</t>
        </is>
      </c>
      <c r="F523" s="6">
        <f>IF(B523="","",IFERROR(INDEX(Products!$E:$E,MATCH(B523,Products!$A:$A,0)),0))</f>
        <v/>
      </c>
      <c r="G523" s="6">
        <f>IF(B523="","",N(C523)*N(F523))</f>
        <v/>
      </c>
      <c r="H523">
        <f>IF(B523="","",IFERROR(INDEX(Products!$B:$B,MATCH(B523,Products!$A:$A,0)),"SKU not found"))</f>
        <v/>
      </c>
    </row>
    <row r="524">
      <c r="A524" s="7" t="n">
        <v>40877</v>
      </c>
      <c r="B524" s="4" t="inlineStr">
        <is>
          <t>20725</t>
        </is>
      </c>
      <c r="C524" s="4" t="n">
        <v>81</v>
      </c>
      <c r="D524" s="4" t="inlineStr">
        <is>
          <t>UK</t>
        </is>
      </c>
      <c r="E524" s="4" t="inlineStr">
        <is>
          <t>6 invoices</t>
        </is>
      </c>
      <c r="F524" s="6">
        <f>IF(B524="","",IFERROR(INDEX(Products!$E:$E,MATCH(B524,Products!$A:$A,0)),0))</f>
        <v/>
      </c>
      <c r="G524" s="6">
        <f>IF(B524="","",N(C524)*N(F524))</f>
        <v/>
      </c>
      <c r="H524">
        <f>IF(B524="","",IFERROR(INDEX(Products!$B:$B,MATCH(B524,Products!$A:$A,0)),"SKU not found"))</f>
        <v/>
      </c>
    </row>
    <row r="525">
      <c r="A525" s="7" t="n">
        <v>40877</v>
      </c>
      <c r="B525" s="4" t="inlineStr">
        <is>
          <t>20727</t>
        </is>
      </c>
      <c r="C525" s="4" t="n">
        <v>66</v>
      </c>
      <c r="D525" s="4" t="inlineStr">
        <is>
          <t>UK</t>
        </is>
      </c>
      <c r="E525" s="4" t="inlineStr">
        <is>
          <t>8 invoices</t>
        </is>
      </c>
      <c r="F525" s="6">
        <f>IF(B525="","",IFERROR(INDEX(Products!$E:$E,MATCH(B525,Products!$A:$A,0)),0))</f>
        <v/>
      </c>
      <c r="G525" s="6">
        <f>IF(B525="","",N(C525)*N(F525))</f>
        <v/>
      </c>
      <c r="H525">
        <f>IF(B525="","",IFERROR(INDEX(Products!$B:$B,MATCH(B525,Products!$A:$A,0)),"SKU not found"))</f>
        <v/>
      </c>
    </row>
    <row r="526">
      <c r="A526" s="7" t="n">
        <v>40877</v>
      </c>
      <c r="B526" s="4" t="inlineStr">
        <is>
          <t>21212</t>
        </is>
      </c>
      <c r="C526" s="4" t="n">
        <v>24</v>
      </c>
      <c r="D526" s="4" t="inlineStr">
        <is>
          <t>France</t>
        </is>
      </c>
      <c r="E526" s="4" t="inlineStr">
        <is>
          <t>1 invoices</t>
        </is>
      </c>
      <c r="F526" s="6">
        <f>IF(B526="","",IFERROR(INDEX(Products!$E:$E,MATCH(B526,Products!$A:$A,0)),0))</f>
        <v/>
      </c>
      <c r="G526" s="6">
        <f>IF(B526="","",N(C526)*N(F526))</f>
        <v/>
      </c>
      <c r="H526">
        <f>IF(B526="","",IFERROR(INDEX(Products!$B:$B,MATCH(B526,Products!$A:$A,0)),"SKU not found"))</f>
        <v/>
      </c>
    </row>
    <row r="527">
      <c r="A527" s="7" t="n">
        <v>40877</v>
      </c>
      <c r="B527" s="4" t="inlineStr">
        <is>
          <t>21212</t>
        </is>
      </c>
      <c r="C527" s="4" t="n">
        <v>217</v>
      </c>
      <c r="D527" s="4" t="inlineStr">
        <is>
          <t>UK</t>
        </is>
      </c>
      <c r="E527" s="4" t="inlineStr">
        <is>
          <t>7 invoices</t>
        </is>
      </c>
      <c r="F527" s="6">
        <f>IF(B527="","",IFERROR(INDEX(Products!$E:$E,MATCH(B527,Products!$A:$A,0)),0))</f>
        <v/>
      </c>
      <c r="G527" s="6">
        <f>IF(B527="","",N(C527)*N(F527))</f>
        <v/>
      </c>
      <c r="H527">
        <f>IF(B527="","",IFERROR(INDEX(Products!$B:$B,MATCH(B527,Products!$A:$A,0)),"SKU not found"))</f>
        <v/>
      </c>
    </row>
    <row r="528">
      <c r="A528" s="7" t="n">
        <v>40877</v>
      </c>
      <c r="B528" s="4" t="inlineStr">
        <is>
          <t>21931</t>
        </is>
      </c>
      <c r="C528" s="4" t="n">
        <v>7</v>
      </c>
      <c r="D528" s="4" t="inlineStr">
        <is>
          <t>UK</t>
        </is>
      </c>
      <c r="E528" s="4" t="inlineStr">
        <is>
          <t>4 invoices</t>
        </is>
      </c>
      <c r="F528" s="6">
        <f>IF(B528="","",IFERROR(INDEX(Products!$E:$E,MATCH(B528,Products!$A:$A,0)),0))</f>
        <v/>
      </c>
      <c r="G528" s="6">
        <f>IF(B528="","",N(C528)*N(F528))</f>
        <v/>
      </c>
      <c r="H528">
        <f>IF(B528="","",IFERROR(INDEX(Products!$B:$B,MATCH(B528,Products!$A:$A,0)),"SKU not found"))</f>
        <v/>
      </c>
    </row>
    <row r="529">
      <c r="A529" s="7" t="n">
        <v>40877</v>
      </c>
      <c r="B529" s="4" t="inlineStr">
        <is>
          <t>22197</t>
        </is>
      </c>
      <c r="C529" s="4" t="n">
        <v>100</v>
      </c>
      <c r="D529" s="4" t="inlineStr">
        <is>
          <t>Other EU/Intl</t>
        </is>
      </c>
      <c r="E529" s="4" t="inlineStr">
        <is>
          <t>1 invoices</t>
        </is>
      </c>
      <c r="F529" s="6">
        <f>IF(B529="","",IFERROR(INDEX(Products!$E:$E,MATCH(B529,Products!$A:$A,0)),0))</f>
        <v/>
      </c>
      <c r="G529" s="6">
        <f>IF(B529="","",N(C529)*N(F529))</f>
        <v/>
      </c>
      <c r="H529">
        <f>IF(B529="","",IFERROR(INDEX(Products!$B:$B,MATCH(B529,Products!$A:$A,0)),"SKU not found"))</f>
        <v/>
      </c>
    </row>
    <row r="530">
      <c r="A530" s="7" t="n">
        <v>40877</v>
      </c>
      <c r="B530" s="4" t="inlineStr">
        <is>
          <t>22197</t>
        </is>
      </c>
      <c r="C530" s="4" t="n">
        <v>370</v>
      </c>
      <c r="D530" s="4" t="inlineStr">
        <is>
          <t>UK</t>
        </is>
      </c>
      <c r="E530" s="4" t="inlineStr">
        <is>
          <t>12 invoices</t>
        </is>
      </c>
      <c r="F530" s="6">
        <f>IF(B530="","",IFERROR(INDEX(Products!$E:$E,MATCH(B530,Products!$A:$A,0)),0))</f>
        <v/>
      </c>
      <c r="G530" s="6">
        <f>IF(B530="","",N(C530)*N(F530))</f>
        <v/>
      </c>
      <c r="H530">
        <f>IF(B530="","",IFERROR(INDEX(Products!$B:$B,MATCH(B530,Products!$A:$A,0)),"SKU not found"))</f>
        <v/>
      </c>
    </row>
    <row r="531">
      <c r="A531" s="7" t="n">
        <v>40877</v>
      </c>
      <c r="B531" s="4" t="inlineStr">
        <is>
          <t>22383</t>
        </is>
      </c>
      <c r="C531" s="4" t="n">
        <v>12</v>
      </c>
      <c r="D531" s="4" t="inlineStr">
        <is>
          <t>UK</t>
        </is>
      </c>
      <c r="E531" s="4" t="inlineStr">
        <is>
          <t>4 invoices</t>
        </is>
      </c>
      <c r="F531" s="6">
        <f>IF(B531="","",IFERROR(INDEX(Products!$E:$E,MATCH(B531,Products!$A:$A,0)),0))</f>
        <v/>
      </c>
      <c r="G531" s="6">
        <f>IF(B531="","",N(C531)*N(F531))</f>
        <v/>
      </c>
      <c r="H531">
        <f>IF(B531="","",IFERROR(INDEX(Products!$B:$B,MATCH(B531,Products!$A:$A,0)),"SKU not found"))</f>
        <v/>
      </c>
    </row>
    <row r="532">
      <c r="A532" s="7" t="n">
        <v>40877</v>
      </c>
      <c r="B532" s="4" t="inlineStr">
        <is>
          <t>22386</t>
        </is>
      </c>
      <c r="C532" s="4" t="n">
        <v>35</v>
      </c>
      <c r="D532" s="4" t="inlineStr">
        <is>
          <t>UK</t>
        </is>
      </c>
      <c r="E532" s="4" t="inlineStr">
        <is>
          <t>6 invoices</t>
        </is>
      </c>
      <c r="F532" s="6">
        <f>IF(B532="","",IFERROR(INDEX(Products!$E:$E,MATCH(B532,Products!$A:$A,0)),0))</f>
        <v/>
      </c>
      <c r="G532" s="6">
        <f>IF(B532="","",N(C532)*N(F532))</f>
        <v/>
      </c>
      <c r="H532">
        <f>IF(B532="","",IFERROR(INDEX(Products!$B:$B,MATCH(B532,Products!$A:$A,0)),"SKU not found"))</f>
        <v/>
      </c>
    </row>
    <row r="533">
      <c r="A533" s="7" t="n">
        <v>40877</v>
      </c>
      <c r="B533" s="4" t="inlineStr">
        <is>
          <t>22423</t>
        </is>
      </c>
      <c r="C533" s="4" t="n">
        <v>2</v>
      </c>
      <c r="D533" s="4" t="inlineStr">
        <is>
          <t>France</t>
        </is>
      </c>
      <c r="E533" s="4" t="inlineStr">
        <is>
          <t>2 invoices</t>
        </is>
      </c>
      <c r="F533" s="6">
        <f>IF(B533="","",IFERROR(INDEX(Products!$E:$E,MATCH(B533,Products!$A:$A,0)),0))</f>
        <v/>
      </c>
      <c r="G533" s="6">
        <f>IF(B533="","",N(C533)*N(F533))</f>
        <v/>
      </c>
      <c r="H533">
        <f>IF(B533="","",IFERROR(INDEX(Products!$B:$B,MATCH(B533,Products!$A:$A,0)),"SKU not found"))</f>
        <v/>
      </c>
    </row>
    <row r="534">
      <c r="A534" s="7" t="n">
        <v>40877</v>
      </c>
      <c r="B534" s="4" t="inlineStr">
        <is>
          <t>22423</t>
        </is>
      </c>
      <c r="C534" s="4" t="n">
        <v>4</v>
      </c>
      <c r="D534" s="4" t="inlineStr">
        <is>
          <t>Germany</t>
        </is>
      </c>
      <c r="E534" s="4" t="inlineStr">
        <is>
          <t>1 invoices</t>
        </is>
      </c>
      <c r="F534" s="6">
        <f>IF(B534="","",IFERROR(INDEX(Products!$E:$E,MATCH(B534,Products!$A:$A,0)),0))</f>
        <v/>
      </c>
      <c r="G534" s="6">
        <f>IF(B534="","",N(C534)*N(F534))</f>
        <v/>
      </c>
      <c r="H534">
        <f>IF(B534="","",IFERROR(INDEX(Products!$B:$B,MATCH(B534,Products!$A:$A,0)),"SKU not found"))</f>
        <v/>
      </c>
    </row>
    <row r="535">
      <c r="A535" s="7" t="n">
        <v>40877</v>
      </c>
      <c r="B535" s="4" t="inlineStr">
        <is>
          <t>22423</t>
        </is>
      </c>
      <c r="C535" s="4" t="n">
        <v>29</v>
      </c>
      <c r="D535" s="4" t="inlineStr">
        <is>
          <t>UK</t>
        </is>
      </c>
      <c r="E535" s="4" t="inlineStr">
        <is>
          <t>7 invoices</t>
        </is>
      </c>
      <c r="F535" s="6">
        <f>IF(B535="","",IFERROR(INDEX(Products!$E:$E,MATCH(B535,Products!$A:$A,0)),0))</f>
        <v/>
      </c>
      <c r="G535" s="6">
        <f>IF(B535="","",N(C535)*N(F535))</f>
        <v/>
      </c>
      <c r="H535">
        <f>IF(B535="","",IFERROR(INDEX(Products!$B:$B,MATCH(B535,Products!$A:$A,0)),"SKU not found"))</f>
        <v/>
      </c>
    </row>
    <row r="536">
      <c r="A536" s="7" t="n">
        <v>40877</v>
      </c>
      <c r="B536" s="4" t="inlineStr">
        <is>
          <t>22457</t>
        </is>
      </c>
      <c r="C536" s="4" t="n">
        <v>6</v>
      </c>
      <c r="D536" s="4" t="inlineStr">
        <is>
          <t>Ireland</t>
        </is>
      </c>
      <c r="E536" s="4" t="inlineStr">
        <is>
          <t>1 invoices</t>
        </is>
      </c>
      <c r="F536" s="6">
        <f>IF(B536="","",IFERROR(INDEX(Products!$E:$E,MATCH(B536,Products!$A:$A,0)),0))</f>
        <v/>
      </c>
      <c r="G536" s="6">
        <f>IF(B536="","",N(C536)*N(F536))</f>
        <v/>
      </c>
      <c r="H536">
        <f>IF(B536="","",IFERROR(INDEX(Products!$B:$B,MATCH(B536,Products!$A:$A,0)),"SKU not found"))</f>
        <v/>
      </c>
    </row>
    <row r="537">
      <c r="A537" s="7" t="n">
        <v>40877</v>
      </c>
      <c r="B537" s="4" t="inlineStr">
        <is>
          <t>22457</t>
        </is>
      </c>
      <c r="C537" s="4" t="n">
        <v>24</v>
      </c>
      <c r="D537" s="4" t="inlineStr">
        <is>
          <t>UK</t>
        </is>
      </c>
      <c r="E537" s="4" t="inlineStr">
        <is>
          <t>6 invoices</t>
        </is>
      </c>
      <c r="F537" s="6">
        <f>IF(B537="","",IFERROR(INDEX(Products!$E:$E,MATCH(B537,Products!$A:$A,0)),0))</f>
        <v/>
      </c>
      <c r="G537" s="6">
        <f>IF(B537="","",N(C537)*N(F537))</f>
        <v/>
      </c>
      <c r="H537">
        <f>IF(B537="","",IFERROR(INDEX(Products!$B:$B,MATCH(B537,Products!$A:$A,0)),"SKU not found"))</f>
        <v/>
      </c>
    </row>
    <row r="538">
      <c r="A538" s="7" t="n">
        <v>40877</v>
      </c>
      <c r="B538" s="4" t="inlineStr">
        <is>
          <t>22469</t>
        </is>
      </c>
      <c r="C538" s="4" t="n">
        <v>45</v>
      </c>
      <c r="D538" s="4" t="inlineStr">
        <is>
          <t>UK</t>
        </is>
      </c>
      <c r="E538" s="4" t="inlineStr">
        <is>
          <t>6 invoices</t>
        </is>
      </c>
      <c r="F538" s="6">
        <f>IF(B538="","",IFERROR(INDEX(Products!$E:$E,MATCH(B538,Products!$A:$A,0)),0))</f>
        <v/>
      </c>
      <c r="G538" s="6">
        <f>IF(B538="","",N(C538)*N(F538))</f>
        <v/>
      </c>
      <c r="H538">
        <f>IF(B538="","",IFERROR(INDEX(Products!$B:$B,MATCH(B538,Products!$A:$A,0)),"SKU not found"))</f>
        <v/>
      </c>
    </row>
    <row r="539">
      <c r="A539" s="7" t="n">
        <v>40877</v>
      </c>
      <c r="B539" s="4" t="inlineStr">
        <is>
          <t>22720</t>
        </is>
      </c>
      <c r="C539" s="4" t="n">
        <v>10</v>
      </c>
      <c r="D539" s="4" t="inlineStr">
        <is>
          <t>UK</t>
        </is>
      </c>
      <c r="E539" s="4" t="inlineStr">
        <is>
          <t>4 invoices</t>
        </is>
      </c>
      <c r="F539" s="6">
        <f>IF(B539="","",IFERROR(INDEX(Products!$E:$E,MATCH(B539,Products!$A:$A,0)),0))</f>
        <v/>
      </c>
      <c r="G539" s="6">
        <f>IF(B539="","",N(C539)*N(F539))</f>
        <v/>
      </c>
      <c r="H539">
        <f>IF(B539="","",IFERROR(INDEX(Products!$B:$B,MATCH(B539,Products!$A:$A,0)),"SKU not found"))</f>
        <v/>
      </c>
    </row>
    <row r="540">
      <c r="A540" s="7" t="n">
        <v>40877</v>
      </c>
      <c r="B540" s="4" t="inlineStr">
        <is>
          <t>22720</t>
        </is>
      </c>
      <c r="C540" s="4" t="n">
        <v>16</v>
      </c>
      <c r="D540" s="4" t="inlineStr">
        <is>
          <t>Other EU/Intl</t>
        </is>
      </c>
      <c r="E540" s="4" t="inlineStr">
        <is>
          <t>1 invoices</t>
        </is>
      </c>
      <c r="F540" s="6">
        <f>IF(B540="","",IFERROR(INDEX(Products!$E:$E,MATCH(B540,Products!$A:$A,0)),0))</f>
        <v/>
      </c>
      <c r="G540" s="6">
        <f>IF(B540="","",N(C540)*N(F540))</f>
        <v/>
      </c>
      <c r="H540">
        <f>IF(B540="","",IFERROR(INDEX(Products!$B:$B,MATCH(B540,Products!$A:$A,0)),"SKU not found"))</f>
        <v/>
      </c>
    </row>
    <row r="541">
      <c r="A541" s="7" t="n">
        <v>40877</v>
      </c>
      <c r="B541" s="4" t="inlineStr">
        <is>
          <t>47566</t>
        </is>
      </c>
      <c r="C541" s="4" t="n">
        <v>19</v>
      </c>
      <c r="D541" s="4" t="inlineStr">
        <is>
          <t>UK</t>
        </is>
      </c>
      <c r="E541" s="4" t="inlineStr">
        <is>
          <t>3 invoices</t>
        </is>
      </c>
      <c r="F541" s="6">
        <f>IF(B541="","",IFERROR(INDEX(Products!$E:$E,MATCH(B541,Products!$A:$A,0)),0))</f>
        <v/>
      </c>
      <c r="G541" s="6">
        <f>IF(B541="","",N(C541)*N(F541))</f>
        <v/>
      </c>
      <c r="H541">
        <f>IF(B541="","",IFERROR(INDEX(Products!$B:$B,MATCH(B541,Products!$A:$A,0)),"SKU not found"))</f>
        <v/>
      </c>
    </row>
    <row r="542">
      <c r="A542" s="7" t="n">
        <v>40877</v>
      </c>
      <c r="B542" s="4" t="inlineStr">
        <is>
          <t>84879</t>
        </is>
      </c>
      <c r="C542" s="4" t="n">
        <v>112</v>
      </c>
      <c r="D542" s="4" t="inlineStr">
        <is>
          <t>UK</t>
        </is>
      </c>
      <c r="E542" s="4" t="inlineStr">
        <is>
          <t>6 invoices</t>
        </is>
      </c>
      <c r="F542" s="6">
        <f>IF(B542="","",IFERROR(INDEX(Products!$E:$E,MATCH(B542,Products!$A:$A,0)),0))</f>
        <v/>
      </c>
      <c r="G542" s="6">
        <f>IF(B542="","",N(C542)*N(F542))</f>
        <v/>
      </c>
      <c r="H542">
        <f>IF(B542="","",IFERROR(INDEX(Products!$B:$B,MATCH(B542,Products!$A:$A,0)),"SKU not found"))</f>
        <v/>
      </c>
    </row>
    <row r="543">
      <c r="A543" s="7" t="n">
        <v>40877</v>
      </c>
      <c r="B543" s="4" t="inlineStr">
        <is>
          <t>85099B</t>
        </is>
      </c>
      <c r="C543" s="4" t="n">
        <v>189</v>
      </c>
      <c r="D543" s="4" t="inlineStr">
        <is>
          <t>UK</t>
        </is>
      </c>
      <c r="E543" s="4" t="inlineStr">
        <is>
          <t>12 invoices</t>
        </is>
      </c>
      <c r="F543" s="6">
        <f>IF(B543="","",IFERROR(INDEX(Products!$E:$E,MATCH(B543,Products!$A:$A,0)),0))</f>
        <v/>
      </c>
      <c r="G543" s="6">
        <f>IF(B543="","",N(C543)*N(F543))</f>
        <v/>
      </c>
      <c r="H543">
        <f>IF(B543="","",IFERROR(INDEX(Products!$B:$B,MATCH(B543,Products!$A:$A,0)),"SKU not found"))</f>
        <v/>
      </c>
    </row>
    <row r="544">
      <c r="A544" s="7" t="n">
        <v>40877</v>
      </c>
      <c r="B544" s="4" t="inlineStr">
        <is>
          <t>85123A</t>
        </is>
      </c>
      <c r="C544" s="4" t="n">
        <v>12</v>
      </c>
      <c r="D544" s="4" t="inlineStr">
        <is>
          <t>Other EU/Intl</t>
        </is>
      </c>
      <c r="E544" s="4" t="inlineStr">
        <is>
          <t>1 invoices</t>
        </is>
      </c>
      <c r="F544" s="6">
        <f>IF(B544="","",IFERROR(INDEX(Products!$E:$E,MATCH(B544,Products!$A:$A,0)),0))</f>
        <v/>
      </c>
      <c r="G544" s="6">
        <f>IF(B544="","",N(C544)*N(F544))</f>
        <v/>
      </c>
      <c r="H544">
        <f>IF(B544="","",IFERROR(INDEX(Products!$B:$B,MATCH(B544,Products!$A:$A,0)),"SKU not found"))</f>
        <v/>
      </c>
    </row>
    <row r="545">
      <c r="A545" s="7" t="n">
        <v>40877</v>
      </c>
      <c r="B545" s="4" t="inlineStr">
        <is>
          <t>85123A</t>
        </is>
      </c>
      <c r="C545" s="4" t="n">
        <v>64</v>
      </c>
      <c r="D545" s="4" t="inlineStr">
        <is>
          <t>Ireland</t>
        </is>
      </c>
      <c r="E545" s="4" t="inlineStr">
        <is>
          <t>1 invoices</t>
        </is>
      </c>
      <c r="F545" s="6">
        <f>IF(B545="","",IFERROR(INDEX(Products!$E:$E,MATCH(B545,Products!$A:$A,0)),0))</f>
        <v/>
      </c>
      <c r="G545" s="6">
        <f>IF(B545="","",N(C545)*N(F545))</f>
        <v/>
      </c>
      <c r="H545">
        <f>IF(B545="","",IFERROR(INDEX(Products!$B:$B,MATCH(B545,Products!$A:$A,0)),"SKU not found"))</f>
        <v/>
      </c>
    </row>
    <row r="546">
      <c r="A546" s="7" t="n">
        <v>40877</v>
      </c>
      <c r="B546" s="4" t="inlineStr">
        <is>
          <t>85123A</t>
        </is>
      </c>
      <c r="C546" s="4" t="n">
        <v>235</v>
      </c>
      <c r="D546" s="4" t="inlineStr">
        <is>
          <t>UK</t>
        </is>
      </c>
      <c r="E546" s="4" t="inlineStr">
        <is>
          <t>9 invoices</t>
        </is>
      </c>
      <c r="F546" s="6">
        <f>IF(B546="","",IFERROR(INDEX(Products!$E:$E,MATCH(B546,Products!$A:$A,0)),0))</f>
        <v/>
      </c>
      <c r="G546" s="6">
        <f>IF(B546="","",N(C546)*N(F546))</f>
        <v/>
      </c>
      <c r="H546">
        <f>IF(B546="","",IFERROR(INDEX(Products!$B:$B,MATCH(B546,Products!$A:$A,0)),"SKU not found"))</f>
        <v/>
      </c>
    </row>
    <row r="547">
      <c r="A547" s="7" t="n">
        <v>40878</v>
      </c>
      <c r="B547" s="4" t="inlineStr">
        <is>
          <t>20725</t>
        </is>
      </c>
      <c r="C547" s="4" t="n">
        <v>51</v>
      </c>
      <c r="D547" s="4" t="inlineStr">
        <is>
          <t>UK</t>
        </is>
      </c>
      <c r="E547" s="4" t="inlineStr">
        <is>
          <t>4 invoices</t>
        </is>
      </c>
      <c r="F547" s="6">
        <f>IF(B547="","",IFERROR(INDEX(Products!$E:$E,MATCH(B547,Products!$A:$A,0)),0))</f>
        <v/>
      </c>
      <c r="G547" s="6">
        <f>IF(B547="","",N(C547)*N(F547))</f>
        <v/>
      </c>
      <c r="H547">
        <f>IF(B547="","",IFERROR(INDEX(Products!$B:$B,MATCH(B547,Products!$A:$A,0)),"SKU not found"))</f>
        <v/>
      </c>
    </row>
    <row r="548">
      <c r="A548" s="7" t="n">
        <v>40878</v>
      </c>
      <c r="B548" s="4" t="inlineStr">
        <is>
          <t>20727</t>
        </is>
      </c>
      <c r="C548" s="4" t="n">
        <v>81</v>
      </c>
      <c r="D548" s="4" t="inlineStr">
        <is>
          <t>UK</t>
        </is>
      </c>
      <c r="E548" s="4" t="inlineStr">
        <is>
          <t>8 invoices</t>
        </is>
      </c>
      <c r="F548" s="6">
        <f>IF(B548="","",IFERROR(INDEX(Products!$E:$E,MATCH(B548,Products!$A:$A,0)),0))</f>
        <v/>
      </c>
      <c r="G548" s="6">
        <f>IF(B548="","",N(C548)*N(F548))</f>
        <v/>
      </c>
      <c r="H548">
        <f>IF(B548="","",IFERROR(INDEX(Products!$B:$B,MATCH(B548,Products!$A:$A,0)),"SKU not found"))</f>
        <v/>
      </c>
    </row>
    <row r="549">
      <c r="A549" s="7" t="n">
        <v>40878</v>
      </c>
      <c r="B549" s="4" t="inlineStr">
        <is>
          <t>21212</t>
        </is>
      </c>
      <c r="C549" s="4" t="n">
        <v>5</v>
      </c>
      <c r="D549" s="4" t="inlineStr">
        <is>
          <t>UK</t>
        </is>
      </c>
      <c r="E549" s="4" t="inlineStr">
        <is>
          <t>1 invoices</t>
        </is>
      </c>
      <c r="F549" s="6">
        <f>IF(B549="","",IFERROR(INDEX(Products!$E:$E,MATCH(B549,Products!$A:$A,0)),0))</f>
        <v/>
      </c>
      <c r="G549" s="6">
        <f>IF(B549="","",N(C549)*N(F549))</f>
        <v/>
      </c>
      <c r="H549">
        <f>IF(B549="","",IFERROR(INDEX(Products!$B:$B,MATCH(B549,Products!$A:$A,0)),"SKU not found"))</f>
        <v/>
      </c>
    </row>
    <row r="550">
      <c r="A550" s="7" t="n">
        <v>40878</v>
      </c>
      <c r="B550" s="4" t="inlineStr">
        <is>
          <t>21212</t>
        </is>
      </c>
      <c r="C550" s="4" t="n">
        <v>24</v>
      </c>
      <c r="D550" s="4" t="inlineStr">
        <is>
          <t>Ireland</t>
        </is>
      </c>
      <c r="E550" s="4" t="inlineStr">
        <is>
          <t>1 invoices</t>
        </is>
      </c>
      <c r="F550" s="6">
        <f>IF(B550="","",IFERROR(INDEX(Products!$E:$E,MATCH(B550,Products!$A:$A,0)),0))</f>
        <v/>
      </c>
      <c r="G550" s="6">
        <f>IF(B550="","",N(C550)*N(F550))</f>
        <v/>
      </c>
      <c r="H550">
        <f>IF(B550="","",IFERROR(INDEX(Products!$B:$B,MATCH(B550,Products!$A:$A,0)),"SKU not found"))</f>
        <v/>
      </c>
    </row>
    <row r="551">
      <c r="A551" s="7" t="n">
        <v>40878</v>
      </c>
      <c r="B551" s="4" t="inlineStr">
        <is>
          <t>21931</t>
        </is>
      </c>
      <c r="C551" s="4" t="n">
        <v>153</v>
      </c>
      <c r="D551" s="4" t="inlineStr">
        <is>
          <t>UK</t>
        </is>
      </c>
      <c r="E551" s="4" t="inlineStr">
        <is>
          <t>6 invoices</t>
        </is>
      </c>
      <c r="F551" s="6">
        <f>IF(B551="","",IFERROR(INDEX(Products!$E:$E,MATCH(B551,Products!$A:$A,0)),0))</f>
        <v/>
      </c>
      <c r="G551" s="6">
        <f>IF(B551="","",N(C551)*N(F551))</f>
        <v/>
      </c>
      <c r="H551">
        <f>IF(B551="","",IFERROR(INDEX(Products!$B:$B,MATCH(B551,Products!$A:$A,0)),"SKU not found"))</f>
        <v/>
      </c>
    </row>
    <row r="552">
      <c r="A552" s="7" t="n">
        <v>40878</v>
      </c>
      <c r="B552" s="4" t="inlineStr">
        <is>
          <t>22197</t>
        </is>
      </c>
      <c r="C552" s="4" t="n">
        <v>279</v>
      </c>
      <c r="D552" s="4" t="inlineStr">
        <is>
          <t>UK</t>
        </is>
      </c>
      <c r="E552" s="4" t="inlineStr">
        <is>
          <t>9 invoices</t>
        </is>
      </c>
      <c r="F552" s="6">
        <f>IF(B552="","",IFERROR(INDEX(Products!$E:$E,MATCH(B552,Products!$A:$A,0)),0))</f>
        <v/>
      </c>
      <c r="G552" s="6">
        <f>IF(B552="","",N(C552)*N(F552))</f>
        <v/>
      </c>
      <c r="H552">
        <f>IF(B552="","",IFERROR(INDEX(Products!$B:$B,MATCH(B552,Products!$A:$A,0)),"SKU not found"))</f>
        <v/>
      </c>
    </row>
    <row r="553">
      <c r="A553" s="7" t="n">
        <v>40878</v>
      </c>
      <c r="B553" s="4" t="inlineStr">
        <is>
          <t>22383</t>
        </is>
      </c>
      <c r="C553" s="4" t="n">
        <v>5</v>
      </c>
      <c r="D553" s="4" t="inlineStr">
        <is>
          <t>UK</t>
        </is>
      </c>
      <c r="E553" s="4" t="inlineStr">
        <is>
          <t>3 invoices</t>
        </is>
      </c>
      <c r="F553" s="6">
        <f>IF(B553="","",IFERROR(INDEX(Products!$E:$E,MATCH(B553,Products!$A:$A,0)),0))</f>
        <v/>
      </c>
      <c r="G553" s="6">
        <f>IF(B553="","",N(C553)*N(F553))</f>
        <v/>
      </c>
      <c r="H553">
        <f>IF(B553="","",IFERROR(INDEX(Products!$B:$B,MATCH(B553,Products!$A:$A,0)),"SKU not found"))</f>
        <v/>
      </c>
    </row>
    <row r="554">
      <c r="A554" s="7" t="n">
        <v>40878</v>
      </c>
      <c r="B554" s="4" t="inlineStr">
        <is>
          <t>22386</t>
        </is>
      </c>
      <c r="C554" s="4" t="n">
        <v>11</v>
      </c>
      <c r="D554" s="4" t="inlineStr">
        <is>
          <t>UK</t>
        </is>
      </c>
      <c r="E554" s="4" t="inlineStr">
        <is>
          <t>2 invoices</t>
        </is>
      </c>
      <c r="F554" s="6">
        <f>IF(B554="","",IFERROR(INDEX(Products!$E:$E,MATCH(B554,Products!$A:$A,0)),0))</f>
        <v/>
      </c>
      <c r="G554" s="6">
        <f>IF(B554="","",N(C554)*N(F554))</f>
        <v/>
      </c>
      <c r="H554">
        <f>IF(B554="","",IFERROR(INDEX(Products!$B:$B,MATCH(B554,Products!$A:$A,0)),"SKU not found"))</f>
        <v/>
      </c>
    </row>
    <row r="555">
      <c r="A555" s="7" t="n">
        <v>40878</v>
      </c>
      <c r="B555" s="4" t="inlineStr">
        <is>
          <t>22423</t>
        </is>
      </c>
      <c r="C555" s="4" t="n">
        <v>3</v>
      </c>
      <c r="D555" s="4" t="inlineStr">
        <is>
          <t>Ireland</t>
        </is>
      </c>
      <c r="E555" s="4" t="inlineStr">
        <is>
          <t>1 invoices</t>
        </is>
      </c>
      <c r="F555" s="6">
        <f>IF(B555="","",IFERROR(INDEX(Products!$E:$E,MATCH(B555,Products!$A:$A,0)),0))</f>
        <v/>
      </c>
      <c r="G555" s="6">
        <f>IF(B555="","",N(C555)*N(F555))</f>
        <v/>
      </c>
      <c r="H555">
        <f>IF(B555="","",IFERROR(INDEX(Products!$B:$B,MATCH(B555,Products!$A:$A,0)),"SKU not found"))</f>
        <v/>
      </c>
    </row>
    <row r="556">
      <c r="A556" s="7" t="n">
        <v>40878</v>
      </c>
      <c r="B556" s="4" t="inlineStr">
        <is>
          <t>22423</t>
        </is>
      </c>
      <c r="C556" s="4" t="n">
        <v>4</v>
      </c>
      <c r="D556" s="4" t="inlineStr">
        <is>
          <t>Germany</t>
        </is>
      </c>
      <c r="E556" s="4" t="inlineStr">
        <is>
          <t>1 invoices</t>
        </is>
      </c>
      <c r="F556" s="6">
        <f>IF(B556="","",IFERROR(INDEX(Products!$E:$E,MATCH(B556,Products!$A:$A,0)),0))</f>
        <v/>
      </c>
      <c r="G556" s="6">
        <f>IF(B556="","",N(C556)*N(F556))</f>
        <v/>
      </c>
      <c r="H556">
        <f>IF(B556="","",IFERROR(INDEX(Products!$B:$B,MATCH(B556,Products!$A:$A,0)),"SKU not found"))</f>
        <v/>
      </c>
    </row>
    <row r="557">
      <c r="A557" s="7" t="n">
        <v>40878</v>
      </c>
      <c r="B557" s="4" t="inlineStr">
        <is>
          <t>22423</t>
        </is>
      </c>
      <c r="C557" s="4" t="n">
        <v>27</v>
      </c>
      <c r="D557" s="4" t="inlineStr">
        <is>
          <t>UK</t>
        </is>
      </c>
      <c r="E557" s="4" t="inlineStr">
        <is>
          <t>7 invoices</t>
        </is>
      </c>
      <c r="F557" s="6">
        <f>IF(B557="","",IFERROR(INDEX(Products!$E:$E,MATCH(B557,Products!$A:$A,0)),0))</f>
        <v/>
      </c>
      <c r="G557" s="6">
        <f>IF(B557="","",N(C557)*N(F557))</f>
        <v/>
      </c>
      <c r="H557">
        <f>IF(B557="","",IFERROR(INDEX(Products!$B:$B,MATCH(B557,Products!$A:$A,0)),"SKU not found"))</f>
        <v/>
      </c>
    </row>
    <row r="558">
      <c r="A558" s="7" t="n">
        <v>40878</v>
      </c>
      <c r="B558" s="4" t="inlineStr">
        <is>
          <t>22457</t>
        </is>
      </c>
      <c r="C558" s="4" t="n">
        <v>96</v>
      </c>
      <c r="D558" s="4" t="inlineStr">
        <is>
          <t>UK</t>
        </is>
      </c>
      <c r="E558" s="4" t="inlineStr">
        <is>
          <t>10 invoices</t>
        </is>
      </c>
      <c r="F558" s="6">
        <f>IF(B558="","",IFERROR(INDEX(Products!$E:$E,MATCH(B558,Products!$A:$A,0)),0))</f>
        <v/>
      </c>
      <c r="G558" s="6">
        <f>IF(B558="","",N(C558)*N(F558))</f>
        <v/>
      </c>
      <c r="H558">
        <f>IF(B558="","",IFERROR(INDEX(Products!$B:$B,MATCH(B558,Products!$A:$A,0)),"SKU not found"))</f>
        <v/>
      </c>
    </row>
    <row r="559">
      <c r="A559" s="7" t="n">
        <v>40878</v>
      </c>
      <c r="B559" s="4" t="inlineStr">
        <is>
          <t>22469</t>
        </is>
      </c>
      <c r="C559" s="4" t="n">
        <v>34</v>
      </c>
      <c r="D559" s="4" t="inlineStr">
        <is>
          <t>UK</t>
        </is>
      </c>
      <c r="E559" s="4" t="inlineStr">
        <is>
          <t>4 invoices</t>
        </is>
      </c>
      <c r="F559" s="6">
        <f>IF(B559="","",IFERROR(INDEX(Products!$E:$E,MATCH(B559,Products!$A:$A,0)),0))</f>
        <v/>
      </c>
      <c r="G559" s="6">
        <f>IF(B559="","",N(C559)*N(F559))</f>
        <v/>
      </c>
      <c r="H559">
        <f>IF(B559="","",IFERROR(INDEX(Products!$B:$B,MATCH(B559,Products!$A:$A,0)),"SKU not found"))</f>
        <v/>
      </c>
    </row>
    <row r="560">
      <c r="A560" s="7" t="n">
        <v>40878</v>
      </c>
      <c r="B560" s="4" t="inlineStr">
        <is>
          <t>22720</t>
        </is>
      </c>
      <c r="C560" s="4" t="n">
        <v>19</v>
      </c>
      <c r="D560" s="4" t="inlineStr">
        <is>
          <t>UK</t>
        </is>
      </c>
      <c r="E560" s="4" t="inlineStr">
        <is>
          <t>7 invoices</t>
        </is>
      </c>
      <c r="F560" s="6">
        <f>IF(B560="","",IFERROR(INDEX(Products!$E:$E,MATCH(B560,Products!$A:$A,0)),0))</f>
        <v/>
      </c>
      <c r="G560" s="6">
        <f>IF(B560="","",N(C560)*N(F560))</f>
        <v/>
      </c>
      <c r="H560">
        <f>IF(B560="","",IFERROR(INDEX(Products!$B:$B,MATCH(B560,Products!$A:$A,0)),"SKU not found"))</f>
        <v/>
      </c>
    </row>
    <row r="561">
      <c r="A561" s="7" t="n">
        <v>40878</v>
      </c>
      <c r="B561" s="4" t="inlineStr">
        <is>
          <t>47566</t>
        </is>
      </c>
      <c r="C561" s="4" t="n">
        <v>8</v>
      </c>
      <c r="D561" s="4" t="inlineStr">
        <is>
          <t>UK</t>
        </is>
      </c>
      <c r="E561" s="4" t="inlineStr">
        <is>
          <t>2 invoices</t>
        </is>
      </c>
      <c r="F561" s="6">
        <f>IF(B561="","",IFERROR(INDEX(Products!$E:$E,MATCH(B561,Products!$A:$A,0)),0))</f>
        <v/>
      </c>
      <c r="G561" s="6">
        <f>IF(B561="","",N(C561)*N(F561))</f>
        <v/>
      </c>
      <c r="H561">
        <f>IF(B561="","",IFERROR(INDEX(Products!$B:$B,MATCH(B561,Products!$A:$A,0)),"SKU not found"))</f>
        <v/>
      </c>
    </row>
    <row r="562">
      <c r="A562" s="7" t="n">
        <v>40878</v>
      </c>
      <c r="B562" s="4" t="inlineStr">
        <is>
          <t>84879</t>
        </is>
      </c>
      <c r="C562" s="4" t="n">
        <v>88</v>
      </c>
      <c r="D562" s="4" t="inlineStr">
        <is>
          <t>UK</t>
        </is>
      </c>
      <c r="E562" s="4" t="inlineStr">
        <is>
          <t>7 invoices</t>
        </is>
      </c>
      <c r="F562" s="6">
        <f>IF(B562="","",IFERROR(INDEX(Products!$E:$E,MATCH(B562,Products!$A:$A,0)),0))</f>
        <v/>
      </c>
      <c r="G562" s="6">
        <f>IF(B562="","",N(C562)*N(F562))</f>
        <v/>
      </c>
      <c r="H562">
        <f>IF(B562="","",IFERROR(INDEX(Products!$B:$B,MATCH(B562,Products!$A:$A,0)),"SKU not found"))</f>
        <v/>
      </c>
    </row>
    <row r="563">
      <c r="A563" s="7" t="n">
        <v>40878</v>
      </c>
      <c r="B563" s="4" t="inlineStr">
        <is>
          <t>85099B</t>
        </is>
      </c>
      <c r="C563" s="4" t="n">
        <v>20</v>
      </c>
      <c r="D563" s="4" t="inlineStr">
        <is>
          <t>France</t>
        </is>
      </c>
      <c r="E563" s="4" t="inlineStr">
        <is>
          <t>1 invoices</t>
        </is>
      </c>
      <c r="F563" s="6">
        <f>IF(B563="","",IFERROR(INDEX(Products!$E:$E,MATCH(B563,Products!$A:$A,0)),0))</f>
        <v/>
      </c>
      <c r="G563" s="6">
        <f>IF(B563="","",N(C563)*N(F563))</f>
        <v/>
      </c>
      <c r="H563">
        <f>IF(B563="","",IFERROR(INDEX(Products!$B:$B,MATCH(B563,Products!$A:$A,0)),"SKU not found"))</f>
        <v/>
      </c>
    </row>
    <row r="564">
      <c r="A564" s="7" t="n">
        <v>40878</v>
      </c>
      <c r="B564" s="4" t="inlineStr">
        <is>
          <t>85099B</t>
        </is>
      </c>
      <c r="C564" s="4" t="n">
        <v>129</v>
      </c>
      <c r="D564" s="4" t="inlineStr">
        <is>
          <t>UK</t>
        </is>
      </c>
      <c r="E564" s="4" t="inlineStr">
        <is>
          <t>7 invoices</t>
        </is>
      </c>
      <c r="F564" s="6">
        <f>IF(B564="","",IFERROR(INDEX(Products!$E:$E,MATCH(B564,Products!$A:$A,0)),0))</f>
        <v/>
      </c>
      <c r="G564" s="6">
        <f>IF(B564="","",N(C564)*N(F564))</f>
        <v/>
      </c>
      <c r="H564">
        <f>IF(B564="","",IFERROR(INDEX(Products!$B:$B,MATCH(B564,Products!$A:$A,0)),"SKU not found"))</f>
        <v/>
      </c>
    </row>
    <row r="565">
      <c r="A565" s="7" t="n">
        <v>40878</v>
      </c>
      <c r="B565" s="4" t="inlineStr">
        <is>
          <t>85123A</t>
        </is>
      </c>
      <c r="C565" s="4" t="n">
        <v>41</v>
      </c>
      <c r="D565" s="4" t="inlineStr">
        <is>
          <t>UK</t>
        </is>
      </c>
      <c r="E565" s="4" t="inlineStr">
        <is>
          <t>10 invoices</t>
        </is>
      </c>
      <c r="F565" s="6">
        <f>IF(B565="","",IFERROR(INDEX(Products!$E:$E,MATCH(B565,Products!$A:$A,0)),0))</f>
        <v/>
      </c>
      <c r="G565" s="6">
        <f>IF(B565="","",N(C565)*N(F565))</f>
        <v/>
      </c>
      <c r="H565">
        <f>IF(B565="","",IFERROR(INDEX(Products!$B:$B,MATCH(B565,Products!$A:$A,0)),"SKU not found"))</f>
        <v/>
      </c>
    </row>
    <row r="566">
      <c r="A566" s="7" t="n">
        <v>40879</v>
      </c>
      <c r="B566" s="4" t="inlineStr">
        <is>
          <t>20725</t>
        </is>
      </c>
      <c r="C566" s="4" t="n">
        <v>72</v>
      </c>
      <c r="D566" s="4" t="inlineStr">
        <is>
          <t>UK</t>
        </is>
      </c>
      <c r="E566" s="4" t="inlineStr">
        <is>
          <t>5 invoices</t>
        </is>
      </c>
      <c r="F566" s="6">
        <f>IF(B566="","",IFERROR(INDEX(Products!$E:$E,MATCH(B566,Products!$A:$A,0)),0))</f>
        <v/>
      </c>
      <c r="G566" s="6">
        <f>IF(B566="","",N(C566)*N(F566))</f>
        <v/>
      </c>
      <c r="H566">
        <f>IF(B566="","",IFERROR(INDEX(Products!$B:$B,MATCH(B566,Products!$A:$A,0)),"SKU not found"))</f>
        <v/>
      </c>
    </row>
    <row r="567">
      <c r="A567" s="7" t="n">
        <v>40879</v>
      </c>
      <c r="B567" s="4" t="inlineStr">
        <is>
          <t>20727</t>
        </is>
      </c>
      <c r="C567" s="4" t="n">
        <v>41</v>
      </c>
      <c r="D567" s="4" t="inlineStr">
        <is>
          <t>UK</t>
        </is>
      </c>
      <c r="E567" s="4" t="inlineStr">
        <is>
          <t>5 invoices</t>
        </is>
      </c>
      <c r="F567" s="6">
        <f>IF(B567="","",IFERROR(INDEX(Products!$E:$E,MATCH(B567,Products!$A:$A,0)),0))</f>
        <v/>
      </c>
      <c r="G567" s="6">
        <f>IF(B567="","",N(C567)*N(F567))</f>
        <v/>
      </c>
      <c r="H567">
        <f>IF(B567="","",IFERROR(INDEX(Products!$B:$B,MATCH(B567,Products!$A:$A,0)),"SKU not found"))</f>
        <v/>
      </c>
    </row>
    <row r="568">
      <c r="A568" s="7" t="n">
        <v>40879</v>
      </c>
      <c r="B568" s="4" t="inlineStr">
        <is>
          <t>21212</t>
        </is>
      </c>
      <c r="C568" s="4" t="n">
        <v>24</v>
      </c>
      <c r="D568" s="4" t="inlineStr">
        <is>
          <t>Other EU/Intl</t>
        </is>
      </c>
      <c r="E568" s="4" t="inlineStr">
        <is>
          <t>1 invoices</t>
        </is>
      </c>
      <c r="F568" s="6">
        <f>IF(B568="","",IFERROR(INDEX(Products!$E:$E,MATCH(B568,Products!$A:$A,0)),0))</f>
        <v/>
      </c>
      <c r="G568" s="6">
        <f>IF(B568="","",N(C568)*N(F568))</f>
        <v/>
      </c>
      <c r="H568">
        <f>IF(B568="","",IFERROR(INDEX(Products!$B:$B,MATCH(B568,Products!$A:$A,0)),"SKU not found"))</f>
        <v/>
      </c>
    </row>
    <row r="569">
      <c r="A569" s="7" t="n">
        <v>40879</v>
      </c>
      <c r="B569" s="4" t="inlineStr">
        <is>
          <t>21212</t>
        </is>
      </c>
      <c r="C569" s="4" t="n">
        <v>92</v>
      </c>
      <c r="D569" s="4" t="inlineStr">
        <is>
          <t>UK</t>
        </is>
      </c>
      <c r="E569" s="4" t="inlineStr">
        <is>
          <t>5 invoices</t>
        </is>
      </c>
      <c r="F569" s="6">
        <f>IF(B569="","",IFERROR(INDEX(Products!$E:$E,MATCH(B569,Products!$A:$A,0)),0))</f>
        <v/>
      </c>
      <c r="G569" s="6">
        <f>IF(B569="","",N(C569)*N(F569))</f>
        <v/>
      </c>
      <c r="H569">
        <f>IF(B569="","",IFERROR(INDEX(Products!$B:$B,MATCH(B569,Products!$A:$A,0)),"SKU not found"))</f>
        <v/>
      </c>
    </row>
    <row r="570">
      <c r="A570" s="7" t="n">
        <v>40879</v>
      </c>
      <c r="B570" s="4" t="inlineStr">
        <is>
          <t>21931</t>
        </is>
      </c>
      <c r="C570" s="4" t="n">
        <v>31</v>
      </c>
      <c r="D570" s="4" t="inlineStr">
        <is>
          <t>UK</t>
        </is>
      </c>
      <c r="E570" s="4" t="inlineStr">
        <is>
          <t>3 invoices</t>
        </is>
      </c>
      <c r="F570" s="6">
        <f>IF(B570="","",IFERROR(INDEX(Products!$E:$E,MATCH(B570,Products!$A:$A,0)),0))</f>
        <v/>
      </c>
      <c r="G570" s="6">
        <f>IF(B570="","",N(C570)*N(F570))</f>
        <v/>
      </c>
      <c r="H570">
        <f>IF(B570="","",IFERROR(INDEX(Products!$B:$B,MATCH(B570,Products!$A:$A,0)),"SKU not found"))</f>
        <v/>
      </c>
    </row>
    <row r="571">
      <c r="A571" s="7" t="n">
        <v>40879</v>
      </c>
      <c r="B571" s="4" t="inlineStr">
        <is>
          <t>22197</t>
        </is>
      </c>
      <c r="C571" s="4" t="n">
        <v>1369</v>
      </c>
      <c r="D571" s="4" t="inlineStr">
        <is>
          <t>UK</t>
        </is>
      </c>
      <c r="E571" s="4" t="inlineStr">
        <is>
          <t>8 invoices</t>
        </is>
      </c>
      <c r="F571" s="6">
        <f>IF(B571="","",IFERROR(INDEX(Products!$E:$E,MATCH(B571,Products!$A:$A,0)),0))</f>
        <v/>
      </c>
      <c r="G571" s="6">
        <f>IF(B571="","",N(C571)*N(F571))</f>
        <v/>
      </c>
      <c r="H571">
        <f>IF(B571="","",IFERROR(INDEX(Products!$B:$B,MATCH(B571,Products!$A:$A,0)),"SKU not found"))</f>
        <v/>
      </c>
    </row>
    <row r="572">
      <c r="A572" s="7" t="n">
        <v>40879</v>
      </c>
      <c r="B572" s="4" t="inlineStr">
        <is>
          <t>22383</t>
        </is>
      </c>
      <c r="C572" s="4" t="n">
        <v>36</v>
      </c>
      <c r="D572" s="4" t="inlineStr">
        <is>
          <t>UK</t>
        </is>
      </c>
      <c r="E572" s="4" t="inlineStr">
        <is>
          <t>6 invoices</t>
        </is>
      </c>
      <c r="F572" s="6">
        <f>IF(B572="","",IFERROR(INDEX(Products!$E:$E,MATCH(B572,Products!$A:$A,0)),0))</f>
        <v/>
      </c>
      <c r="G572" s="6">
        <f>IF(B572="","",N(C572)*N(F572))</f>
        <v/>
      </c>
      <c r="H572">
        <f>IF(B572="","",IFERROR(INDEX(Products!$B:$B,MATCH(B572,Products!$A:$A,0)),"SKU not found"))</f>
        <v/>
      </c>
    </row>
    <row r="573">
      <c r="A573" s="7" t="n">
        <v>40879</v>
      </c>
      <c r="B573" s="4" t="inlineStr">
        <is>
          <t>22386</t>
        </is>
      </c>
      <c r="C573" s="4" t="n">
        <v>20</v>
      </c>
      <c r="D573" s="4" t="inlineStr">
        <is>
          <t>Other EU/Intl</t>
        </is>
      </c>
      <c r="E573" s="4" t="inlineStr">
        <is>
          <t>1 invoices</t>
        </is>
      </c>
      <c r="F573" s="6">
        <f>IF(B573="","",IFERROR(INDEX(Products!$E:$E,MATCH(B573,Products!$A:$A,0)),0))</f>
        <v/>
      </c>
      <c r="G573" s="6">
        <f>IF(B573="","",N(C573)*N(F573))</f>
        <v/>
      </c>
      <c r="H573">
        <f>IF(B573="","",IFERROR(INDEX(Products!$B:$B,MATCH(B573,Products!$A:$A,0)),"SKU not found"))</f>
        <v/>
      </c>
    </row>
    <row r="574">
      <c r="A574" s="7" t="n">
        <v>40879</v>
      </c>
      <c r="B574" s="4" t="inlineStr">
        <is>
          <t>22386</t>
        </is>
      </c>
      <c r="C574" s="4" t="n">
        <v>321</v>
      </c>
      <c r="D574" s="4" t="inlineStr">
        <is>
          <t>UK</t>
        </is>
      </c>
      <c r="E574" s="4" t="inlineStr">
        <is>
          <t>4 invoices</t>
        </is>
      </c>
      <c r="F574" s="6">
        <f>IF(B574="","",IFERROR(INDEX(Products!$E:$E,MATCH(B574,Products!$A:$A,0)),0))</f>
        <v/>
      </c>
      <c r="G574" s="6">
        <f>IF(B574="","",N(C574)*N(F574))</f>
        <v/>
      </c>
      <c r="H574">
        <f>IF(B574="","",IFERROR(INDEX(Products!$B:$B,MATCH(B574,Products!$A:$A,0)),"SKU not found"))</f>
        <v/>
      </c>
    </row>
    <row r="575">
      <c r="A575" s="7" t="n">
        <v>40879</v>
      </c>
      <c r="B575" s="4" t="inlineStr">
        <is>
          <t>22423</t>
        </is>
      </c>
      <c r="C575" s="4" t="n">
        <v>20</v>
      </c>
      <c r="D575" s="4" t="inlineStr">
        <is>
          <t>UK</t>
        </is>
      </c>
      <c r="E575" s="4" t="inlineStr">
        <is>
          <t>8 invoices</t>
        </is>
      </c>
      <c r="F575" s="6">
        <f>IF(B575="","",IFERROR(INDEX(Products!$E:$E,MATCH(B575,Products!$A:$A,0)),0))</f>
        <v/>
      </c>
      <c r="G575" s="6">
        <f>IF(B575="","",N(C575)*N(F575))</f>
        <v/>
      </c>
      <c r="H575">
        <f>IF(B575="","",IFERROR(INDEX(Products!$B:$B,MATCH(B575,Products!$A:$A,0)),"SKU not found"))</f>
        <v/>
      </c>
    </row>
    <row r="576">
      <c r="A576" s="7" t="n">
        <v>40879</v>
      </c>
      <c r="B576" s="4" t="inlineStr">
        <is>
          <t>22457</t>
        </is>
      </c>
      <c r="C576" s="4" t="n">
        <v>14</v>
      </c>
      <c r="D576" s="4" t="inlineStr">
        <is>
          <t>UK</t>
        </is>
      </c>
      <c r="E576" s="4" t="inlineStr">
        <is>
          <t>3 invoices</t>
        </is>
      </c>
      <c r="F576" s="6">
        <f>IF(B576="","",IFERROR(INDEX(Products!$E:$E,MATCH(B576,Products!$A:$A,0)),0))</f>
        <v/>
      </c>
      <c r="G576" s="6">
        <f>IF(B576="","",N(C576)*N(F576))</f>
        <v/>
      </c>
      <c r="H576">
        <f>IF(B576="","",IFERROR(INDEX(Products!$B:$B,MATCH(B576,Products!$A:$A,0)),"SKU not found"))</f>
        <v/>
      </c>
    </row>
    <row r="577">
      <c r="A577" s="7" t="n">
        <v>40879</v>
      </c>
      <c r="B577" s="4" t="inlineStr">
        <is>
          <t>22469</t>
        </is>
      </c>
      <c r="C577" s="4" t="n">
        <v>26</v>
      </c>
      <c r="D577" s="4" t="inlineStr">
        <is>
          <t>UK</t>
        </is>
      </c>
      <c r="E577" s="4" t="inlineStr">
        <is>
          <t>5 invoices</t>
        </is>
      </c>
      <c r="F577" s="6">
        <f>IF(B577="","",IFERROR(INDEX(Products!$E:$E,MATCH(B577,Products!$A:$A,0)),0))</f>
        <v/>
      </c>
      <c r="G577" s="6">
        <f>IF(B577="","",N(C577)*N(F577))</f>
        <v/>
      </c>
      <c r="H577">
        <f>IF(B577="","",IFERROR(INDEX(Products!$B:$B,MATCH(B577,Products!$A:$A,0)),"SKU not found"))</f>
        <v/>
      </c>
    </row>
    <row r="578">
      <c r="A578" s="7" t="n">
        <v>40879</v>
      </c>
      <c r="B578" s="4" t="inlineStr">
        <is>
          <t>22720</t>
        </is>
      </c>
      <c r="C578" s="4" t="n">
        <v>19</v>
      </c>
      <c r="D578" s="4" t="inlineStr">
        <is>
          <t>UK</t>
        </is>
      </c>
      <c r="E578" s="4" t="inlineStr">
        <is>
          <t>8 invoices</t>
        </is>
      </c>
      <c r="F578" s="6">
        <f>IF(B578="","",IFERROR(INDEX(Products!$E:$E,MATCH(B578,Products!$A:$A,0)),0))</f>
        <v/>
      </c>
      <c r="G578" s="6">
        <f>IF(B578="","",N(C578)*N(F578))</f>
        <v/>
      </c>
      <c r="H578">
        <f>IF(B578="","",IFERROR(INDEX(Products!$B:$B,MATCH(B578,Products!$A:$A,0)),"SKU not found"))</f>
        <v/>
      </c>
    </row>
    <row r="579">
      <c r="A579" s="7" t="n">
        <v>40879</v>
      </c>
      <c r="B579" s="4" t="inlineStr">
        <is>
          <t>47566</t>
        </is>
      </c>
      <c r="C579" s="4" t="n">
        <v>4</v>
      </c>
      <c r="D579" s="4" t="inlineStr">
        <is>
          <t>France</t>
        </is>
      </c>
      <c r="E579" s="4" t="inlineStr">
        <is>
          <t>1 invoices</t>
        </is>
      </c>
      <c r="F579" s="6">
        <f>IF(B579="","",IFERROR(INDEX(Products!$E:$E,MATCH(B579,Products!$A:$A,0)),0))</f>
        <v/>
      </c>
      <c r="G579" s="6">
        <f>IF(B579="","",N(C579)*N(F579))</f>
        <v/>
      </c>
      <c r="H579">
        <f>IF(B579="","",IFERROR(INDEX(Products!$B:$B,MATCH(B579,Products!$A:$A,0)),"SKU not found"))</f>
        <v/>
      </c>
    </row>
    <row r="580">
      <c r="A580" s="7" t="n">
        <v>40879</v>
      </c>
      <c r="B580" s="4" t="inlineStr">
        <is>
          <t>47566</t>
        </is>
      </c>
      <c r="C580" s="4" t="n">
        <v>36</v>
      </c>
      <c r="D580" s="4" t="inlineStr">
        <is>
          <t>UK</t>
        </is>
      </c>
      <c r="E580" s="4" t="inlineStr">
        <is>
          <t>5 invoices</t>
        </is>
      </c>
      <c r="F580" s="6">
        <f>IF(B580="","",IFERROR(INDEX(Products!$E:$E,MATCH(B580,Products!$A:$A,0)),0))</f>
        <v/>
      </c>
      <c r="G580" s="6">
        <f>IF(B580="","",N(C580)*N(F580))</f>
        <v/>
      </c>
      <c r="H580">
        <f>IF(B580="","",IFERROR(INDEX(Products!$B:$B,MATCH(B580,Products!$A:$A,0)),"SKU not found"))</f>
        <v/>
      </c>
    </row>
    <row r="581">
      <c r="A581" s="7" t="n">
        <v>40879</v>
      </c>
      <c r="B581" s="4" t="inlineStr">
        <is>
          <t>84879</t>
        </is>
      </c>
      <c r="C581" s="4" t="n">
        <v>504</v>
      </c>
      <c r="D581" s="4" t="inlineStr">
        <is>
          <t>UK</t>
        </is>
      </c>
      <c r="E581" s="4" t="inlineStr">
        <is>
          <t>9 invoices</t>
        </is>
      </c>
      <c r="F581" s="6">
        <f>IF(B581="","",IFERROR(INDEX(Products!$E:$E,MATCH(B581,Products!$A:$A,0)),0))</f>
        <v/>
      </c>
      <c r="G581" s="6">
        <f>IF(B581="","",N(C581)*N(F581))</f>
        <v/>
      </c>
      <c r="H581">
        <f>IF(B581="","",IFERROR(INDEX(Products!$B:$B,MATCH(B581,Products!$A:$A,0)),"SKU not found"))</f>
        <v/>
      </c>
    </row>
    <row r="582">
      <c r="A582" s="7" t="n">
        <v>40879</v>
      </c>
      <c r="B582" s="4" t="inlineStr">
        <is>
          <t>85099B</t>
        </is>
      </c>
      <c r="C582" s="4" t="n">
        <v>10</v>
      </c>
      <c r="D582" s="4" t="inlineStr">
        <is>
          <t>Other EU/Intl</t>
        </is>
      </c>
      <c r="E582" s="4" t="inlineStr">
        <is>
          <t>1 invoices</t>
        </is>
      </c>
      <c r="F582" s="6">
        <f>IF(B582="","",IFERROR(INDEX(Products!$E:$E,MATCH(B582,Products!$A:$A,0)),0))</f>
        <v/>
      </c>
      <c r="G582" s="6">
        <f>IF(B582="","",N(C582)*N(F582))</f>
        <v/>
      </c>
      <c r="H582">
        <f>IF(B582="","",IFERROR(INDEX(Products!$B:$B,MATCH(B582,Products!$A:$A,0)),"SKU not found"))</f>
        <v/>
      </c>
    </row>
    <row r="583">
      <c r="A583" s="7" t="n">
        <v>40879</v>
      </c>
      <c r="B583" s="4" t="inlineStr">
        <is>
          <t>85099B</t>
        </is>
      </c>
      <c r="C583" s="4" t="n">
        <v>483</v>
      </c>
      <c r="D583" s="4" t="inlineStr">
        <is>
          <t>UK</t>
        </is>
      </c>
      <c r="E583" s="4" t="inlineStr">
        <is>
          <t>5 invoices</t>
        </is>
      </c>
      <c r="F583" s="6">
        <f>IF(B583="","",IFERROR(INDEX(Products!$E:$E,MATCH(B583,Products!$A:$A,0)),0))</f>
        <v/>
      </c>
      <c r="G583" s="6">
        <f>IF(B583="","",N(C583)*N(F583))</f>
        <v/>
      </c>
      <c r="H583">
        <f>IF(B583="","",IFERROR(INDEX(Products!$B:$B,MATCH(B583,Products!$A:$A,0)),"SKU not found"))</f>
        <v/>
      </c>
    </row>
    <row r="584">
      <c r="A584" s="7" t="n">
        <v>40879</v>
      </c>
      <c r="B584" s="4" t="inlineStr">
        <is>
          <t>85123A</t>
        </is>
      </c>
      <c r="C584" s="4" t="n">
        <v>117</v>
      </c>
      <c r="D584" s="4" t="inlineStr">
        <is>
          <t>UK</t>
        </is>
      </c>
      <c r="E584" s="4" t="inlineStr">
        <is>
          <t>8 invoices</t>
        </is>
      </c>
      <c r="F584" s="6">
        <f>IF(B584="","",IFERROR(INDEX(Products!$E:$E,MATCH(B584,Products!$A:$A,0)),0))</f>
        <v/>
      </c>
      <c r="G584" s="6">
        <f>IF(B584="","",N(C584)*N(F584))</f>
        <v/>
      </c>
      <c r="H584">
        <f>IF(B584="","",IFERROR(INDEX(Products!$B:$B,MATCH(B584,Products!$A:$A,0)),"SKU not found"))</f>
        <v/>
      </c>
    </row>
    <row r="585">
      <c r="A585" s="7" t="n">
        <v>40881</v>
      </c>
      <c r="B585" s="4" t="inlineStr">
        <is>
          <t>20725</t>
        </is>
      </c>
      <c r="C585" s="4" t="n">
        <v>10</v>
      </c>
      <c r="D585" s="4" t="inlineStr">
        <is>
          <t>UK</t>
        </is>
      </c>
      <c r="E585" s="4" t="inlineStr">
        <is>
          <t>3 invoices</t>
        </is>
      </c>
      <c r="F585" s="6">
        <f>IF(B585="","",IFERROR(INDEX(Products!$E:$E,MATCH(B585,Products!$A:$A,0)),0))</f>
        <v/>
      </c>
      <c r="G585" s="6">
        <f>IF(B585="","",N(C585)*N(F585))</f>
        <v/>
      </c>
      <c r="H585">
        <f>IF(B585="","",IFERROR(INDEX(Products!$B:$B,MATCH(B585,Products!$A:$A,0)),"SKU not found"))</f>
        <v/>
      </c>
    </row>
    <row r="586">
      <c r="A586" s="7" t="n">
        <v>40881</v>
      </c>
      <c r="B586" s="4" t="inlineStr">
        <is>
          <t>20727</t>
        </is>
      </c>
      <c r="C586" s="4" t="n">
        <v>24</v>
      </c>
      <c r="D586" s="4" t="inlineStr">
        <is>
          <t>UK</t>
        </is>
      </c>
      <c r="E586" s="4" t="inlineStr">
        <is>
          <t>4 invoices</t>
        </is>
      </c>
      <c r="F586" s="6">
        <f>IF(B586="","",IFERROR(INDEX(Products!$E:$E,MATCH(B586,Products!$A:$A,0)),0))</f>
        <v/>
      </c>
      <c r="G586" s="6">
        <f>IF(B586="","",N(C586)*N(F586))</f>
        <v/>
      </c>
      <c r="H586">
        <f>IF(B586="","",IFERROR(INDEX(Products!$B:$B,MATCH(B586,Products!$A:$A,0)),"SKU not found"))</f>
        <v/>
      </c>
    </row>
    <row r="587">
      <c r="A587" s="7" t="n">
        <v>40881</v>
      </c>
      <c r="B587" s="4" t="inlineStr">
        <is>
          <t>21212</t>
        </is>
      </c>
      <c r="C587" s="4" t="n">
        <v>24</v>
      </c>
      <c r="D587" s="4" t="inlineStr">
        <is>
          <t>Germany</t>
        </is>
      </c>
      <c r="E587" s="4" t="inlineStr">
        <is>
          <t>1 invoices</t>
        </is>
      </c>
      <c r="F587" s="6">
        <f>IF(B587="","",IFERROR(INDEX(Products!$E:$E,MATCH(B587,Products!$A:$A,0)),0))</f>
        <v/>
      </c>
      <c r="G587" s="6">
        <f>IF(B587="","",N(C587)*N(F587))</f>
        <v/>
      </c>
      <c r="H587">
        <f>IF(B587="","",IFERROR(INDEX(Products!$B:$B,MATCH(B587,Products!$A:$A,0)),"SKU not found"))</f>
        <v/>
      </c>
    </row>
    <row r="588">
      <c r="A588" s="7" t="n">
        <v>40881</v>
      </c>
      <c r="B588" s="4" t="inlineStr">
        <is>
          <t>21212</t>
        </is>
      </c>
      <c r="C588" s="4" t="n">
        <v>24</v>
      </c>
      <c r="D588" s="4" t="inlineStr">
        <is>
          <t>UK</t>
        </is>
      </c>
      <c r="E588" s="4" t="inlineStr">
        <is>
          <t>1 invoices</t>
        </is>
      </c>
      <c r="F588" s="6">
        <f>IF(B588="","",IFERROR(INDEX(Products!$E:$E,MATCH(B588,Products!$A:$A,0)),0))</f>
        <v/>
      </c>
      <c r="G588" s="6">
        <f>IF(B588="","",N(C588)*N(F588))</f>
        <v/>
      </c>
      <c r="H588">
        <f>IF(B588="","",IFERROR(INDEX(Products!$B:$B,MATCH(B588,Products!$A:$A,0)),"SKU not found"))</f>
        <v/>
      </c>
    </row>
    <row r="589">
      <c r="A589" s="7" t="n">
        <v>40881</v>
      </c>
      <c r="B589" s="4" t="inlineStr">
        <is>
          <t>21931</t>
        </is>
      </c>
      <c r="C589" s="4" t="n">
        <v>2</v>
      </c>
      <c r="D589" s="4" t="inlineStr">
        <is>
          <t>UK</t>
        </is>
      </c>
      <c r="E589" s="4" t="inlineStr">
        <is>
          <t>1 invoices</t>
        </is>
      </c>
      <c r="F589" s="6">
        <f>IF(B589="","",IFERROR(INDEX(Products!$E:$E,MATCH(B589,Products!$A:$A,0)),0))</f>
        <v/>
      </c>
      <c r="G589" s="6">
        <f>IF(B589="","",N(C589)*N(F589))</f>
        <v/>
      </c>
      <c r="H589">
        <f>IF(B589="","",IFERROR(INDEX(Products!$B:$B,MATCH(B589,Products!$A:$A,0)),"SKU not found"))</f>
        <v/>
      </c>
    </row>
    <row r="590">
      <c r="A590" s="7" t="n">
        <v>40881</v>
      </c>
      <c r="B590" s="4" t="inlineStr">
        <is>
          <t>22197</t>
        </is>
      </c>
      <c r="C590" s="4" t="n">
        <v>113</v>
      </c>
      <c r="D590" s="4" t="inlineStr">
        <is>
          <t>UK</t>
        </is>
      </c>
      <c r="E590" s="4" t="inlineStr">
        <is>
          <t>7 invoices</t>
        </is>
      </c>
      <c r="F590" s="6">
        <f>IF(B590="","",IFERROR(INDEX(Products!$E:$E,MATCH(B590,Products!$A:$A,0)),0))</f>
        <v/>
      </c>
      <c r="G590" s="6">
        <f>IF(B590="","",N(C590)*N(F590))</f>
        <v/>
      </c>
      <c r="H590">
        <f>IF(B590="","",IFERROR(INDEX(Products!$B:$B,MATCH(B590,Products!$A:$A,0)),"SKU not found"))</f>
        <v/>
      </c>
    </row>
    <row r="591">
      <c r="A591" s="7" t="n">
        <v>40881</v>
      </c>
      <c r="B591" s="4" t="inlineStr">
        <is>
          <t>22383</t>
        </is>
      </c>
      <c r="C591" s="4" t="n">
        <v>8</v>
      </c>
      <c r="D591" s="4" t="inlineStr">
        <is>
          <t>UK</t>
        </is>
      </c>
      <c r="E591" s="4" t="inlineStr">
        <is>
          <t>4 invoices</t>
        </is>
      </c>
      <c r="F591" s="6">
        <f>IF(B591="","",IFERROR(INDEX(Products!$E:$E,MATCH(B591,Products!$A:$A,0)),0))</f>
        <v/>
      </c>
      <c r="G591" s="6">
        <f>IF(B591="","",N(C591)*N(F591))</f>
        <v/>
      </c>
      <c r="H591">
        <f>IF(B591="","",IFERROR(INDEX(Products!$B:$B,MATCH(B591,Products!$A:$A,0)),"SKU not found"))</f>
        <v/>
      </c>
    </row>
    <row r="592">
      <c r="A592" s="7" t="n">
        <v>40881</v>
      </c>
      <c r="B592" s="4" t="inlineStr">
        <is>
          <t>22386</t>
        </is>
      </c>
      <c r="C592" s="4" t="n">
        <v>5</v>
      </c>
      <c r="D592" s="4" t="inlineStr">
        <is>
          <t>UK</t>
        </is>
      </c>
      <c r="E592" s="4" t="inlineStr">
        <is>
          <t>2 invoices</t>
        </is>
      </c>
      <c r="F592" s="6">
        <f>IF(B592="","",IFERROR(INDEX(Products!$E:$E,MATCH(B592,Products!$A:$A,0)),0))</f>
        <v/>
      </c>
      <c r="G592" s="6">
        <f>IF(B592="","",N(C592)*N(F592))</f>
        <v/>
      </c>
      <c r="H592">
        <f>IF(B592="","",IFERROR(INDEX(Products!$B:$B,MATCH(B592,Products!$A:$A,0)),"SKU not found"))</f>
        <v/>
      </c>
    </row>
    <row r="593">
      <c r="A593" s="7" t="n">
        <v>40881</v>
      </c>
      <c r="B593" s="4" t="inlineStr">
        <is>
          <t>22423</t>
        </is>
      </c>
      <c r="C593" s="4" t="n">
        <v>20</v>
      </c>
      <c r="D593" s="4" t="inlineStr">
        <is>
          <t>UK</t>
        </is>
      </c>
      <c r="E593" s="4" t="inlineStr">
        <is>
          <t>4 invoices</t>
        </is>
      </c>
      <c r="F593" s="6">
        <f>IF(B593="","",IFERROR(INDEX(Products!$E:$E,MATCH(B593,Products!$A:$A,0)),0))</f>
        <v/>
      </c>
      <c r="G593" s="6">
        <f>IF(B593="","",N(C593)*N(F593))</f>
        <v/>
      </c>
      <c r="H593">
        <f>IF(B593="","",IFERROR(INDEX(Products!$B:$B,MATCH(B593,Products!$A:$A,0)),"SKU not found"))</f>
        <v/>
      </c>
    </row>
    <row r="594">
      <c r="A594" s="7" t="n">
        <v>40881</v>
      </c>
      <c r="B594" s="4" t="inlineStr">
        <is>
          <t>22457</t>
        </is>
      </c>
      <c r="C594" s="4" t="n">
        <v>36</v>
      </c>
      <c r="D594" s="4" t="inlineStr">
        <is>
          <t>UK</t>
        </is>
      </c>
      <c r="E594" s="4" t="inlineStr">
        <is>
          <t>4 invoices</t>
        </is>
      </c>
      <c r="F594" s="6">
        <f>IF(B594="","",IFERROR(INDEX(Products!$E:$E,MATCH(B594,Products!$A:$A,0)),0))</f>
        <v/>
      </c>
      <c r="G594" s="6">
        <f>IF(B594="","",N(C594)*N(F594))</f>
        <v/>
      </c>
      <c r="H594">
        <f>IF(B594="","",IFERROR(INDEX(Products!$B:$B,MATCH(B594,Products!$A:$A,0)),"SKU not found"))</f>
        <v/>
      </c>
    </row>
    <row r="595">
      <c r="A595" s="7" t="n">
        <v>40881</v>
      </c>
      <c r="B595" s="4" t="inlineStr">
        <is>
          <t>22469</t>
        </is>
      </c>
      <c r="C595" s="4" t="n">
        <v>9</v>
      </c>
      <c r="D595" s="4" t="inlineStr">
        <is>
          <t>UK</t>
        </is>
      </c>
      <c r="E595" s="4" t="inlineStr">
        <is>
          <t>3 invoices</t>
        </is>
      </c>
      <c r="F595" s="6">
        <f>IF(B595="","",IFERROR(INDEX(Products!$E:$E,MATCH(B595,Products!$A:$A,0)),0))</f>
        <v/>
      </c>
      <c r="G595" s="6">
        <f>IF(B595="","",N(C595)*N(F595))</f>
        <v/>
      </c>
      <c r="H595">
        <f>IF(B595="","",IFERROR(INDEX(Products!$B:$B,MATCH(B595,Products!$A:$A,0)),"SKU not found"))</f>
        <v/>
      </c>
    </row>
    <row r="596">
      <c r="A596" s="7" t="n">
        <v>40881</v>
      </c>
      <c r="B596" s="4" t="inlineStr">
        <is>
          <t>47566</t>
        </is>
      </c>
      <c r="C596" s="4" t="n">
        <v>19</v>
      </c>
      <c r="D596" s="4" t="inlineStr">
        <is>
          <t>UK</t>
        </is>
      </c>
      <c r="E596" s="4" t="inlineStr">
        <is>
          <t>4 invoices</t>
        </is>
      </c>
      <c r="F596" s="6">
        <f>IF(B596="","",IFERROR(INDEX(Products!$E:$E,MATCH(B596,Products!$A:$A,0)),0))</f>
        <v/>
      </c>
      <c r="G596" s="6">
        <f>IF(B596="","",N(C596)*N(F596))</f>
        <v/>
      </c>
      <c r="H596">
        <f>IF(B596="","",IFERROR(INDEX(Products!$B:$B,MATCH(B596,Products!$A:$A,0)),"SKU not found"))</f>
        <v/>
      </c>
    </row>
    <row r="597">
      <c r="A597" s="7" t="n">
        <v>40881</v>
      </c>
      <c r="B597" s="4" t="inlineStr">
        <is>
          <t>84879</t>
        </is>
      </c>
      <c r="C597" s="4" t="n">
        <v>66</v>
      </c>
      <c r="D597" s="4" t="inlineStr">
        <is>
          <t>UK</t>
        </is>
      </c>
      <c r="E597" s="4" t="inlineStr">
        <is>
          <t>4 invoices</t>
        </is>
      </c>
      <c r="F597" s="6">
        <f>IF(B597="","",IFERROR(INDEX(Products!$E:$E,MATCH(B597,Products!$A:$A,0)),0))</f>
        <v/>
      </c>
      <c r="G597" s="6">
        <f>IF(B597="","",N(C597)*N(F597))</f>
        <v/>
      </c>
      <c r="H597">
        <f>IF(B597="","",IFERROR(INDEX(Products!$B:$B,MATCH(B597,Products!$A:$A,0)),"SKU not found"))</f>
        <v/>
      </c>
    </row>
    <row r="598">
      <c r="A598" s="7" t="n">
        <v>40881</v>
      </c>
      <c r="B598" s="4" t="inlineStr">
        <is>
          <t>85099B</t>
        </is>
      </c>
      <c r="C598" s="4" t="n">
        <v>2</v>
      </c>
      <c r="D598" s="4" t="inlineStr">
        <is>
          <t>UK</t>
        </is>
      </c>
      <c r="E598" s="4" t="inlineStr">
        <is>
          <t>1 invoices</t>
        </is>
      </c>
      <c r="F598" s="6">
        <f>IF(B598="","",IFERROR(INDEX(Products!$E:$E,MATCH(B598,Products!$A:$A,0)),0))</f>
        <v/>
      </c>
      <c r="G598" s="6">
        <f>IF(B598="","",N(C598)*N(F598))</f>
        <v/>
      </c>
      <c r="H598">
        <f>IF(B598="","",IFERROR(INDEX(Products!$B:$B,MATCH(B598,Products!$A:$A,0)),"SKU not found"))</f>
        <v/>
      </c>
    </row>
    <row r="599">
      <c r="A599" s="7" t="n">
        <v>40881</v>
      </c>
      <c r="B599" s="4" t="inlineStr">
        <is>
          <t>85099B</t>
        </is>
      </c>
      <c r="C599" s="4" t="n">
        <v>10</v>
      </c>
      <c r="D599" s="4" t="inlineStr">
        <is>
          <t>Germany</t>
        </is>
      </c>
      <c r="E599" s="4" t="inlineStr">
        <is>
          <t>1 invoices</t>
        </is>
      </c>
      <c r="F599" s="6">
        <f>IF(B599="","",IFERROR(INDEX(Products!$E:$E,MATCH(B599,Products!$A:$A,0)),0))</f>
        <v/>
      </c>
      <c r="G599" s="6">
        <f>IF(B599="","",N(C599)*N(F599))</f>
        <v/>
      </c>
      <c r="H599">
        <f>IF(B599="","",IFERROR(INDEX(Products!$B:$B,MATCH(B599,Products!$A:$A,0)),"SKU not found"))</f>
        <v/>
      </c>
    </row>
    <row r="600">
      <c r="A600" s="7" t="n">
        <v>40881</v>
      </c>
      <c r="B600" s="4" t="inlineStr">
        <is>
          <t>85123A</t>
        </is>
      </c>
      <c r="C600" s="4" t="n">
        <v>8</v>
      </c>
      <c r="D600" s="4" t="inlineStr">
        <is>
          <t>UK</t>
        </is>
      </c>
      <c r="E600" s="4" t="inlineStr">
        <is>
          <t>4 invoices</t>
        </is>
      </c>
      <c r="F600" s="6">
        <f>IF(B600="","",IFERROR(INDEX(Products!$E:$E,MATCH(B600,Products!$A:$A,0)),0))</f>
        <v/>
      </c>
      <c r="G600" s="6">
        <f>IF(B600="","",N(C600)*N(F600))</f>
        <v/>
      </c>
      <c r="H600">
        <f>IF(B600="","",IFERROR(INDEX(Products!$B:$B,MATCH(B600,Products!$A:$A,0)),"SKU not found"))</f>
        <v/>
      </c>
    </row>
    <row r="601">
      <c r="A601" s="7" t="n">
        <v>40882</v>
      </c>
      <c r="B601" s="4" t="inlineStr">
        <is>
          <t>20725</t>
        </is>
      </c>
      <c r="C601" s="4" t="n">
        <v>50</v>
      </c>
      <c r="D601" s="4" t="inlineStr">
        <is>
          <t>UK</t>
        </is>
      </c>
      <c r="E601" s="4" t="inlineStr">
        <is>
          <t>6 invoices</t>
        </is>
      </c>
      <c r="F601" s="6">
        <f>IF(B601="","",IFERROR(INDEX(Products!$E:$E,MATCH(B601,Products!$A:$A,0)),0))</f>
        <v/>
      </c>
      <c r="G601" s="6">
        <f>IF(B601="","",N(C601)*N(F601))</f>
        <v/>
      </c>
      <c r="H601">
        <f>IF(B601="","",IFERROR(INDEX(Products!$B:$B,MATCH(B601,Products!$A:$A,0)),"SKU not found"))</f>
        <v/>
      </c>
    </row>
    <row r="602">
      <c r="A602" s="7" t="n">
        <v>40882</v>
      </c>
      <c r="B602" s="4" t="inlineStr">
        <is>
          <t>20727</t>
        </is>
      </c>
      <c r="C602" s="4" t="n">
        <v>24</v>
      </c>
      <c r="D602" s="4" t="inlineStr">
        <is>
          <t>UK</t>
        </is>
      </c>
      <c r="E602" s="4" t="inlineStr">
        <is>
          <t>4 invoices</t>
        </is>
      </c>
      <c r="F602" s="6">
        <f>IF(B602="","",IFERROR(INDEX(Products!$E:$E,MATCH(B602,Products!$A:$A,0)),0))</f>
        <v/>
      </c>
      <c r="G602" s="6">
        <f>IF(B602="","",N(C602)*N(F602))</f>
        <v/>
      </c>
      <c r="H602">
        <f>IF(B602="","",IFERROR(INDEX(Products!$B:$B,MATCH(B602,Products!$A:$A,0)),"SKU not found"))</f>
        <v/>
      </c>
    </row>
    <row r="603">
      <c r="A603" s="7" t="n">
        <v>40882</v>
      </c>
      <c r="B603" s="4" t="inlineStr">
        <is>
          <t>21212</t>
        </is>
      </c>
      <c r="C603" s="4" t="n">
        <v>18</v>
      </c>
      <c r="D603" s="4" t="inlineStr">
        <is>
          <t>UK</t>
        </is>
      </c>
      <c r="E603" s="4" t="inlineStr">
        <is>
          <t>6 invoices</t>
        </is>
      </c>
      <c r="F603" s="6">
        <f>IF(B603="","",IFERROR(INDEX(Products!$E:$E,MATCH(B603,Products!$A:$A,0)),0))</f>
        <v/>
      </c>
      <c r="G603" s="6">
        <f>IF(B603="","",N(C603)*N(F603))</f>
        <v/>
      </c>
      <c r="H603">
        <f>IF(B603="","",IFERROR(INDEX(Products!$B:$B,MATCH(B603,Products!$A:$A,0)),"SKU not found"))</f>
        <v/>
      </c>
    </row>
    <row r="604">
      <c r="A604" s="7" t="n">
        <v>40882</v>
      </c>
      <c r="B604" s="4" t="inlineStr">
        <is>
          <t>21212</t>
        </is>
      </c>
      <c r="C604" s="4" t="n">
        <v>24</v>
      </c>
      <c r="D604" s="4" t="inlineStr">
        <is>
          <t>Other EU/Intl</t>
        </is>
      </c>
      <c r="E604" s="4" t="inlineStr">
        <is>
          <t>1 invoices</t>
        </is>
      </c>
      <c r="F604" s="6">
        <f>IF(B604="","",IFERROR(INDEX(Products!$E:$E,MATCH(B604,Products!$A:$A,0)),0))</f>
        <v/>
      </c>
      <c r="G604" s="6">
        <f>IF(B604="","",N(C604)*N(F604))</f>
        <v/>
      </c>
      <c r="H604">
        <f>IF(B604="","",IFERROR(INDEX(Products!$B:$B,MATCH(B604,Products!$A:$A,0)),"SKU not found"))</f>
        <v/>
      </c>
    </row>
    <row r="605">
      <c r="A605" s="7" t="n">
        <v>40882</v>
      </c>
      <c r="B605" s="4" t="inlineStr">
        <is>
          <t>21931</t>
        </is>
      </c>
      <c r="C605" s="4" t="n">
        <v>44</v>
      </c>
      <c r="D605" s="4" t="inlineStr">
        <is>
          <t>UK</t>
        </is>
      </c>
      <c r="E605" s="4" t="inlineStr">
        <is>
          <t>7 invoices</t>
        </is>
      </c>
      <c r="F605" s="6">
        <f>IF(B605="","",IFERROR(INDEX(Products!$E:$E,MATCH(B605,Products!$A:$A,0)),0))</f>
        <v/>
      </c>
      <c r="G605" s="6">
        <f>IF(B605="","",N(C605)*N(F605))</f>
        <v/>
      </c>
      <c r="H605">
        <f>IF(B605="","",IFERROR(INDEX(Products!$B:$B,MATCH(B605,Products!$A:$A,0)),"SKU not found"))</f>
        <v/>
      </c>
    </row>
    <row r="606">
      <c r="A606" s="7" t="n">
        <v>40882</v>
      </c>
      <c r="B606" s="4" t="inlineStr">
        <is>
          <t>22197</t>
        </is>
      </c>
      <c r="C606" s="4" t="n">
        <v>410</v>
      </c>
      <c r="D606" s="4" t="inlineStr">
        <is>
          <t>UK</t>
        </is>
      </c>
      <c r="E606" s="4" t="inlineStr">
        <is>
          <t>11 invoices</t>
        </is>
      </c>
      <c r="F606" s="6">
        <f>IF(B606="","",IFERROR(INDEX(Products!$E:$E,MATCH(B606,Products!$A:$A,0)),0))</f>
        <v/>
      </c>
      <c r="G606" s="6">
        <f>IF(B606="","",N(C606)*N(F606))</f>
        <v/>
      </c>
      <c r="H606">
        <f>IF(B606="","",IFERROR(INDEX(Products!$B:$B,MATCH(B606,Products!$A:$A,0)),"SKU not found"))</f>
        <v/>
      </c>
    </row>
    <row r="607">
      <c r="A607" s="7" t="n">
        <v>40882</v>
      </c>
      <c r="B607" s="4" t="inlineStr">
        <is>
          <t>22383</t>
        </is>
      </c>
      <c r="C607" s="4" t="n">
        <v>23</v>
      </c>
      <c r="D607" s="4" t="inlineStr">
        <is>
          <t>UK</t>
        </is>
      </c>
      <c r="E607" s="4" t="inlineStr">
        <is>
          <t>4 invoices</t>
        </is>
      </c>
      <c r="F607" s="6">
        <f>IF(B607="","",IFERROR(INDEX(Products!$E:$E,MATCH(B607,Products!$A:$A,0)),0))</f>
        <v/>
      </c>
      <c r="G607" s="6">
        <f>IF(B607="","",N(C607)*N(F607))</f>
        <v/>
      </c>
      <c r="H607">
        <f>IF(B607="","",IFERROR(INDEX(Products!$B:$B,MATCH(B607,Products!$A:$A,0)),"SKU not found"))</f>
        <v/>
      </c>
    </row>
    <row r="608">
      <c r="A608" s="7" t="n">
        <v>40882</v>
      </c>
      <c r="B608" s="4" t="inlineStr">
        <is>
          <t>22386</t>
        </is>
      </c>
      <c r="C608" s="4" t="n">
        <v>28</v>
      </c>
      <c r="D608" s="4" t="inlineStr">
        <is>
          <t>UK</t>
        </is>
      </c>
      <c r="E608" s="4" t="inlineStr">
        <is>
          <t>3 invoices</t>
        </is>
      </c>
      <c r="F608" s="6">
        <f>IF(B608="","",IFERROR(INDEX(Products!$E:$E,MATCH(B608,Products!$A:$A,0)),0))</f>
        <v/>
      </c>
      <c r="G608" s="6">
        <f>IF(B608="","",N(C608)*N(F608))</f>
        <v/>
      </c>
      <c r="H608">
        <f>IF(B608="","",IFERROR(INDEX(Products!$B:$B,MATCH(B608,Products!$A:$A,0)),"SKU not found"))</f>
        <v/>
      </c>
    </row>
    <row r="609">
      <c r="A609" s="7" t="n">
        <v>40882</v>
      </c>
      <c r="B609" s="4" t="inlineStr">
        <is>
          <t>22423</t>
        </is>
      </c>
      <c r="C609" s="4" t="n">
        <v>1</v>
      </c>
      <c r="D609" s="4" t="inlineStr">
        <is>
          <t>Other EU/Intl</t>
        </is>
      </c>
      <c r="E609" s="4" t="inlineStr">
        <is>
          <t>1 invoices</t>
        </is>
      </c>
      <c r="F609" s="6">
        <f>IF(B609="","",IFERROR(INDEX(Products!$E:$E,MATCH(B609,Products!$A:$A,0)),0))</f>
        <v/>
      </c>
      <c r="G609" s="6">
        <f>IF(B609="","",N(C609)*N(F609))</f>
        <v/>
      </c>
      <c r="H609">
        <f>IF(B609="","",IFERROR(INDEX(Products!$B:$B,MATCH(B609,Products!$A:$A,0)),"SKU not found"))</f>
        <v/>
      </c>
    </row>
    <row r="610">
      <c r="A610" s="7" t="n">
        <v>40882</v>
      </c>
      <c r="B610" s="4" t="inlineStr">
        <is>
          <t>22423</t>
        </is>
      </c>
      <c r="C610" s="4" t="n">
        <v>35</v>
      </c>
      <c r="D610" s="4" t="inlineStr">
        <is>
          <t>UK</t>
        </is>
      </c>
      <c r="E610" s="4" t="inlineStr">
        <is>
          <t>10 invoices</t>
        </is>
      </c>
      <c r="F610" s="6">
        <f>IF(B610="","",IFERROR(INDEX(Products!$E:$E,MATCH(B610,Products!$A:$A,0)),0))</f>
        <v/>
      </c>
      <c r="G610" s="6">
        <f>IF(B610="","",N(C610)*N(F610))</f>
        <v/>
      </c>
      <c r="H610">
        <f>IF(B610="","",IFERROR(INDEX(Products!$B:$B,MATCH(B610,Products!$A:$A,0)),"SKU not found"))</f>
        <v/>
      </c>
    </row>
    <row r="611">
      <c r="A611" s="7" t="n">
        <v>40882</v>
      </c>
      <c r="B611" s="4" t="inlineStr">
        <is>
          <t>22457</t>
        </is>
      </c>
      <c r="C611" s="4" t="n">
        <v>59</v>
      </c>
      <c r="D611" s="4" t="inlineStr">
        <is>
          <t>UK</t>
        </is>
      </c>
      <c r="E611" s="4" t="inlineStr">
        <is>
          <t>10 invoices</t>
        </is>
      </c>
      <c r="F611" s="6">
        <f>IF(B611="","",IFERROR(INDEX(Products!$E:$E,MATCH(B611,Products!$A:$A,0)),0))</f>
        <v/>
      </c>
      <c r="G611" s="6">
        <f>IF(B611="","",N(C611)*N(F611))</f>
        <v/>
      </c>
      <c r="H611">
        <f>IF(B611="","",IFERROR(INDEX(Products!$B:$B,MATCH(B611,Products!$A:$A,0)),"SKU not found"))</f>
        <v/>
      </c>
    </row>
    <row r="612">
      <c r="A612" s="7" t="n">
        <v>40882</v>
      </c>
      <c r="B612" s="4" t="inlineStr">
        <is>
          <t>22469</t>
        </is>
      </c>
      <c r="C612" s="4" t="n">
        <v>52</v>
      </c>
      <c r="D612" s="4" t="inlineStr">
        <is>
          <t>UK</t>
        </is>
      </c>
      <c r="E612" s="4" t="inlineStr">
        <is>
          <t>8 invoices</t>
        </is>
      </c>
      <c r="F612" s="6">
        <f>IF(B612="","",IFERROR(INDEX(Products!$E:$E,MATCH(B612,Products!$A:$A,0)),0))</f>
        <v/>
      </c>
      <c r="G612" s="6">
        <f>IF(B612="","",N(C612)*N(F612))</f>
        <v/>
      </c>
      <c r="H612">
        <f>IF(B612="","",IFERROR(INDEX(Products!$B:$B,MATCH(B612,Products!$A:$A,0)),"SKU not found"))</f>
        <v/>
      </c>
    </row>
    <row r="613">
      <c r="A613" s="7" t="n">
        <v>40882</v>
      </c>
      <c r="B613" s="4" t="inlineStr">
        <is>
          <t>22720</t>
        </is>
      </c>
      <c r="C613" s="4" t="n">
        <v>6</v>
      </c>
      <c r="D613" s="4" t="inlineStr">
        <is>
          <t>Other EU/Intl</t>
        </is>
      </c>
      <c r="E613" s="4" t="inlineStr">
        <is>
          <t>1 invoices</t>
        </is>
      </c>
      <c r="F613" s="6">
        <f>IF(B613="","",IFERROR(INDEX(Products!$E:$E,MATCH(B613,Products!$A:$A,0)),0))</f>
        <v/>
      </c>
      <c r="G613" s="6">
        <f>IF(B613="","",N(C613)*N(F613))</f>
        <v/>
      </c>
      <c r="H613">
        <f>IF(B613="","",IFERROR(INDEX(Products!$B:$B,MATCH(B613,Products!$A:$A,0)),"SKU not found"))</f>
        <v/>
      </c>
    </row>
    <row r="614">
      <c r="A614" s="7" t="n">
        <v>40882</v>
      </c>
      <c r="B614" s="4" t="inlineStr">
        <is>
          <t>22720</t>
        </is>
      </c>
      <c r="C614" s="4" t="n">
        <v>41</v>
      </c>
      <c r="D614" s="4" t="inlineStr">
        <is>
          <t>UK</t>
        </is>
      </c>
      <c r="E614" s="4" t="inlineStr">
        <is>
          <t>8 invoices</t>
        </is>
      </c>
      <c r="F614" s="6">
        <f>IF(B614="","",IFERROR(INDEX(Products!$E:$E,MATCH(B614,Products!$A:$A,0)),0))</f>
        <v/>
      </c>
      <c r="G614" s="6">
        <f>IF(B614="","",N(C614)*N(F614))</f>
        <v/>
      </c>
      <c r="H614">
        <f>IF(B614="","",IFERROR(INDEX(Products!$B:$B,MATCH(B614,Products!$A:$A,0)),"SKU not found"))</f>
        <v/>
      </c>
    </row>
    <row r="615">
      <c r="A615" s="7" t="n">
        <v>40882</v>
      </c>
      <c r="B615" s="4" t="inlineStr">
        <is>
          <t>47566</t>
        </is>
      </c>
      <c r="C615" s="4" t="n">
        <v>16</v>
      </c>
      <c r="D615" s="4" t="inlineStr">
        <is>
          <t>UK</t>
        </is>
      </c>
      <c r="E615" s="4" t="inlineStr">
        <is>
          <t>3 invoices</t>
        </is>
      </c>
      <c r="F615" s="6">
        <f>IF(B615="","",IFERROR(INDEX(Products!$E:$E,MATCH(B615,Products!$A:$A,0)),0))</f>
        <v/>
      </c>
      <c r="G615" s="6">
        <f>IF(B615="","",N(C615)*N(F615))</f>
        <v/>
      </c>
      <c r="H615">
        <f>IF(B615="","",IFERROR(INDEX(Products!$B:$B,MATCH(B615,Products!$A:$A,0)),"SKU not found"))</f>
        <v/>
      </c>
    </row>
    <row r="616">
      <c r="A616" s="7" t="n">
        <v>40882</v>
      </c>
      <c r="B616" s="4" t="inlineStr">
        <is>
          <t>84879</t>
        </is>
      </c>
      <c r="C616" s="4" t="n">
        <v>133</v>
      </c>
      <c r="D616" s="4" t="inlineStr">
        <is>
          <t>UK</t>
        </is>
      </c>
      <c r="E616" s="4" t="inlineStr">
        <is>
          <t>8 invoices</t>
        </is>
      </c>
      <c r="F616" s="6">
        <f>IF(B616="","",IFERROR(INDEX(Products!$E:$E,MATCH(B616,Products!$A:$A,0)),0))</f>
        <v/>
      </c>
      <c r="G616" s="6">
        <f>IF(B616="","",N(C616)*N(F616))</f>
        <v/>
      </c>
      <c r="H616">
        <f>IF(B616="","",IFERROR(INDEX(Products!$B:$B,MATCH(B616,Products!$A:$A,0)),"SKU not found"))</f>
        <v/>
      </c>
    </row>
    <row r="617">
      <c r="A617" s="7" t="n">
        <v>40882</v>
      </c>
      <c r="B617" s="4" t="inlineStr">
        <is>
          <t>85099B</t>
        </is>
      </c>
      <c r="C617" s="4" t="n">
        <v>66</v>
      </c>
      <c r="D617" s="4" t="inlineStr">
        <is>
          <t>UK</t>
        </is>
      </c>
      <c r="E617" s="4" t="inlineStr">
        <is>
          <t>8 invoices</t>
        </is>
      </c>
      <c r="F617" s="6">
        <f>IF(B617="","",IFERROR(INDEX(Products!$E:$E,MATCH(B617,Products!$A:$A,0)),0))</f>
        <v/>
      </c>
      <c r="G617" s="6">
        <f>IF(B617="","",N(C617)*N(F617))</f>
        <v/>
      </c>
      <c r="H617">
        <f>IF(B617="","",IFERROR(INDEX(Products!$B:$B,MATCH(B617,Products!$A:$A,0)),"SKU not found"))</f>
        <v/>
      </c>
    </row>
    <row r="618">
      <c r="A618" s="7" t="n">
        <v>40882</v>
      </c>
      <c r="B618" s="4" t="inlineStr">
        <is>
          <t>85123A</t>
        </is>
      </c>
      <c r="C618" s="4" t="n">
        <v>64</v>
      </c>
      <c r="D618" s="4" t="inlineStr">
        <is>
          <t>Ireland</t>
        </is>
      </c>
      <c r="E618" s="4" t="inlineStr">
        <is>
          <t>1 invoices</t>
        </is>
      </c>
      <c r="F618" s="6">
        <f>IF(B618="","",IFERROR(INDEX(Products!$E:$E,MATCH(B618,Products!$A:$A,0)),0))</f>
        <v/>
      </c>
      <c r="G618" s="6">
        <f>IF(B618="","",N(C618)*N(F618))</f>
        <v/>
      </c>
      <c r="H618">
        <f>IF(B618="","",IFERROR(INDEX(Products!$B:$B,MATCH(B618,Products!$A:$A,0)),"SKU not found"))</f>
        <v/>
      </c>
    </row>
    <row r="619">
      <c r="A619" s="7" t="n">
        <v>40882</v>
      </c>
      <c r="B619" s="4" t="inlineStr">
        <is>
          <t>85123A</t>
        </is>
      </c>
      <c r="C619" s="4" t="n">
        <v>234</v>
      </c>
      <c r="D619" s="4" t="inlineStr">
        <is>
          <t>UK</t>
        </is>
      </c>
      <c r="E619" s="4" t="inlineStr">
        <is>
          <t>12 invoices</t>
        </is>
      </c>
      <c r="F619" s="6">
        <f>IF(B619="","",IFERROR(INDEX(Products!$E:$E,MATCH(B619,Products!$A:$A,0)),0))</f>
        <v/>
      </c>
      <c r="G619" s="6">
        <f>IF(B619="","",N(C619)*N(F619))</f>
        <v/>
      </c>
      <c r="H619">
        <f>IF(B619="","",IFERROR(INDEX(Products!$B:$B,MATCH(B619,Products!$A:$A,0)),"SKU not found"))</f>
        <v/>
      </c>
    </row>
    <row r="620">
      <c r="A620" s="7" t="n">
        <v>40883</v>
      </c>
      <c r="B620" s="4" t="inlineStr">
        <is>
          <t>20725</t>
        </is>
      </c>
      <c r="C620" s="4" t="n">
        <v>30</v>
      </c>
      <c r="D620" s="4" t="inlineStr">
        <is>
          <t>Other EU/Intl</t>
        </is>
      </c>
      <c r="E620" s="4" t="inlineStr">
        <is>
          <t>2 invoices</t>
        </is>
      </c>
      <c r="F620" s="6">
        <f>IF(B620="","",IFERROR(INDEX(Products!$E:$E,MATCH(B620,Products!$A:$A,0)),0))</f>
        <v/>
      </c>
      <c r="G620" s="6">
        <f>IF(B620="","",N(C620)*N(F620))</f>
        <v/>
      </c>
      <c r="H620">
        <f>IF(B620="","",IFERROR(INDEX(Products!$B:$B,MATCH(B620,Products!$A:$A,0)),"SKU not found"))</f>
        <v/>
      </c>
    </row>
    <row r="621">
      <c r="A621" s="7" t="n">
        <v>40883</v>
      </c>
      <c r="B621" s="4" t="inlineStr">
        <is>
          <t>20725</t>
        </is>
      </c>
      <c r="C621" s="4" t="n">
        <v>55</v>
      </c>
      <c r="D621" s="4" t="inlineStr">
        <is>
          <t>UK</t>
        </is>
      </c>
      <c r="E621" s="4" t="inlineStr">
        <is>
          <t>8 invoices</t>
        </is>
      </c>
      <c r="F621" s="6">
        <f>IF(B621="","",IFERROR(INDEX(Products!$E:$E,MATCH(B621,Products!$A:$A,0)),0))</f>
        <v/>
      </c>
      <c r="G621" s="6">
        <f>IF(B621="","",N(C621)*N(F621))</f>
        <v/>
      </c>
      <c r="H621">
        <f>IF(B621="","",IFERROR(INDEX(Products!$B:$B,MATCH(B621,Products!$A:$A,0)),"SKU not found"))</f>
        <v/>
      </c>
    </row>
    <row r="622">
      <c r="A622" s="7" t="n">
        <v>40883</v>
      </c>
      <c r="B622" s="4" t="inlineStr">
        <is>
          <t>20727</t>
        </is>
      </c>
      <c r="C622" s="4" t="n">
        <v>10</v>
      </c>
      <c r="D622" s="4" t="inlineStr">
        <is>
          <t>Other EU/Intl</t>
        </is>
      </c>
      <c r="E622" s="4" t="inlineStr">
        <is>
          <t>1 invoices</t>
        </is>
      </c>
      <c r="F622" s="6">
        <f>IF(B622="","",IFERROR(INDEX(Products!$E:$E,MATCH(B622,Products!$A:$A,0)),0))</f>
        <v/>
      </c>
      <c r="G622" s="6">
        <f>IF(B622="","",N(C622)*N(F622))</f>
        <v/>
      </c>
      <c r="H622">
        <f>IF(B622="","",IFERROR(INDEX(Products!$B:$B,MATCH(B622,Products!$A:$A,0)),"SKU not found"))</f>
        <v/>
      </c>
    </row>
    <row r="623">
      <c r="A623" s="7" t="n">
        <v>40883</v>
      </c>
      <c r="B623" s="4" t="inlineStr">
        <is>
          <t>20727</t>
        </is>
      </c>
      <c r="C623" s="4" t="n">
        <v>53</v>
      </c>
      <c r="D623" s="4" t="inlineStr">
        <is>
          <t>UK</t>
        </is>
      </c>
      <c r="E623" s="4" t="inlineStr">
        <is>
          <t>8 invoices</t>
        </is>
      </c>
      <c r="F623" s="6">
        <f>IF(B623="","",IFERROR(INDEX(Products!$E:$E,MATCH(B623,Products!$A:$A,0)),0))</f>
        <v/>
      </c>
      <c r="G623" s="6">
        <f>IF(B623="","",N(C623)*N(F623))</f>
        <v/>
      </c>
      <c r="H623">
        <f>IF(B623="","",IFERROR(INDEX(Products!$B:$B,MATCH(B623,Products!$A:$A,0)),"SKU not found"))</f>
        <v/>
      </c>
    </row>
    <row r="624">
      <c r="A624" s="7" t="n">
        <v>40883</v>
      </c>
      <c r="B624" s="4" t="inlineStr">
        <is>
          <t>21212</t>
        </is>
      </c>
      <c r="C624" s="4" t="n">
        <v>24</v>
      </c>
      <c r="D624" s="4" t="inlineStr">
        <is>
          <t>France</t>
        </is>
      </c>
      <c r="E624" s="4" t="inlineStr">
        <is>
          <t>1 invoices</t>
        </is>
      </c>
      <c r="F624" s="6">
        <f>IF(B624="","",IFERROR(INDEX(Products!$E:$E,MATCH(B624,Products!$A:$A,0)),0))</f>
        <v/>
      </c>
      <c r="G624" s="6">
        <f>IF(B624="","",N(C624)*N(F624))</f>
        <v/>
      </c>
      <c r="H624">
        <f>IF(B624="","",IFERROR(INDEX(Products!$B:$B,MATCH(B624,Products!$A:$A,0)),"SKU not found"))</f>
        <v/>
      </c>
    </row>
    <row r="625">
      <c r="A625" s="7" t="n">
        <v>40883</v>
      </c>
      <c r="B625" s="4" t="inlineStr">
        <is>
          <t>21212</t>
        </is>
      </c>
      <c r="C625" s="4" t="n">
        <v>66</v>
      </c>
      <c r="D625" s="4" t="inlineStr">
        <is>
          <t>UK</t>
        </is>
      </c>
      <c r="E625" s="4" t="inlineStr">
        <is>
          <t>4 invoices</t>
        </is>
      </c>
      <c r="F625" s="6">
        <f>IF(B625="","",IFERROR(INDEX(Products!$E:$E,MATCH(B625,Products!$A:$A,0)),0))</f>
        <v/>
      </c>
      <c r="G625" s="6">
        <f>IF(B625="","",N(C625)*N(F625))</f>
        <v/>
      </c>
      <c r="H625">
        <f>IF(B625="","",IFERROR(INDEX(Products!$B:$B,MATCH(B625,Products!$A:$A,0)),"SKU not found"))</f>
        <v/>
      </c>
    </row>
    <row r="626">
      <c r="A626" s="7" t="n">
        <v>40883</v>
      </c>
      <c r="B626" s="4" t="inlineStr">
        <is>
          <t>21931</t>
        </is>
      </c>
      <c r="C626" s="4" t="n">
        <v>10</v>
      </c>
      <c r="D626" s="4" t="inlineStr">
        <is>
          <t>France</t>
        </is>
      </c>
      <c r="E626" s="4" t="inlineStr">
        <is>
          <t>1 invoices</t>
        </is>
      </c>
      <c r="F626" s="6">
        <f>IF(B626="","",IFERROR(INDEX(Products!$E:$E,MATCH(B626,Products!$A:$A,0)),0))</f>
        <v/>
      </c>
      <c r="G626" s="6">
        <f>IF(B626="","",N(C626)*N(F626))</f>
        <v/>
      </c>
      <c r="H626">
        <f>IF(B626="","",IFERROR(INDEX(Products!$B:$B,MATCH(B626,Products!$A:$A,0)),"SKU not found"))</f>
        <v/>
      </c>
    </row>
    <row r="627">
      <c r="A627" s="7" t="n">
        <v>40883</v>
      </c>
      <c r="B627" s="4" t="inlineStr">
        <is>
          <t>21931</t>
        </is>
      </c>
      <c r="C627" s="4" t="n">
        <v>10</v>
      </c>
      <c r="D627" s="4" t="inlineStr">
        <is>
          <t>Other EU/Intl</t>
        </is>
      </c>
      <c r="E627" s="4" t="inlineStr">
        <is>
          <t>1 invoices</t>
        </is>
      </c>
      <c r="F627" s="6">
        <f>IF(B627="","",IFERROR(INDEX(Products!$E:$E,MATCH(B627,Products!$A:$A,0)),0))</f>
        <v/>
      </c>
      <c r="G627" s="6">
        <f>IF(B627="","",N(C627)*N(F627))</f>
        <v/>
      </c>
      <c r="H627">
        <f>IF(B627="","",IFERROR(INDEX(Products!$B:$B,MATCH(B627,Products!$A:$A,0)),"SKU not found"))</f>
        <v/>
      </c>
    </row>
    <row r="628">
      <c r="A628" s="7" t="n">
        <v>40883</v>
      </c>
      <c r="B628" s="4" t="inlineStr">
        <is>
          <t>21931</t>
        </is>
      </c>
      <c r="C628" s="4" t="n">
        <v>27</v>
      </c>
      <c r="D628" s="4" t="inlineStr">
        <is>
          <t>UK</t>
        </is>
      </c>
      <c r="E628" s="4" t="inlineStr">
        <is>
          <t>6 invoices</t>
        </is>
      </c>
      <c r="F628" s="6">
        <f>IF(B628="","",IFERROR(INDEX(Products!$E:$E,MATCH(B628,Products!$A:$A,0)),0))</f>
        <v/>
      </c>
      <c r="G628" s="6">
        <f>IF(B628="","",N(C628)*N(F628))</f>
        <v/>
      </c>
      <c r="H628">
        <f>IF(B628="","",IFERROR(INDEX(Products!$B:$B,MATCH(B628,Products!$A:$A,0)),"SKU not found"))</f>
        <v/>
      </c>
    </row>
    <row r="629">
      <c r="A629" s="7" t="n">
        <v>40883</v>
      </c>
      <c r="B629" s="4" t="inlineStr">
        <is>
          <t>22197</t>
        </is>
      </c>
      <c r="C629" s="4" t="n">
        <v>337</v>
      </c>
      <c r="D629" s="4" t="inlineStr">
        <is>
          <t>UK</t>
        </is>
      </c>
      <c r="E629" s="4" t="inlineStr">
        <is>
          <t>7 invoices</t>
        </is>
      </c>
      <c r="F629" s="6">
        <f>IF(B629="","",IFERROR(INDEX(Products!$E:$E,MATCH(B629,Products!$A:$A,0)),0))</f>
        <v/>
      </c>
      <c r="G629" s="6">
        <f>IF(B629="","",N(C629)*N(F629))</f>
        <v/>
      </c>
      <c r="H629">
        <f>IF(B629="","",IFERROR(INDEX(Products!$B:$B,MATCH(B629,Products!$A:$A,0)),"SKU not found"))</f>
        <v/>
      </c>
    </row>
    <row r="630">
      <c r="A630" s="7" t="n">
        <v>40883</v>
      </c>
      <c r="B630" s="4" t="inlineStr">
        <is>
          <t>22383</t>
        </is>
      </c>
      <c r="C630" s="4" t="n">
        <v>37</v>
      </c>
      <c r="D630" s="4" t="inlineStr">
        <is>
          <t>UK</t>
        </is>
      </c>
      <c r="E630" s="4" t="inlineStr">
        <is>
          <t>7 invoices</t>
        </is>
      </c>
      <c r="F630" s="6">
        <f>IF(B630="","",IFERROR(INDEX(Products!$E:$E,MATCH(B630,Products!$A:$A,0)),0))</f>
        <v/>
      </c>
      <c r="G630" s="6">
        <f>IF(B630="","",N(C630)*N(F630))</f>
        <v/>
      </c>
      <c r="H630">
        <f>IF(B630="","",IFERROR(INDEX(Products!$B:$B,MATCH(B630,Products!$A:$A,0)),"SKU not found"))</f>
        <v/>
      </c>
    </row>
    <row r="631">
      <c r="A631" s="7" t="n">
        <v>40883</v>
      </c>
      <c r="B631" s="4" t="inlineStr">
        <is>
          <t>22386</t>
        </is>
      </c>
      <c r="C631" s="4" t="n">
        <v>23</v>
      </c>
      <c r="D631" s="4" t="inlineStr">
        <is>
          <t>UK</t>
        </is>
      </c>
      <c r="E631" s="4" t="inlineStr">
        <is>
          <t>3 invoices</t>
        </is>
      </c>
      <c r="F631" s="6">
        <f>IF(B631="","",IFERROR(INDEX(Products!$E:$E,MATCH(B631,Products!$A:$A,0)),0))</f>
        <v/>
      </c>
      <c r="G631" s="6">
        <f>IF(B631="","",N(C631)*N(F631))</f>
        <v/>
      </c>
      <c r="H631">
        <f>IF(B631="","",IFERROR(INDEX(Products!$B:$B,MATCH(B631,Products!$A:$A,0)),"SKU not found"))</f>
        <v/>
      </c>
    </row>
    <row r="632">
      <c r="A632" s="7" t="n">
        <v>40883</v>
      </c>
      <c r="B632" s="4" t="inlineStr">
        <is>
          <t>22423</t>
        </is>
      </c>
      <c r="C632" s="4" t="n">
        <v>1</v>
      </c>
      <c r="D632" s="4" t="inlineStr">
        <is>
          <t>France</t>
        </is>
      </c>
      <c r="E632" s="4" t="inlineStr">
        <is>
          <t>1 invoices</t>
        </is>
      </c>
      <c r="F632" s="6">
        <f>IF(B632="","",IFERROR(INDEX(Products!$E:$E,MATCH(B632,Products!$A:$A,0)),0))</f>
        <v/>
      </c>
      <c r="G632" s="6">
        <f>IF(B632="","",N(C632)*N(F632))</f>
        <v/>
      </c>
      <c r="H632">
        <f>IF(B632="","",IFERROR(INDEX(Products!$B:$B,MATCH(B632,Products!$A:$A,0)),"SKU not found"))</f>
        <v/>
      </c>
    </row>
    <row r="633">
      <c r="A633" s="7" t="n">
        <v>40883</v>
      </c>
      <c r="B633" s="4" t="inlineStr">
        <is>
          <t>22423</t>
        </is>
      </c>
      <c r="C633" s="4" t="n">
        <v>4</v>
      </c>
      <c r="D633" s="4" t="inlineStr">
        <is>
          <t>Other EU/Intl</t>
        </is>
      </c>
      <c r="E633" s="4" t="inlineStr">
        <is>
          <t>1 invoices</t>
        </is>
      </c>
      <c r="F633" s="6">
        <f>IF(B633="","",IFERROR(INDEX(Products!$E:$E,MATCH(B633,Products!$A:$A,0)),0))</f>
        <v/>
      </c>
      <c r="G633" s="6">
        <f>IF(B633="","",N(C633)*N(F633))</f>
        <v/>
      </c>
      <c r="H633">
        <f>IF(B633="","",IFERROR(INDEX(Products!$B:$B,MATCH(B633,Products!$A:$A,0)),"SKU not found"))</f>
        <v/>
      </c>
    </row>
    <row r="634">
      <c r="A634" s="7" t="n">
        <v>40883</v>
      </c>
      <c r="B634" s="4" t="inlineStr">
        <is>
          <t>22423</t>
        </is>
      </c>
      <c r="C634" s="4" t="n">
        <v>155</v>
      </c>
      <c r="D634" s="4" t="inlineStr">
        <is>
          <t>UK</t>
        </is>
      </c>
      <c r="E634" s="4" t="inlineStr">
        <is>
          <t>6 invoices</t>
        </is>
      </c>
      <c r="F634" s="6">
        <f>IF(B634="","",IFERROR(INDEX(Products!$E:$E,MATCH(B634,Products!$A:$A,0)),0))</f>
        <v/>
      </c>
      <c r="G634" s="6">
        <f>IF(B634="","",N(C634)*N(F634))</f>
        <v/>
      </c>
      <c r="H634">
        <f>IF(B634="","",IFERROR(INDEX(Products!$B:$B,MATCH(B634,Products!$A:$A,0)),"SKU not found"))</f>
        <v/>
      </c>
    </row>
    <row r="635">
      <c r="A635" s="7" t="n">
        <v>40883</v>
      </c>
      <c r="B635" s="4" t="inlineStr">
        <is>
          <t>22457</t>
        </is>
      </c>
      <c r="C635" s="4" t="n">
        <v>13</v>
      </c>
      <c r="D635" s="4" t="inlineStr">
        <is>
          <t>UK</t>
        </is>
      </c>
      <c r="E635" s="4" t="inlineStr">
        <is>
          <t>3 invoices</t>
        </is>
      </c>
      <c r="F635" s="6">
        <f>IF(B635="","",IFERROR(INDEX(Products!$E:$E,MATCH(B635,Products!$A:$A,0)),0))</f>
        <v/>
      </c>
      <c r="G635" s="6">
        <f>IF(B635="","",N(C635)*N(F635))</f>
        <v/>
      </c>
      <c r="H635">
        <f>IF(B635="","",IFERROR(INDEX(Products!$B:$B,MATCH(B635,Products!$A:$A,0)),"SKU not found"))</f>
        <v/>
      </c>
    </row>
    <row r="636">
      <c r="A636" s="7" t="n">
        <v>40883</v>
      </c>
      <c r="B636" s="4" t="inlineStr">
        <is>
          <t>22469</t>
        </is>
      </c>
      <c r="C636" s="4" t="n">
        <v>16</v>
      </c>
      <c r="D636" s="4" t="inlineStr">
        <is>
          <t>UK</t>
        </is>
      </c>
      <c r="E636" s="4" t="inlineStr">
        <is>
          <t>3 invoices</t>
        </is>
      </c>
      <c r="F636" s="6">
        <f>IF(B636="","",IFERROR(INDEX(Products!$E:$E,MATCH(B636,Products!$A:$A,0)),0))</f>
        <v/>
      </c>
      <c r="G636" s="6">
        <f>IF(B636="","",N(C636)*N(F636))</f>
        <v/>
      </c>
      <c r="H636">
        <f>IF(B636="","",IFERROR(INDEX(Products!$B:$B,MATCH(B636,Products!$A:$A,0)),"SKU not found"))</f>
        <v/>
      </c>
    </row>
    <row r="637">
      <c r="A637" s="7" t="n">
        <v>40883</v>
      </c>
      <c r="B637" s="4" t="inlineStr">
        <is>
          <t>22720</t>
        </is>
      </c>
      <c r="C637" s="4" t="n">
        <v>7</v>
      </c>
      <c r="D637" s="4" t="inlineStr">
        <is>
          <t>UK</t>
        </is>
      </c>
      <c r="E637" s="4" t="inlineStr">
        <is>
          <t>2 invoices</t>
        </is>
      </c>
      <c r="F637" s="6">
        <f>IF(B637="","",IFERROR(INDEX(Products!$E:$E,MATCH(B637,Products!$A:$A,0)),0))</f>
        <v/>
      </c>
      <c r="G637" s="6">
        <f>IF(B637="","",N(C637)*N(F637))</f>
        <v/>
      </c>
      <c r="H637">
        <f>IF(B637="","",IFERROR(INDEX(Products!$B:$B,MATCH(B637,Products!$A:$A,0)),"SKU not found"))</f>
        <v/>
      </c>
    </row>
    <row r="638">
      <c r="A638" s="7" t="n">
        <v>40883</v>
      </c>
      <c r="B638" s="4" t="inlineStr">
        <is>
          <t>22720</t>
        </is>
      </c>
      <c r="C638" s="4" t="n">
        <v>9</v>
      </c>
      <c r="D638" s="4" t="inlineStr">
        <is>
          <t>Other EU/Intl</t>
        </is>
      </c>
      <c r="E638" s="4" t="inlineStr">
        <is>
          <t>1 invoices</t>
        </is>
      </c>
      <c r="F638" s="6">
        <f>IF(B638="","",IFERROR(INDEX(Products!$E:$E,MATCH(B638,Products!$A:$A,0)),0))</f>
        <v/>
      </c>
      <c r="G638" s="6">
        <f>IF(B638="","",N(C638)*N(F638))</f>
        <v/>
      </c>
      <c r="H638">
        <f>IF(B638="","",IFERROR(INDEX(Products!$B:$B,MATCH(B638,Products!$A:$A,0)),"SKU not found"))</f>
        <v/>
      </c>
    </row>
    <row r="639">
      <c r="A639" s="7" t="n">
        <v>40883</v>
      </c>
      <c r="B639" s="4" t="inlineStr">
        <is>
          <t>47566</t>
        </is>
      </c>
      <c r="C639" s="4" t="n">
        <v>9</v>
      </c>
      <c r="D639" s="4" t="inlineStr">
        <is>
          <t>UK</t>
        </is>
      </c>
      <c r="E639" s="4" t="inlineStr">
        <is>
          <t>3 invoices</t>
        </is>
      </c>
      <c r="F639" s="6">
        <f>IF(B639="","",IFERROR(INDEX(Products!$E:$E,MATCH(B639,Products!$A:$A,0)),0))</f>
        <v/>
      </c>
      <c r="G639" s="6">
        <f>IF(B639="","",N(C639)*N(F639))</f>
        <v/>
      </c>
      <c r="H639">
        <f>IF(B639="","",IFERROR(INDEX(Products!$B:$B,MATCH(B639,Products!$A:$A,0)),"SKU not found"))</f>
        <v/>
      </c>
    </row>
    <row r="640">
      <c r="A640" s="7" t="n">
        <v>40883</v>
      </c>
      <c r="B640" s="4" t="inlineStr">
        <is>
          <t>47566</t>
        </is>
      </c>
      <c r="C640" s="4" t="n">
        <v>12</v>
      </c>
      <c r="D640" s="4" t="inlineStr">
        <is>
          <t>France</t>
        </is>
      </c>
      <c r="E640" s="4" t="inlineStr">
        <is>
          <t>2 invoices</t>
        </is>
      </c>
      <c r="F640" s="6">
        <f>IF(B640="","",IFERROR(INDEX(Products!$E:$E,MATCH(B640,Products!$A:$A,0)),0))</f>
        <v/>
      </c>
      <c r="G640" s="6">
        <f>IF(B640="","",N(C640)*N(F640))</f>
        <v/>
      </c>
      <c r="H640">
        <f>IF(B640="","",IFERROR(INDEX(Products!$B:$B,MATCH(B640,Products!$A:$A,0)),"SKU not found"))</f>
        <v/>
      </c>
    </row>
    <row r="641">
      <c r="A641" s="7" t="n">
        <v>40883</v>
      </c>
      <c r="B641" s="4" t="inlineStr">
        <is>
          <t>84879</t>
        </is>
      </c>
      <c r="C641" s="4" t="n">
        <v>240</v>
      </c>
      <c r="D641" s="4" t="inlineStr">
        <is>
          <t>UK</t>
        </is>
      </c>
      <c r="E641" s="4" t="inlineStr">
        <is>
          <t>8 invoices</t>
        </is>
      </c>
      <c r="F641" s="6">
        <f>IF(B641="","",IFERROR(INDEX(Products!$E:$E,MATCH(B641,Products!$A:$A,0)),0))</f>
        <v/>
      </c>
      <c r="G641" s="6">
        <f>IF(B641="","",N(C641)*N(F641))</f>
        <v/>
      </c>
      <c r="H641">
        <f>IF(B641="","",IFERROR(INDEX(Products!$B:$B,MATCH(B641,Products!$A:$A,0)),"SKU not found"))</f>
        <v/>
      </c>
    </row>
    <row r="642">
      <c r="A642" s="7" t="n">
        <v>40883</v>
      </c>
      <c r="B642" s="4" t="inlineStr">
        <is>
          <t>85099B</t>
        </is>
      </c>
      <c r="C642" s="4" t="n">
        <v>10</v>
      </c>
      <c r="D642" s="4" t="inlineStr">
        <is>
          <t>France</t>
        </is>
      </c>
      <c r="E642" s="4" t="inlineStr">
        <is>
          <t>1 invoices</t>
        </is>
      </c>
      <c r="F642" s="6">
        <f>IF(B642="","",IFERROR(INDEX(Products!$E:$E,MATCH(B642,Products!$A:$A,0)),0))</f>
        <v/>
      </c>
      <c r="G642" s="6">
        <f>IF(B642="","",N(C642)*N(F642))</f>
        <v/>
      </c>
      <c r="H642">
        <f>IF(B642="","",IFERROR(INDEX(Products!$B:$B,MATCH(B642,Products!$A:$A,0)),"SKU not found"))</f>
        <v/>
      </c>
    </row>
    <row r="643">
      <c r="A643" s="7" t="n">
        <v>40883</v>
      </c>
      <c r="B643" s="4" t="inlineStr">
        <is>
          <t>85099B</t>
        </is>
      </c>
      <c r="C643" s="4" t="n">
        <v>30</v>
      </c>
      <c r="D643" s="4" t="inlineStr">
        <is>
          <t>Other EU/Intl</t>
        </is>
      </c>
      <c r="E643" s="4" t="inlineStr">
        <is>
          <t>2 invoices</t>
        </is>
      </c>
      <c r="F643" s="6">
        <f>IF(B643="","",IFERROR(INDEX(Products!$E:$E,MATCH(B643,Products!$A:$A,0)),0))</f>
        <v/>
      </c>
      <c r="G643" s="6">
        <f>IF(B643="","",N(C643)*N(F643))</f>
        <v/>
      </c>
      <c r="H643">
        <f>IF(B643="","",IFERROR(INDEX(Products!$B:$B,MATCH(B643,Products!$A:$A,0)),"SKU not found"))</f>
        <v/>
      </c>
    </row>
    <row r="644">
      <c r="A644" s="7" t="n">
        <v>40883</v>
      </c>
      <c r="B644" s="4" t="inlineStr">
        <is>
          <t>85099B</t>
        </is>
      </c>
      <c r="C644" s="4" t="n">
        <v>135</v>
      </c>
      <c r="D644" s="4" t="inlineStr">
        <is>
          <t>UK</t>
        </is>
      </c>
      <c r="E644" s="4" t="inlineStr">
        <is>
          <t>7 invoices</t>
        </is>
      </c>
      <c r="F644" s="6">
        <f>IF(B644="","",IFERROR(INDEX(Products!$E:$E,MATCH(B644,Products!$A:$A,0)),0))</f>
        <v/>
      </c>
      <c r="G644" s="6">
        <f>IF(B644="","",N(C644)*N(F644))</f>
        <v/>
      </c>
      <c r="H644">
        <f>IF(B644="","",IFERROR(INDEX(Products!$B:$B,MATCH(B644,Products!$A:$A,0)),"SKU not found"))</f>
        <v/>
      </c>
    </row>
    <row r="645">
      <c r="A645" s="7" t="n">
        <v>40883</v>
      </c>
      <c r="B645" s="4" t="inlineStr">
        <is>
          <t>85123A</t>
        </is>
      </c>
      <c r="C645" s="4" t="n">
        <v>18</v>
      </c>
      <c r="D645" s="4" t="inlineStr">
        <is>
          <t>Other EU/Intl</t>
        </is>
      </c>
      <c r="E645" s="4" t="inlineStr">
        <is>
          <t>1 invoices</t>
        </is>
      </c>
      <c r="F645" s="6">
        <f>IF(B645="","",IFERROR(INDEX(Products!$E:$E,MATCH(B645,Products!$A:$A,0)),0))</f>
        <v/>
      </c>
      <c r="G645" s="6">
        <f>IF(B645="","",N(C645)*N(F645))</f>
        <v/>
      </c>
      <c r="H645">
        <f>IF(B645="","",IFERROR(INDEX(Products!$B:$B,MATCH(B645,Products!$A:$A,0)),"SKU not found"))</f>
        <v/>
      </c>
    </row>
    <row r="646">
      <c r="A646" s="7" t="n">
        <v>40883</v>
      </c>
      <c r="B646" s="4" t="inlineStr">
        <is>
          <t>85123A</t>
        </is>
      </c>
      <c r="C646" s="4" t="n">
        <v>21</v>
      </c>
      <c r="D646" s="4" t="inlineStr">
        <is>
          <t>UK</t>
        </is>
      </c>
      <c r="E646" s="4" t="inlineStr">
        <is>
          <t>3 invoices</t>
        </is>
      </c>
      <c r="F646" s="6">
        <f>IF(B646="","",IFERROR(INDEX(Products!$E:$E,MATCH(B646,Products!$A:$A,0)),0))</f>
        <v/>
      </c>
      <c r="G646" s="6">
        <f>IF(B646="","",N(C646)*N(F646))</f>
        <v/>
      </c>
      <c r="H646">
        <f>IF(B646="","",IFERROR(INDEX(Products!$B:$B,MATCH(B646,Products!$A:$A,0)),"SKU not found"))</f>
        <v/>
      </c>
    </row>
    <row r="647">
      <c r="A647" s="7" t="n">
        <v>40884</v>
      </c>
      <c r="B647" s="4" t="inlineStr">
        <is>
          <t>20725</t>
        </is>
      </c>
      <c r="C647" s="4" t="n">
        <v>35</v>
      </c>
      <c r="D647" s="4" t="inlineStr">
        <is>
          <t>UK</t>
        </is>
      </c>
      <c r="E647" s="4" t="inlineStr">
        <is>
          <t>4 invoices</t>
        </is>
      </c>
      <c r="F647" s="6">
        <f>IF(B647="","",IFERROR(INDEX(Products!$E:$E,MATCH(B647,Products!$A:$A,0)),0))</f>
        <v/>
      </c>
      <c r="G647" s="6">
        <f>IF(B647="","",N(C647)*N(F647))</f>
        <v/>
      </c>
      <c r="H647">
        <f>IF(B647="","",IFERROR(INDEX(Products!$B:$B,MATCH(B647,Products!$A:$A,0)),"SKU not found"))</f>
        <v/>
      </c>
    </row>
    <row r="648">
      <c r="A648" s="7" t="n">
        <v>40884</v>
      </c>
      <c r="B648" s="4" t="inlineStr">
        <is>
          <t>20727</t>
        </is>
      </c>
      <c r="C648" s="4" t="n">
        <v>40</v>
      </c>
      <c r="D648" s="4" t="inlineStr">
        <is>
          <t>UK</t>
        </is>
      </c>
      <c r="E648" s="4" t="inlineStr">
        <is>
          <t>4 invoices</t>
        </is>
      </c>
      <c r="F648" s="6">
        <f>IF(B648="","",IFERROR(INDEX(Products!$E:$E,MATCH(B648,Products!$A:$A,0)),0))</f>
        <v/>
      </c>
      <c r="G648" s="6">
        <f>IF(B648="","",N(C648)*N(F648))</f>
        <v/>
      </c>
      <c r="H648">
        <f>IF(B648="","",IFERROR(INDEX(Products!$B:$B,MATCH(B648,Products!$A:$A,0)),"SKU not found"))</f>
        <v/>
      </c>
    </row>
    <row r="649">
      <c r="A649" s="7" t="n">
        <v>40884</v>
      </c>
      <c r="B649" s="4" t="inlineStr">
        <is>
          <t>21212</t>
        </is>
      </c>
      <c r="C649" s="4" t="n">
        <v>24</v>
      </c>
      <c r="D649" s="4" t="inlineStr">
        <is>
          <t>Ireland</t>
        </is>
      </c>
      <c r="E649" s="4" t="inlineStr">
        <is>
          <t>1 invoices</t>
        </is>
      </c>
      <c r="F649" s="6">
        <f>IF(B649="","",IFERROR(INDEX(Products!$E:$E,MATCH(B649,Products!$A:$A,0)),0))</f>
        <v/>
      </c>
      <c r="G649" s="6">
        <f>IF(B649="","",N(C649)*N(F649))</f>
        <v/>
      </c>
      <c r="H649">
        <f>IF(B649="","",IFERROR(INDEX(Products!$B:$B,MATCH(B649,Products!$A:$A,0)),"SKU not found"))</f>
        <v/>
      </c>
    </row>
    <row r="650">
      <c r="A650" s="7" t="n">
        <v>40884</v>
      </c>
      <c r="B650" s="4" t="inlineStr">
        <is>
          <t>21212</t>
        </is>
      </c>
      <c r="C650" s="4" t="n">
        <v>50</v>
      </c>
      <c r="D650" s="4" t="inlineStr">
        <is>
          <t>UK</t>
        </is>
      </c>
      <c r="E650" s="4" t="inlineStr">
        <is>
          <t>4 invoices</t>
        </is>
      </c>
      <c r="F650" s="6">
        <f>IF(B650="","",IFERROR(INDEX(Products!$E:$E,MATCH(B650,Products!$A:$A,0)),0))</f>
        <v/>
      </c>
      <c r="G650" s="6">
        <f>IF(B650="","",N(C650)*N(F650))</f>
        <v/>
      </c>
      <c r="H650">
        <f>IF(B650="","",IFERROR(INDEX(Products!$B:$B,MATCH(B650,Products!$A:$A,0)),"SKU not found"))</f>
        <v/>
      </c>
    </row>
    <row r="651">
      <c r="A651" s="7" t="n">
        <v>40884</v>
      </c>
      <c r="B651" s="4" t="inlineStr">
        <is>
          <t>21931</t>
        </is>
      </c>
      <c r="C651" s="4" t="n">
        <v>46</v>
      </c>
      <c r="D651" s="4" t="inlineStr">
        <is>
          <t>UK</t>
        </is>
      </c>
      <c r="E651" s="4" t="inlineStr">
        <is>
          <t>4 invoices</t>
        </is>
      </c>
      <c r="F651" s="6">
        <f>IF(B651="","",IFERROR(INDEX(Products!$E:$E,MATCH(B651,Products!$A:$A,0)),0))</f>
        <v/>
      </c>
      <c r="G651" s="6">
        <f>IF(B651="","",N(C651)*N(F651))</f>
        <v/>
      </c>
      <c r="H651">
        <f>IF(B651="","",IFERROR(INDEX(Products!$B:$B,MATCH(B651,Products!$A:$A,0)),"SKU not found"))</f>
        <v/>
      </c>
    </row>
    <row r="652">
      <c r="A652" s="7" t="n">
        <v>40884</v>
      </c>
      <c r="B652" s="4" t="inlineStr">
        <is>
          <t>22197</t>
        </is>
      </c>
      <c r="C652" s="4" t="n">
        <v>96</v>
      </c>
      <c r="D652" s="4" t="inlineStr">
        <is>
          <t>Ireland</t>
        </is>
      </c>
      <c r="E652" s="4" t="inlineStr">
        <is>
          <t>2 invoices</t>
        </is>
      </c>
      <c r="F652" s="6">
        <f>IF(B652="","",IFERROR(INDEX(Products!$E:$E,MATCH(B652,Products!$A:$A,0)),0))</f>
        <v/>
      </c>
      <c r="G652" s="6">
        <f>IF(B652="","",N(C652)*N(F652))</f>
        <v/>
      </c>
      <c r="H652">
        <f>IF(B652="","",IFERROR(INDEX(Products!$B:$B,MATCH(B652,Products!$A:$A,0)),"SKU not found"))</f>
        <v/>
      </c>
    </row>
    <row r="653">
      <c r="A653" s="7" t="n">
        <v>40884</v>
      </c>
      <c r="B653" s="4" t="inlineStr">
        <is>
          <t>22197</t>
        </is>
      </c>
      <c r="C653" s="4" t="n">
        <v>272</v>
      </c>
      <c r="D653" s="4" t="inlineStr">
        <is>
          <t>UK</t>
        </is>
      </c>
      <c r="E653" s="4" t="inlineStr">
        <is>
          <t>5 invoices</t>
        </is>
      </c>
      <c r="F653" s="6">
        <f>IF(B653="","",IFERROR(INDEX(Products!$E:$E,MATCH(B653,Products!$A:$A,0)),0))</f>
        <v/>
      </c>
      <c r="G653" s="6">
        <f>IF(B653="","",N(C653)*N(F653))</f>
        <v/>
      </c>
      <c r="H653">
        <f>IF(B653="","",IFERROR(INDEX(Products!$B:$B,MATCH(B653,Products!$A:$A,0)),"SKU not found"))</f>
        <v/>
      </c>
    </row>
    <row r="654">
      <c r="A654" s="7" t="n">
        <v>40884</v>
      </c>
      <c r="B654" s="4" t="inlineStr">
        <is>
          <t>22383</t>
        </is>
      </c>
      <c r="C654" s="4" t="n">
        <v>17</v>
      </c>
      <c r="D654" s="4" t="inlineStr">
        <is>
          <t>UK</t>
        </is>
      </c>
      <c r="E654" s="4" t="inlineStr">
        <is>
          <t>3 invoices</t>
        </is>
      </c>
      <c r="F654" s="6">
        <f>IF(B654="","",IFERROR(INDEX(Products!$E:$E,MATCH(B654,Products!$A:$A,0)),0))</f>
        <v/>
      </c>
      <c r="G654" s="6">
        <f>IF(B654="","",N(C654)*N(F654))</f>
        <v/>
      </c>
      <c r="H654">
        <f>IF(B654="","",IFERROR(INDEX(Products!$B:$B,MATCH(B654,Products!$A:$A,0)),"SKU not found"))</f>
        <v/>
      </c>
    </row>
    <row r="655">
      <c r="A655" s="7" t="n">
        <v>40884</v>
      </c>
      <c r="B655" s="4" t="inlineStr">
        <is>
          <t>22386</t>
        </is>
      </c>
      <c r="C655" s="4" t="n">
        <v>33</v>
      </c>
      <c r="D655" s="4" t="inlineStr">
        <is>
          <t>UK</t>
        </is>
      </c>
      <c r="E655" s="4" t="inlineStr">
        <is>
          <t>3 invoices</t>
        </is>
      </c>
      <c r="F655" s="6">
        <f>IF(B655="","",IFERROR(INDEX(Products!$E:$E,MATCH(B655,Products!$A:$A,0)),0))</f>
        <v/>
      </c>
      <c r="G655" s="6">
        <f>IF(B655="","",N(C655)*N(F655))</f>
        <v/>
      </c>
      <c r="H655">
        <f>IF(B655="","",IFERROR(INDEX(Products!$B:$B,MATCH(B655,Products!$A:$A,0)),"SKU not found"))</f>
        <v/>
      </c>
    </row>
    <row r="656">
      <c r="A656" s="7" t="n">
        <v>40884</v>
      </c>
      <c r="B656" s="4" t="inlineStr">
        <is>
          <t>22423</t>
        </is>
      </c>
      <c r="C656" s="4" t="n">
        <v>16</v>
      </c>
      <c r="D656" s="4" t="inlineStr">
        <is>
          <t>Ireland</t>
        </is>
      </c>
      <c r="E656" s="4" t="inlineStr">
        <is>
          <t>1 invoices</t>
        </is>
      </c>
      <c r="F656" s="6">
        <f>IF(B656="","",IFERROR(INDEX(Products!$E:$E,MATCH(B656,Products!$A:$A,0)),0))</f>
        <v/>
      </c>
      <c r="G656" s="6">
        <f>IF(B656="","",N(C656)*N(F656))</f>
        <v/>
      </c>
      <c r="H656">
        <f>IF(B656="","",IFERROR(INDEX(Products!$B:$B,MATCH(B656,Products!$A:$A,0)),"SKU not found"))</f>
        <v/>
      </c>
    </row>
    <row r="657">
      <c r="A657" s="7" t="n">
        <v>40884</v>
      </c>
      <c r="B657" s="4" t="inlineStr">
        <is>
          <t>22423</t>
        </is>
      </c>
      <c r="C657" s="4" t="n">
        <v>18</v>
      </c>
      <c r="D657" s="4" t="inlineStr">
        <is>
          <t>UK</t>
        </is>
      </c>
      <c r="E657" s="4" t="inlineStr">
        <is>
          <t>4 invoices</t>
        </is>
      </c>
      <c r="F657" s="6">
        <f>IF(B657="","",IFERROR(INDEX(Products!$E:$E,MATCH(B657,Products!$A:$A,0)),0))</f>
        <v/>
      </c>
      <c r="G657" s="6">
        <f>IF(B657="","",N(C657)*N(F657))</f>
        <v/>
      </c>
      <c r="H657">
        <f>IF(B657="","",IFERROR(INDEX(Products!$B:$B,MATCH(B657,Products!$A:$A,0)),"SKU not found"))</f>
        <v/>
      </c>
    </row>
    <row r="658">
      <c r="A658" s="7" t="n">
        <v>40884</v>
      </c>
      <c r="B658" s="4" t="inlineStr">
        <is>
          <t>22423</t>
        </is>
      </c>
      <c r="C658" s="4" t="n">
        <v>32</v>
      </c>
      <c r="D658" s="4" t="inlineStr">
        <is>
          <t>Other EU/Intl</t>
        </is>
      </c>
      <c r="E658" s="4" t="inlineStr">
        <is>
          <t>1 invoices</t>
        </is>
      </c>
      <c r="F658" s="6">
        <f>IF(B658="","",IFERROR(INDEX(Products!$E:$E,MATCH(B658,Products!$A:$A,0)),0))</f>
        <v/>
      </c>
      <c r="G658" s="6">
        <f>IF(B658="","",N(C658)*N(F658))</f>
        <v/>
      </c>
      <c r="H658">
        <f>IF(B658="","",IFERROR(INDEX(Products!$B:$B,MATCH(B658,Products!$A:$A,0)),"SKU not found"))</f>
        <v/>
      </c>
    </row>
    <row r="659">
      <c r="A659" s="7" t="n">
        <v>40884</v>
      </c>
      <c r="B659" s="4" t="inlineStr">
        <is>
          <t>22423</t>
        </is>
      </c>
      <c r="C659" s="4" t="n">
        <v>64</v>
      </c>
      <c r="D659" s="4" t="inlineStr">
        <is>
          <t>Germany</t>
        </is>
      </c>
      <c r="E659" s="4" t="inlineStr">
        <is>
          <t>1 invoices</t>
        </is>
      </c>
      <c r="F659" s="6">
        <f>IF(B659="","",IFERROR(INDEX(Products!$E:$E,MATCH(B659,Products!$A:$A,0)),0))</f>
        <v/>
      </c>
      <c r="G659" s="6">
        <f>IF(B659="","",N(C659)*N(F659))</f>
        <v/>
      </c>
      <c r="H659">
        <f>IF(B659="","",IFERROR(INDEX(Products!$B:$B,MATCH(B659,Products!$A:$A,0)),"SKU not found"))</f>
        <v/>
      </c>
    </row>
    <row r="660">
      <c r="A660" s="7" t="n">
        <v>40884</v>
      </c>
      <c r="B660" s="4" t="inlineStr">
        <is>
          <t>22457</t>
        </is>
      </c>
      <c r="C660" s="4" t="n">
        <v>6</v>
      </c>
      <c r="D660" s="4" t="inlineStr">
        <is>
          <t>Ireland</t>
        </is>
      </c>
      <c r="E660" s="4" t="inlineStr">
        <is>
          <t>1 invoices</t>
        </is>
      </c>
      <c r="F660" s="6">
        <f>IF(B660="","",IFERROR(INDEX(Products!$E:$E,MATCH(B660,Products!$A:$A,0)),0))</f>
        <v/>
      </c>
      <c r="G660" s="6">
        <f>IF(B660="","",N(C660)*N(F660))</f>
        <v/>
      </c>
      <c r="H660">
        <f>IF(B660="","",IFERROR(INDEX(Products!$B:$B,MATCH(B660,Products!$A:$A,0)),"SKU not found"))</f>
        <v/>
      </c>
    </row>
    <row r="661">
      <c r="A661" s="7" t="n">
        <v>40884</v>
      </c>
      <c r="B661" s="4" t="inlineStr">
        <is>
          <t>22457</t>
        </is>
      </c>
      <c r="C661" s="4" t="n">
        <v>654</v>
      </c>
      <c r="D661" s="4" t="inlineStr">
        <is>
          <t>UK</t>
        </is>
      </c>
      <c r="E661" s="4" t="inlineStr">
        <is>
          <t>4 invoices</t>
        </is>
      </c>
      <c r="F661" s="6">
        <f>IF(B661="","",IFERROR(INDEX(Products!$E:$E,MATCH(B661,Products!$A:$A,0)),0))</f>
        <v/>
      </c>
      <c r="G661" s="6">
        <f>IF(B661="","",N(C661)*N(F661))</f>
        <v/>
      </c>
      <c r="H661">
        <f>IF(B661="","",IFERROR(INDEX(Products!$B:$B,MATCH(B661,Products!$A:$A,0)),"SKU not found"))</f>
        <v/>
      </c>
    </row>
    <row r="662">
      <c r="A662" s="7" t="n">
        <v>40884</v>
      </c>
      <c r="B662" s="4" t="inlineStr">
        <is>
          <t>22469</t>
        </is>
      </c>
      <c r="C662" s="4" t="n">
        <v>1</v>
      </c>
      <c r="D662" s="4" t="inlineStr">
        <is>
          <t>Other EU/Intl</t>
        </is>
      </c>
      <c r="E662" s="4" t="inlineStr">
        <is>
          <t>1 invoices</t>
        </is>
      </c>
      <c r="F662" s="6">
        <f>IF(B662="","",IFERROR(INDEX(Products!$E:$E,MATCH(B662,Products!$A:$A,0)),0))</f>
        <v/>
      </c>
      <c r="G662" s="6">
        <f>IF(B662="","",N(C662)*N(F662))</f>
        <v/>
      </c>
      <c r="H662">
        <f>IF(B662="","",IFERROR(INDEX(Products!$B:$B,MATCH(B662,Products!$A:$A,0)),"SKU not found"))</f>
        <v/>
      </c>
    </row>
    <row r="663">
      <c r="A663" s="7" t="n">
        <v>40884</v>
      </c>
      <c r="B663" s="4" t="inlineStr">
        <is>
          <t>22469</t>
        </is>
      </c>
      <c r="C663" s="4" t="n">
        <v>3</v>
      </c>
      <c r="D663" s="4" t="inlineStr">
        <is>
          <t>UK</t>
        </is>
      </c>
      <c r="E663" s="4" t="inlineStr">
        <is>
          <t>1 invoices</t>
        </is>
      </c>
      <c r="F663" s="6">
        <f>IF(B663="","",IFERROR(INDEX(Products!$E:$E,MATCH(B663,Products!$A:$A,0)),0))</f>
        <v/>
      </c>
      <c r="G663" s="6">
        <f>IF(B663="","",N(C663)*N(F663))</f>
        <v/>
      </c>
      <c r="H663">
        <f>IF(B663="","",IFERROR(INDEX(Products!$B:$B,MATCH(B663,Products!$A:$A,0)),"SKU not found"))</f>
        <v/>
      </c>
    </row>
    <row r="664">
      <c r="A664" s="7" t="n">
        <v>40884</v>
      </c>
      <c r="B664" s="4" t="inlineStr">
        <is>
          <t>22720</t>
        </is>
      </c>
      <c r="C664" s="4" t="n">
        <v>3</v>
      </c>
      <c r="D664" s="4" t="inlineStr">
        <is>
          <t>Germany</t>
        </is>
      </c>
      <c r="E664" s="4" t="inlineStr">
        <is>
          <t>1 invoices</t>
        </is>
      </c>
      <c r="F664" s="6">
        <f>IF(B664="","",IFERROR(INDEX(Products!$E:$E,MATCH(B664,Products!$A:$A,0)),0))</f>
        <v/>
      </c>
      <c r="G664" s="6">
        <f>IF(B664="","",N(C664)*N(F664))</f>
        <v/>
      </c>
      <c r="H664">
        <f>IF(B664="","",IFERROR(INDEX(Products!$B:$B,MATCH(B664,Products!$A:$A,0)),"SKU not found"))</f>
        <v/>
      </c>
    </row>
    <row r="665">
      <c r="A665" s="7" t="n">
        <v>40884</v>
      </c>
      <c r="B665" s="4" t="inlineStr">
        <is>
          <t>22720</t>
        </is>
      </c>
      <c r="C665" s="4" t="n">
        <v>3</v>
      </c>
      <c r="D665" s="4" t="inlineStr">
        <is>
          <t>Ireland</t>
        </is>
      </c>
      <c r="E665" s="4" t="inlineStr">
        <is>
          <t>1 invoices</t>
        </is>
      </c>
      <c r="F665" s="6">
        <f>IF(B665="","",IFERROR(INDEX(Products!$E:$E,MATCH(B665,Products!$A:$A,0)),0))</f>
        <v/>
      </c>
      <c r="G665" s="6">
        <f>IF(B665="","",N(C665)*N(F665))</f>
        <v/>
      </c>
      <c r="H665">
        <f>IF(B665="","",IFERROR(INDEX(Products!$B:$B,MATCH(B665,Products!$A:$A,0)),"SKU not found"))</f>
        <v/>
      </c>
    </row>
    <row r="666">
      <c r="A666" s="7" t="n">
        <v>40884</v>
      </c>
      <c r="B666" s="4" t="inlineStr">
        <is>
          <t>22720</t>
        </is>
      </c>
      <c r="C666" s="4" t="n">
        <v>12</v>
      </c>
      <c r="D666" s="4" t="inlineStr">
        <is>
          <t>UK</t>
        </is>
      </c>
      <c r="E666" s="4" t="inlineStr">
        <is>
          <t>3 invoices</t>
        </is>
      </c>
      <c r="F666" s="6">
        <f>IF(B666="","",IFERROR(INDEX(Products!$E:$E,MATCH(B666,Products!$A:$A,0)),0))</f>
        <v/>
      </c>
      <c r="G666" s="6">
        <f>IF(B666="","",N(C666)*N(F666))</f>
        <v/>
      </c>
      <c r="H666">
        <f>IF(B666="","",IFERROR(INDEX(Products!$B:$B,MATCH(B666,Products!$A:$A,0)),"SKU not found"))</f>
        <v/>
      </c>
    </row>
    <row r="667">
      <c r="A667" s="7" t="n">
        <v>40884</v>
      </c>
      <c r="B667" s="4" t="inlineStr">
        <is>
          <t>47566</t>
        </is>
      </c>
      <c r="C667" s="4" t="n">
        <v>3</v>
      </c>
      <c r="D667" s="4" t="inlineStr">
        <is>
          <t>UK</t>
        </is>
      </c>
      <c r="E667" s="4" t="inlineStr">
        <is>
          <t>1 invoices</t>
        </is>
      </c>
      <c r="F667" s="6">
        <f>IF(B667="","",IFERROR(INDEX(Products!$E:$E,MATCH(B667,Products!$A:$A,0)),0))</f>
        <v/>
      </c>
      <c r="G667" s="6">
        <f>IF(B667="","",N(C667)*N(F667))</f>
        <v/>
      </c>
      <c r="H667">
        <f>IF(B667="","",IFERROR(INDEX(Products!$B:$B,MATCH(B667,Products!$A:$A,0)),"SKU not found"))</f>
        <v/>
      </c>
    </row>
    <row r="668">
      <c r="A668" s="7" t="n">
        <v>40884</v>
      </c>
      <c r="B668" s="4" t="inlineStr">
        <is>
          <t>84879</t>
        </is>
      </c>
      <c r="C668" s="4" t="n">
        <v>256</v>
      </c>
      <c r="D668" s="4" t="inlineStr">
        <is>
          <t>UK</t>
        </is>
      </c>
      <c r="E668" s="4" t="inlineStr">
        <is>
          <t>7 invoices</t>
        </is>
      </c>
      <c r="F668" s="6">
        <f>IF(B668="","",IFERROR(INDEX(Products!$E:$E,MATCH(B668,Products!$A:$A,0)),0))</f>
        <v/>
      </c>
      <c r="G668" s="6">
        <f>IF(B668="","",N(C668)*N(F668))</f>
        <v/>
      </c>
      <c r="H668">
        <f>IF(B668="","",IFERROR(INDEX(Products!$B:$B,MATCH(B668,Products!$A:$A,0)),"SKU not found"))</f>
        <v/>
      </c>
    </row>
    <row r="669">
      <c r="A669" s="7" t="n">
        <v>40884</v>
      </c>
      <c r="B669" s="4" t="inlineStr">
        <is>
          <t>85099B</t>
        </is>
      </c>
      <c r="C669" s="4" t="n">
        <v>89</v>
      </c>
      <c r="D669" s="4" t="inlineStr">
        <is>
          <t>UK</t>
        </is>
      </c>
      <c r="E669" s="4" t="inlineStr">
        <is>
          <t>7 invoices</t>
        </is>
      </c>
      <c r="F669" s="6">
        <f>IF(B669="","",IFERROR(INDEX(Products!$E:$E,MATCH(B669,Products!$A:$A,0)),0))</f>
        <v/>
      </c>
      <c r="G669" s="6">
        <f>IF(B669="","",N(C669)*N(F669))</f>
        <v/>
      </c>
      <c r="H669">
        <f>IF(B669="","",IFERROR(INDEX(Products!$B:$B,MATCH(B669,Products!$A:$A,0)),"SKU not found"))</f>
        <v/>
      </c>
    </row>
    <row r="670">
      <c r="A670" s="7" t="n">
        <v>40884</v>
      </c>
      <c r="B670" s="4" t="inlineStr">
        <is>
          <t>85123A</t>
        </is>
      </c>
      <c r="C670" s="4" t="n">
        <v>1</v>
      </c>
      <c r="D670" s="4" t="inlineStr">
        <is>
          <t>Other EU/Intl</t>
        </is>
      </c>
      <c r="E670" s="4" t="inlineStr">
        <is>
          <t>1 invoices</t>
        </is>
      </c>
      <c r="F670" s="6">
        <f>IF(B670="","",IFERROR(INDEX(Products!$E:$E,MATCH(B670,Products!$A:$A,0)),0))</f>
        <v/>
      </c>
      <c r="G670" s="6">
        <f>IF(B670="","",N(C670)*N(F670))</f>
        <v/>
      </c>
      <c r="H670">
        <f>IF(B670="","",IFERROR(INDEX(Products!$B:$B,MATCH(B670,Products!$A:$A,0)),"SKU not found"))</f>
        <v/>
      </c>
    </row>
    <row r="671">
      <c r="A671" s="7" t="n">
        <v>40884</v>
      </c>
      <c r="B671" s="4" t="inlineStr">
        <is>
          <t>85123A</t>
        </is>
      </c>
      <c r="C671" s="4" t="n">
        <v>24</v>
      </c>
      <c r="D671" s="4" t="inlineStr">
        <is>
          <t>Ireland</t>
        </is>
      </c>
      <c r="E671" s="4" t="inlineStr">
        <is>
          <t>1 invoices</t>
        </is>
      </c>
      <c r="F671" s="6">
        <f>IF(B671="","",IFERROR(INDEX(Products!$E:$E,MATCH(B671,Products!$A:$A,0)),0))</f>
        <v/>
      </c>
      <c r="G671" s="6">
        <f>IF(B671="","",N(C671)*N(F671))</f>
        <v/>
      </c>
      <c r="H671">
        <f>IF(B671="","",IFERROR(INDEX(Products!$B:$B,MATCH(B671,Products!$A:$A,0)),"SKU not found"))</f>
        <v/>
      </c>
    </row>
    <row r="672">
      <c r="A672" s="7" t="n">
        <v>40884</v>
      </c>
      <c r="B672" s="4" t="inlineStr">
        <is>
          <t>85123A</t>
        </is>
      </c>
      <c r="C672" s="4" t="n">
        <v>175</v>
      </c>
      <c r="D672" s="4" t="inlineStr">
        <is>
          <t>UK</t>
        </is>
      </c>
      <c r="E672" s="4" t="inlineStr">
        <is>
          <t>9 invoices</t>
        </is>
      </c>
      <c r="F672" s="6">
        <f>IF(B672="","",IFERROR(INDEX(Products!$E:$E,MATCH(B672,Products!$A:$A,0)),0))</f>
        <v/>
      </c>
      <c r="G672" s="6">
        <f>IF(B672="","",N(C672)*N(F672))</f>
        <v/>
      </c>
      <c r="H672">
        <f>IF(B672="","",IFERROR(INDEX(Products!$B:$B,MATCH(B672,Products!$A:$A,0)),"SKU not found"))</f>
        <v/>
      </c>
    </row>
    <row r="673">
      <c r="A673" s="7" t="n">
        <v>40885</v>
      </c>
      <c r="B673" s="4" t="inlineStr">
        <is>
          <t>20725</t>
        </is>
      </c>
      <c r="C673" s="4" t="n">
        <v>52</v>
      </c>
      <c r="D673" s="4" t="inlineStr">
        <is>
          <t>UK</t>
        </is>
      </c>
      <c r="E673" s="4" t="inlineStr">
        <is>
          <t>9 invoices</t>
        </is>
      </c>
      <c r="F673" s="6">
        <f>IF(B673="","",IFERROR(INDEX(Products!$E:$E,MATCH(B673,Products!$A:$A,0)),0))</f>
        <v/>
      </c>
      <c r="G673" s="6">
        <f>IF(B673="","",N(C673)*N(F673))</f>
        <v/>
      </c>
      <c r="H673">
        <f>IF(B673="","",IFERROR(INDEX(Products!$B:$B,MATCH(B673,Products!$A:$A,0)),"SKU not found"))</f>
        <v/>
      </c>
    </row>
    <row r="674">
      <c r="A674" s="7" t="n">
        <v>40885</v>
      </c>
      <c r="B674" s="4" t="inlineStr">
        <is>
          <t>20727</t>
        </is>
      </c>
      <c r="C674" s="4" t="n">
        <v>34</v>
      </c>
      <c r="D674" s="4" t="inlineStr">
        <is>
          <t>UK</t>
        </is>
      </c>
      <c r="E674" s="4" t="inlineStr">
        <is>
          <t>7 invoices</t>
        </is>
      </c>
      <c r="F674" s="6">
        <f>IF(B674="","",IFERROR(INDEX(Products!$E:$E,MATCH(B674,Products!$A:$A,0)),0))</f>
        <v/>
      </c>
      <c r="G674" s="6">
        <f>IF(B674="","",N(C674)*N(F674))</f>
        <v/>
      </c>
      <c r="H674">
        <f>IF(B674="","",IFERROR(INDEX(Products!$B:$B,MATCH(B674,Products!$A:$A,0)),"SKU not found"))</f>
        <v/>
      </c>
    </row>
    <row r="675">
      <c r="A675" s="7" t="n">
        <v>40885</v>
      </c>
      <c r="B675" s="4" t="inlineStr">
        <is>
          <t>21212</t>
        </is>
      </c>
      <c r="C675" s="4" t="n">
        <v>51</v>
      </c>
      <c r="D675" s="4" t="inlineStr">
        <is>
          <t>UK</t>
        </is>
      </c>
      <c r="E675" s="4" t="inlineStr">
        <is>
          <t>5 invoices</t>
        </is>
      </c>
      <c r="F675" s="6">
        <f>IF(B675="","",IFERROR(INDEX(Products!$E:$E,MATCH(B675,Products!$A:$A,0)),0))</f>
        <v/>
      </c>
      <c r="G675" s="6">
        <f>IF(B675="","",N(C675)*N(F675))</f>
        <v/>
      </c>
      <c r="H675">
        <f>IF(B675="","",IFERROR(INDEX(Products!$B:$B,MATCH(B675,Products!$A:$A,0)),"SKU not found"))</f>
        <v/>
      </c>
    </row>
    <row r="676">
      <c r="A676" s="7" t="n">
        <v>40885</v>
      </c>
      <c r="B676" s="4" t="inlineStr">
        <is>
          <t>21931</t>
        </is>
      </c>
      <c r="C676" s="4" t="n">
        <v>23</v>
      </c>
      <c r="D676" s="4" t="inlineStr">
        <is>
          <t>UK</t>
        </is>
      </c>
      <c r="E676" s="4" t="inlineStr">
        <is>
          <t>4 invoices</t>
        </is>
      </c>
      <c r="F676" s="6">
        <f>IF(B676="","",IFERROR(INDEX(Products!$E:$E,MATCH(B676,Products!$A:$A,0)),0))</f>
        <v/>
      </c>
      <c r="G676" s="6">
        <f>IF(B676="","",N(C676)*N(F676))</f>
        <v/>
      </c>
      <c r="H676">
        <f>IF(B676="","",IFERROR(INDEX(Products!$B:$B,MATCH(B676,Products!$A:$A,0)),"SKU not found"))</f>
        <v/>
      </c>
    </row>
    <row r="677">
      <c r="A677" s="7" t="n">
        <v>40885</v>
      </c>
      <c r="B677" s="4" t="inlineStr">
        <is>
          <t>22197</t>
        </is>
      </c>
      <c r="C677" s="4" t="n">
        <v>3111</v>
      </c>
      <c r="D677" s="4" t="inlineStr">
        <is>
          <t>UK</t>
        </is>
      </c>
      <c r="E677" s="4" t="inlineStr">
        <is>
          <t>10 invoices</t>
        </is>
      </c>
      <c r="F677" s="6">
        <f>IF(B677="","",IFERROR(INDEX(Products!$E:$E,MATCH(B677,Products!$A:$A,0)),0))</f>
        <v/>
      </c>
      <c r="G677" s="6">
        <f>IF(B677="","",N(C677)*N(F677))</f>
        <v/>
      </c>
      <c r="H677">
        <f>IF(B677="","",IFERROR(INDEX(Products!$B:$B,MATCH(B677,Products!$A:$A,0)),"SKU not found"))</f>
        <v/>
      </c>
    </row>
    <row r="678">
      <c r="A678" s="7" t="n">
        <v>40885</v>
      </c>
      <c r="B678" s="4" t="inlineStr">
        <is>
          <t>22383</t>
        </is>
      </c>
      <c r="C678" s="4" t="n">
        <v>33</v>
      </c>
      <c r="D678" s="4" t="inlineStr">
        <is>
          <t>UK</t>
        </is>
      </c>
      <c r="E678" s="4" t="inlineStr">
        <is>
          <t>5 invoices</t>
        </is>
      </c>
      <c r="F678" s="6">
        <f>IF(B678="","",IFERROR(INDEX(Products!$E:$E,MATCH(B678,Products!$A:$A,0)),0))</f>
        <v/>
      </c>
      <c r="G678" s="6">
        <f>IF(B678="","",N(C678)*N(F678))</f>
        <v/>
      </c>
      <c r="H678">
        <f>IF(B678="","",IFERROR(INDEX(Products!$B:$B,MATCH(B678,Products!$A:$A,0)),"SKU not found"))</f>
        <v/>
      </c>
    </row>
    <row r="679">
      <c r="A679" s="7" t="n">
        <v>40885</v>
      </c>
      <c r="B679" s="4" t="inlineStr">
        <is>
          <t>22386</t>
        </is>
      </c>
      <c r="C679" s="4" t="n">
        <v>7</v>
      </c>
      <c r="D679" s="4" t="inlineStr">
        <is>
          <t>UK</t>
        </is>
      </c>
      <c r="E679" s="4" t="inlineStr">
        <is>
          <t>2 invoices</t>
        </is>
      </c>
      <c r="F679" s="6">
        <f>IF(B679="","",IFERROR(INDEX(Products!$E:$E,MATCH(B679,Products!$A:$A,0)),0))</f>
        <v/>
      </c>
      <c r="G679" s="6">
        <f>IF(B679="","",N(C679)*N(F679))</f>
        <v/>
      </c>
      <c r="H679">
        <f>IF(B679="","",IFERROR(INDEX(Products!$B:$B,MATCH(B679,Products!$A:$A,0)),"SKU not found"))</f>
        <v/>
      </c>
    </row>
    <row r="680">
      <c r="A680" s="7" t="n">
        <v>40885</v>
      </c>
      <c r="B680" s="4" t="inlineStr">
        <is>
          <t>22423</t>
        </is>
      </c>
      <c r="C680" s="4" t="n">
        <v>6</v>
      </c>
      <c r="D680" s="4" t="inlineStr">
        <is>
          <t>France</t>
        </is>
      </c>
      <c r="E680" s="4" t="inlineStr">
        <is>
          <t>1 invoices</t>
        </is>
      </c>
      <c r="F680" s="6">
        <f>IF(B680="","",IFERROR(INDEX(Products!$E:$E,MATCH(B680,Products!$A:$A,0)),0))</f>
        <v/>
      </c>
      <c r="G680" s="6">
        <f>IF(B680="","",N(C680)*N(F680))</f>
        <v/>
      </c>
      <c r="H680">
        <f>IF(B680="","",IFERROR(INDEX(Products!$B:$B,MATCH(B680,Products!$A:$A,0)),"SKU not found"))</f>
        <v/>
      </c>
    </row>
    <row r="681">
      <c r="A681" s="7" t="n">
        <v>40885</v>
      </c>
      <c r="B681" s="4" t="inlineStr">
        <is>
          <t>22423</t>
        </is>
      </c>
      <c r="C681" s="4" t="n">
        <v>26</v>
      </c>
      <c r="D681" s="4" t="inlineStr">
        <is>
          <t>UK</t>
        </is>
      </c>
      <c r="E681" s="4" t="inlineStr">
        <is>
          <t>9 invoices</t>
        </is>
      </c>
      <c r="F681" s="6">
        <f>IF(B681="","",IFERROR(INDEX(Products!$E:$E,MATCH(B681,Products!$A:$A,0)),0))</f>
        <v/>
      </c>
      <c r="G681" s="6">
        <f>IF(B681="","",N(C681)*N(F681))</f>
        <v/>
      </c>
      <c r="H681">
        <f>IF(B681="","",IFERROR(INDEX(Products!$B:$B,MATCH(B681,Products!$A:$A,0)),"SKU not found"))</f>
        <v/>
      </c>
    </row>
    <row r="682">
      <c r="A682" s="7" t="n">
        <v>40885</v>
      </c>
      <c r="B682" s="4" t="inlineStr">
        <is>
          <t>22457</t>
        </is>
      </c>
      <c r="C682" s="4" t="n">
        <v>41</v>
      </c>
      <c r="D682" s="4" t="inlineStr">
        <is>
          <t>UK</t>
        </is>
      </c>
      <c r="E682" s="4" t="inlineStr">
        <is>
          <t>7 invoices</t>
        </is>
      </c>
      <c r="F682" s="6">
        <f>IF(B682="","",IFERROR(INDEX(Products!$E:$E,MATCH(B682,Products!$A:$A,0)),0))</f>
        <v/>
      </c>
      <c r="G682" s="6">
        <f>IF(B682="","",N(C682)*N(F682))</f>
        <v/>
      </c>
      <c r="H682">
        <f>IF(B682="","",IFERROR(INDEX(Products!$B:$B,MATCH(B682,Products!$A:$A,0)),"SKU not found"))</f>
        <v/>
      </c>
    </row>
    <row r="683">
      <c r="A683" s="7" t="n">
        <v>40885</v>
      </c>
      <c r="B683" s="4" t="inlineStr">
        <is>
          <t>22469</t>
        </is>
      </c>
      <c r="C683" s="4" t="n">
        <v>14</v>
      </c>
      <c r="D683" s="4" t="inlineStr">
        <is>
          <t>UK</t>
        </is>
      </c>
      <c r="E683" s="4" t="inlineStr">
        <is>
          <t>5 invoices</t>
        </is>
      </c>
      <c r="F683" s="6">
        <f>IF(B683="","",IFERROR(INDEX(Products!$E:$E,MATCH(B683,Products!$A:$A,0)),0))</f>
        <v/>
      </c>
      <c r="G683" s="6">
        <f>IF(B683="","",N(C683)*N(F683))</f>
        <v/>
      </c>
      <c r="H683">
        <f>IF(B683="","",IFERROR(INDEX(Products!$B:$B,MATCH(B683,Products!$A:$A,0)),"SKU not found"))</f>
        <v/>
      </c>
    </row>
    <row r="684">
      <c r="A684" s="7" t="n">
        <v>40885</v>
      </c>
      <c r="B684" s="4" t="inlineStr">
        <is>
          <t>22720</t>
        </is>
      </c>
      <c r="C684" s="4" t="n">
        <v>32</v>
      </c>
      <c r="D684" s="4" t="inlineStr">
        <is>
          <t>UK</t>
        </is>
      </c>
      <c r="E684" s="4" t="inlineStr">
        <is>
          <t>8 invoices</t>
        </is>
      </c>
      <c r="F684" s="6">
        <f>IF(B684="","",IFERROR(INDEX(Products!$E:$E,MATCH(B684,Products!$A:$A,0)),0))</f>
        <v/>
      </c>
      <c r="G684" s="6">
        <f>IF(B684="","",N(C684)*N(F684))</f>
        <v/>
      </c>
      <c r="H684">
        <f>IF(B684="","",IFERROR(INDEX(Products!$B:$B,MATCH(B684,Products!$A:$A,0)),"SKU not found"))</f>
        <v/>
      </c>
    </row>
    <row r="685">
      <c r="A685" s="7" t="n">
        <v>40885</v>
      </c>
      <c r="B685" s="4" t="inlineStr">
        <is>
          <t>47566</t>
        </is>
      </c>
      <c r="C685" s="4" t="n">
        <v>22</v>
      </c>
      <c r="D685" s="4" t="inlineStr">
        <is>
          <t>UK</t>
        </is>
      </c>
      <c r="E685" s="4" t="inlineStr">
        <is>
          <t>5 invoices</t>
        </is>
      </c>
      <c r="F685" s="6">
        <f>IF(B685="","",IFERROR(INDEX(Products!$E:$E,MATCH(B685,Products!$A:$A,0)),0))</f>
        <v/>
      </c>
      <c r="G685" s="6">
        <f>IF(B685="","",N(C685)*N(F685))</f>
        <v/>
      </c>
      <c r="H685">
        <f>IF(B685="","",IFERROR(INDEX(Products!$B:$B,MATCH(B685,Products!$A:$A,0)),"SKU not found"))</f>
        <v/>
      </c>
    </row>
    <row r="686">
      <c r="A686" s="7" t="n">
        <v>40885</v>
      </c>
      <c r="B686" s="4" t="inlineStr">
        <is>
          <t>84879</t>
        </is>
      </c>
      <c r="C686" s="4" t="n">
        <v>11</v>
      </c>
      <c r="D686" s="4" t="inlineStr">
        <is>
          <t>UK</t>
        </is>
      </c>
      <c r="E686" s="4" t="inlineStr">
        <is>
          <t>2 invoices</t>
        </is>
      </c>
      <c r="F686" s="6">
        <f>IF(B686="","",IFERROR(INDEX(Products!$E:$E,MATCH(B686,Products!$A:$A,0)),0))</f>
        <v/>
      </c>
      <c r="G686" s="6">
        <f>IF(B686="","",N(C686)*N(F686))</f>
        <v/>
      </c>
      <c r="H686">
        <f>IF(B686="","",IFERROR(INDEX(Products!$B:$B,MATCH(B686,Products!$A:$A,0)),"SKU not found"))</f>
        <v/>
      </c>
    </row>
    <row r="687">
      <c r="A687" s="7" t="n">
        <v>40885</v>
      </c>
      <c r="B687" s="4" t="inlineStr">
        <is>
          <t>85099B</t>
        </is>
      </c>
      <c r="C687" s="4" t="n">
        <v>106</v>
      </c>
      <c r="D687" s="4" t="inlineStr">
        <is>
          <t>UK</t>
        </is>
      </c>
      <c r="E687" s="4" t="inlineStr">
        <is>
          <t>10 invoices</t>
        </is>
      </c>
      <c r="F687" s="6">
        <f>IF(B687="","",IFERROR(INDEX(Products!$E:$E,MATCH(B687,Products!$A:$A,0)),0))</f>
        <v/>
      </c>
      <c r="G687" s="6">
        <f>IF(B687="","",N(C687)*N(F687))</f>
        <v/>
      </c>
      <c r="H687">
        <f>IF(B687="","",IFERROR(INDEX(Products!$B:$B,MATCH(B687,Products!$A:$A,0)),"SKU not found"))</f>
        <v/>
      </c>
    </row>
    <row r="688">
      <c r="A688" s="7" t="n">
        <v>40885</v>
      </c>
      <c r="B688" s="4" t="inlineStr">
        <is>
          <t>85123A</t>
        </is>
      </c>
      <c r="C688" s="4" t="n">
        <v>108</v>
      </c>
      <c r="D688" s="4" t="inlineStr">
        <is>
          <t>UK</t>
        </is>
      </c>
      <c r="E688" s="4" t="inlineStr">
        <is>
          <t>14 invoices</t>
        </is>
      </c>
      <c r="F688" s="6">
        <f>IF(B688="","",IFERROR(INDEX(Products!$E:$E,MATCH(B688,Products!$A:$A,0)),0))</f>
        <v/>
      </c>
      <c r="G688" s="6">
        <f>IF(B688="","",N(C688)*N(F688))</f>
        <v/>
      </c>
      <c r="H688">
        <f>IF(B688="","",IFERROR(INDEX(Products!$B:$B,MATCH(B688,Products!$A:$A,0)),"SKU not found"))</f>
        <v/>
      </c>
    </row>
    <row r="689">
      <c r="A689" s="7" t="n">
        <v>40886</v>
      </c>
      <c r="B689" s="4" t="inlineStr">
        <is>
          <t>20725</t>
        </is>
      </c>
      <c r="C689" s="4" t="n">
        <v>42</v>
      </c>
      <c r="D689" s="4" t="inlineStr">
        <is>
          <t>UK</t>
        </is>
      </c>
      <c r="E689" s="4" t="inlineStr">
        <is>
          <t>3 invoices</t>
        </is>
      </c>
      <c r="F689" s="6">
        <f>IF(B689="","",IFERROR(INDEX(Products!$E:$E,MATCH(B689,Products!$A:$A,0)),0))</f>
        <v/>
      </c>
      <c r="G689" s="6">
        <f>IF(B689="","",N(C689)*N(F689))</f>
        <v/>
      </c>
      <c r="H689">
        <f>IF(B689="","",IFERROR(INDEX(Products!$B:$B,MATCH(B689,Products!$A:$A,0)),"SKU not found"))</f>
        <v/>
      </c>
    </row>
    <row r="690">
      <c r="A690" s="7" t="n">
        <v>40886</v>
      </c>
      <c r="B690" s="4" t="inlineStr">
        <is>
          <t>20727</t>
        </is>
      </c>
      <c r="C690" s="4" t="n">
        <v>11</v>
      </c>
      <c r="D690" s="4" t="inlineStr">
        <is>
          <t>UK</t>
        </is>
      </c>
      <c r="E690" s="4" t="inlineStr">
        <is>
          <t>3 invoices</t>
        </is>
      </c>
      <c r="F690" s="6">
        <f>IF(B690="","",IFERROR(INDEX(Products!$E:$E,MATCH(B690,Products!$A:$A,0)),0))</f>
        <v/>
      </c>
      <c r="G690" s="6">
        <f>IF(B690="","",N(C690)*N(F690))</f>
        <v/>
      </c>
      <c r="H690">
        <f>IF(B690="","",IFERROR(INDEX(Products!$B:$B,MATCH(B690,Products!$A:$A,0)),"SKU not found"))</f>
        <v/>
      </c>
    </row>
    <row r="691">
      <c r="A691" s="7" t="n">
        <v>40886</v>
      </c>
      <c r="B691" s="4" t="inlineStr">
        <is>
          <t>21212</t>
        </is>
      </c>
      <c r="C691" s="4" t="n">
        <v>9</v>
      </c>
      <c r="D691" s="4" t="inlineStr">
        <is>
          <t>UK</t>
        </is>
      </c>
      <c r="E691" s="4" t="inlineStr">
        <is>
          <t>2 invoices</t>
        </is>
      </c>
      <c r="F691" s="6">
        <f>IF(B691="","",IFERROR(INDEX(Products!$E:$E,MATCH(B691,Products!$A:$A,0)),0))</f>
        <v/>
      </c>
      <c r="G691" s="6">
        <f>IF(B691="","",N(C691)*N(F691))</f>
        <v/>
      </c>
      <c r="H691">
        <f>IF(B691="","",IFERROR(INDEX(Products!$B:$B,MATCH(B691,Products!$A:$A,0)),"SKU not found"))</f>
        <v/>
      </c>
    </row>
    <row r="692">
      <c r="A692" s="7" t="n">
        <v>40886</v>
      </c>
      <c r="B692" s="4" t="inlineStr">
        <is>
          <t>21931</t>
        </is>
      </c>
      <c r="C692" s="4" t="n">
        <v>17</v>
      </c>
      <c r="D692" s="4" t="inlineStr">
        <is>
          <t>UK</t>
        </is>
      </c>
      <c r="E692" s="4" t="inlineStr">
        <is>
          <t>3 invoices</t>
        </is>
      </c>
      <c r="F692" s="6">
        <f>IF(B692="","",IFERROR(INDEX(Products!$E:$E,MATCH(B692,Products!$A:$A,0)),0))</f>
        <v/>
      </c>
      <c r="G692" s="6">
        <f>IF(B692="","",N(C692)*N(F692))</f>
        <v/>
      </c>
      <c r="H692">
        <f>IF(B692="","",IFERROR(INDEX(Products!$B:$B,MATCH(B692,Products!$A:$A,0)),"SKU not found"))</f>
        <v/>
      </c>
    </row>
    <row r="693">
      <c r="A693" s="7" t="n">
        <v>40886</v>
      </c>
      <c r="B693" s="4" t="inlineStr">
        <is>
          <t>22197</t>
        </is>
      </c>
      <c r="C693" s="4" t="n">
        <v>100</v>
      </c>
      <c r="D693" s="4" t="inlineStr">
        <is>
          <t>Other EU/Intl</t>
        </is>
      </c>
      <c r="E693" s="4" t="inlineStr">
        <is>
          <t>1 invoices</t>
        </is>
      </c>
      <c r="F693" s="6">
        <f>IF(B693="","",IFERROR(INDEX(Products!$E:$E,MATCH(B693,Products!$A:$A,0)),0))</f>
        <v/>
      </c>
      <c r="G693" s="6">
        <f>IF(B693="","",N(C693)*N(F693))</f>
        <v/>
      </c>
      <c r="H693">
        <f>IF(B693="","",IFERROR(INDEX(Products!$B:$B,MATCH(B693,Products!$A:$A,0)),"SKU not found"))</f>
        <v/>
      </c>
    </row>
    <row r="694">
      <c r="A694" s="7" t="n">
        <v>40886</v>
      </c>
      <c r="B694" s="4" t="inlineStr">
        <is>
          <t>22197</t>
        </is>
      </c>
      <c r="C694" s="4" t="n">
        <v>130</v>
      </c>
      <c r="D694" s="4" t="inlineStr">
        <is>
          <t>UK</t>
        </is>
      </c>
      <c r="E694" s="4" t="inlineStr">
        <is>
          <t>4 invoices</t>
        </is>
      </c>
      <c r="F694" s="6">
        <f>IF(B694="","",IFERROR(INDEX(Products!$E:$E,MATCH(B694,Products!$A:$A,0)),0))</f>
        <v/>
      </c>
      <c r="G694" s="6">
        <f>IF(B694="","",N(C694)*N(F694))</f>
        <v/>
      </c>
      <c r="H694">
        <f>IF(B694="","",IFERROR(INDEX(Products!$B:$B,MATCH(B694,Products!$A:$A,0)),"SKU not found"))</f>
        <v/>
      </c>
    </row>
    <row r="695">
      <c r="A695" s="7" t="n">
        <v>40886</v>
      </c>
      <c r="B695" s="4" t="inlineStr">
        <is>
          <t>22383</t>
        </is>
      </c>
      <c r="C695" s="4" t="n">
        <v>2</v>
      </c>
      <c r="D695" s="4" t="inlineStr">
        <is>
          <t>UK</t>
        </is>
      </c>
      <c r="E695" s="4" t="inlineStr">
        <is>
          <t>1 invoices</t>
        </is>
      </c>
      <c r="F695" s="6">
        <f>IF(B695="","",IFERROR(INDEX(Products!$E:$E,MATCH(B695,Products!$A:$A,0)),0))</f>
        <v/>
      </c>
      <c r="G695" s="6">
        <f>IF(B695="","",N(C695)*N(F695))</f>
        <v/>
      </c>
      <c r="H695">
        <f>IF(B695="","",IFERROR(INDEX(Products!$B:$B,MATCH(B695,Products!$A:$A,0)),"SKU not found"))</f>
        <v/>
      </c>
    </row>
    <row r="696">
      <c r="A696" s="7" t="n">
        <v>40886</v>
      </c>
      <c r="B696" s="4" t="inlineStr">
        <is>
          <t>22386</t>
        </is>
      </c>
      <c r="C696" s="4" t="n">
        <v>11</v>
      </c>
      <c r="D696" s="4" t="inlineStr">
        <is>
          <t>UK</t>
        </is>
      </c>
      <c r="E696" s="4" t="inlineStr">
        <is>
          <t>2 invoices</t>
        </is>
      </c>
      <c r="F696" s="6">
        <f>IF(B696="","",IFERROR(INDEX(Products!$E:$E,MATCH(B696,Products!$A:$A,0)),0))</f>
        <v/>
      </c>
      <c r="G696" s="6">
        <f>IF(B696="","",N(C696)*N(F696))</f>
        <v/>
      </c>
      <c r="H696">
        <f>IF(B696="","",IFERROR(INDEX(Products!$B:$B,MATCH(B696,Products!$A:$A,0)),"SKU not found"))</f>
        <v/>
      </c>
    </row>
    <row r="697">
      <c r="A697" s="7" t="n">
        <v>40886</v>
      </c>
      <c r="B697" s="4" t="inlineStr">
        <is>
          <t>22423</t>
        </is>
      </c>
      <c r="C697" s="4" t="n">
        <v>18</v>
      </c>
      <c r="D697" s="4" t="inlineStr">
        <is>
          <t>UK</t>
        </is>
      </c>
      <c r="E697" s="4" t="inlineStr">
        <is>
          <t>2 invoices</t>
        </is>
      </c>
      <c r="F697" s="6">
        <f>IF(B697="","",IFERROR(INDEX(Products!$E:$E,MATCH(B697,Products!$A:$A,0)),0))</f>
        <v/>
      </c>
      <c r="G697" s="6">
        <f>IF(B697="","",N(C697)*N(F697))</f>
        <v/>
      </c>
      <c r="H697">
        <f>IF(B697="","",IFERROR(INDEX(Products!$B:$B,MATCH(B697,Products!$A:$A,0)),"SKU not found"))</f>
        <v/>
      </c>
    </row>
    <row r="698">
      <c r="A698" s="7" t="n">
        <v>40886</v>
      </c>
      <c r="B698" s="4" t="inlineStr">
        <is>
          <t>22457</t>
        </is>
      </c>
      <c r="C698" s="4" t="n">
        <v>9</v>
      </c>
      <c r="D698" s="4" t="inlineStr">
        <is>
          <t>UK</t>
        </is>
      </c>
      <c r="E698" s="4" t="inlineStr">
        <is>
          <t>3 invoices</t>
        </is>
      </c>
      <c r="F698" s="6">
        <f>IF(B698="","",IFERROR(INDEX(Products!$E:$E,MATCH(B698,Products!$A:$A,0)),0))</f>
        <v/>
      </c>
      <c r="G698" s="6">
        <f>IF(B698="","",N(C698)*N(F698))</f>
        <v/>
      </c>
      <c r="H698">
        <f>IF(B698="","",IFERROR(INDEX(Products!$B:$B,MATCH(B698,Products!$A:$A,0)),"SKU not found"))</f>
        <v/>
      </c>
    </row>
    <row r="699">
      <c r="A699" s="7" t="n">
        <v>40886</v>
      </c>
      <c r="B699" s="4" t="inlineStr">
        <is>
          <t>22469</t>
        </is>
      </c>
      <c r="C699" s="4" t="n">
        <v>13</v>
      </c>
      <c r="D699" s="4" t="inlineStr">
        <is>
          <t>UK</t>
        </is>
      </c>
      <c r="E699" s="4" t="inlineStr">
        <is>
          <t>2 invoices</t>
        </is>
      </c>
      <c r="F699" s="6">
        <f>IF(B699="","",IFERROR(INDEX(Products!$E:$E,MATCH(B699,Products!$A:$A,0)),0))</f>
        <v/>
      </c>
      <c r="G699" s="6">
        <f>IF(B699="","",N(C699)*N(F699))</f>
        <v/>
      </c>
      <c r="H699">
        <f>IF(B699="","",IFERROR(INDEX(Products!$B:$B,MATCH(B699,Products!$A:$A,0)),"SKU not found"))</f>
        <v/>
      </c>
    </row>
    <row r="700">
      <c r="A700" s="7" t="n">
        <v>40886</v>
      </c>
      <c r="B700" s="4" t="inlineStr">
        <is>
          <t>22720</t>
        </is>
      </c>
      <c r="C700" s="4" t="n">
        <v>2</v>
      </c>
      <c r="D700" s="4" t="inlineStr">
        <is>
          <t>UK</t>
        </is>
      </c>
      <c r="E700" s="4" t="inlineStr">
        <is>
          <t>1 invoices</t>
        </is>
      </c>
      <c r="F700" s="6">
        <f>IF(B700="","",IFERROR(INDEX(Products!$E:$E,MATCH(B700,Products!$A:$A,0)),0))</f>
        <v/>
      </c>
      <c r="G700" s="6">
        <f>IF(B700="","",N(C700)*N(F700))</f>
        <v/>
      </c>
      <c r="H700">
        <f>IF(B700="","",IFERROR(INDEX(Products!$B:$B,MATCH(B700,Products!$A:$A,0)),"SKU not found"))</f>
        <v/>
      </c>
    </row>
    <row r="701">
      <c r="A701" s="7" t="n">
        <v>40886</v>
      </c>
      <c r="B701" s="4" t="inlineStr">
        <is>
          <t>22720</t>
        </is>
      </c>
      <c r="C701" s="4" t="n">
        <v>16</v>
      </c>
      <c r="D701" s="4" t="inlineStr">
        <is>
          <t>Other EU/Intl</t>
        </is>
      </c>
      <c r="E701" s="4" t="inlineStr">
        <is>
          <t>1 invoices</t>
        </is>
      </c>
      <c r="F701" s="6">
        <f>IF(B701="","",IFERROR(INDEX(Products!$E:$E,MATCH(B701,Products!$A:$A,0)),0))</f>
        <v/>
      </c>
      <c r="G701" s="6">
        <f>IF(B701="","",N(C701)*N(F701))</f>
        <v/>
      </c>
      <c r="H701">
        <f>IF(B701="","",IFERROR(INDEX(Products!$B:$B,MATCH(B701,Products!$A:$A,0)),"SKU not found"))</f>
        <v/>
      </c>
    </row>
    <row r="702">
      <c r="A702" s="7" t="n">
        <v>40886</v>
      </c>
      <c r="B702" s="4" t="inlineStr">
        <is>
          <t>47566</t>
        </is>
      </c>
      <c r="C702" s="4" t="n">
        <v>7</v>
      </c>
      <c r="D702" s="4" t="inlineStr">
        <is>
          <t>UK</t>
        </is>
      </c>
      <c r="E702" s="4" t="inlineStr">
        <is>
          <t>2 invoices</t>
        </is>
      </c>
      <c r="F702" s="6">
        <f>IF(B702="","",IFERROR(INDEX(Products!$E:$E,MATCH(B702,Products!$A:$A,0)),0))</f>
        <v/>
      </c>
      <c r="G702" s="6">
        <f>IF(B702="","",N(C702)*N(F702))</f>
        <v/>
      </c>
      <c r="H702">
        <f>IF(B702="","",IFERROR(INDEX(Products!$B:$B,MATCH(B702,Products!$A:$A,0)),"SKU not found"))</f>
        <v/>
      </c>
    </row>
    <row r="703">
      <c r="A703" s="7" t="n">
        <v>40886</v>
      </c>
      <c r="B703" s="4" t="inlineStr">
        <is>
          <t>84879</t>
        </is>
      </c>
      <c r="C703" s="4" t="n">
        <v>32</v>
      </c>
      <c r="D703" s="4" t="inlineStr">
        <is>
          <t>UK</t>
        </is>
      </c>
      <c r="E703" s="4" t="inlineStr">
        <is>
          <t>2 invoices</t>
        </is>
      </c>
      <c r="F703" s="6">
        <f>IF(B703="","",IFERROR(INDEX(Products!$E:$E,MATCH(B703,Products!$A:$A,0)),0))</f>
        <v/>
      </c>
      <c r="G703" s="6">
        <f>IF(B703="","",N(C703)*N(F703))</f>
        <v/>
      </c>
      <c r="H703">
        <f>IF(B703="","",IFERROR(INDEX(Products!$B:$B,MATCH(B703,Products!$A:$A,0)),"SKU not found"))</f>
        <v/>
      </c>
    </row>
    <row r="704">
      <c r="A704" s="7" t="n">
        <v>40886</v>
      </c>
      <c r="B704" s="4" t="inlineStr">
        <is>
          <t>85099B</t>
        </is>
      </c>
      <c r="C704" s="4" t="n">
        <v>15</v>
      </c>
      <c r="D704" s="4" t="inlineStr">
        <is>
          <t>UK</t>
        </is>
      </c>
      <c r="E704" s="4" t="inlineStr">
        <is>
          <t>2 invoices</t>
        </is>
      </c>
      <c r="F704" s="6">
        <f>IF(B704="","",IFERROR(INDEX(Products!$E:$E,MATCH(B704,Products!$A:$A,0)),0))</f>
        <v/>
      </c>
      <c r="G704" s="6">
        <f>IF(B704="","",N(C704)*N(F704))</f>
        <v/>
      </c>
      <c r="H704">
        <f>IF(B704="","",IFERROR(INDEX(Products!$B:$B,MATCH(B704,Products!$A:$A,0)),"SKU not found"))</f>
        <v/>
      </c>
    </row>
    <row r="705">
      <c r="A705" s="7" t="n">
        <v>40886</v>
      </c>
      <c r="B705" s="4" t="inlineStr">
        <is>
          <t>85123A</t>
        </is>
      </c>
      <c r="C705" s="4" t="n">
        <v>4</v>
      </c>
      <c r="D705" s="4" t="inlineStr">
        <is>
          <t>UK</t>
        </is>
      </c>
      <c r="E705" s="4" t="inlineStr">
        <is>
          <t>2 invoices</t>
        </is>
      </c>
      <c r="F705" s="6">
        <f>IF(B705="","",IFERROR(INDEX(Products!$E:$E,MATCH(B705,Products!$A:$A,0)),0))</f>
        <v/>
      </c>
      <c r="G705" s="6">
        <f>IF(B705="","",N(C705)*N(F705))</f>
        <v/>
      </c>
      <c r="H705">
        <f>IF(B705="","",IFERROR(INDEX(Products!$B:$B,MATCH(B705,Products!$A:$A,0)),"SKU not found"))</f>
        <v/>
      </c>
    </row>
    <row r="706">
      <c r="A706" s="7" t="n"/>
      <c r="B706" s="4" t="n"/>
      <c r="C706" s="4" t="n"/>
      <c r="D706" s="4" t="n"/>
      <c r="E706" s="4" t="n"/>
      <c r="F706" s="6">
        <f>IF(B706="","",IFERROR(INDEX(Products!$E:$E,MATCH(B706,Products!$A:$A,0)),0))</f>
        <v/>
      </c>
      <c r="G706" s="6">
        <f>IF(B706="","",N(C706)*N(F706))</f>
        <v/>
      </c>
      <c r="H706">
        <f>IF(B706="","",IFERROR(INDEX(Products!$B:$B,MATCH(B706,Products!$A:$A,0)),"SKU not found"))</f>
        <v/>
      </c>
    </row>
    <row r="707">
      <c r="A707" s="7" t="n"/>
      <c r="B707" s="4" t="n"/>
      <c r="C707" s="4" t="n"/>
      <c r="D707" s="4" t="n"/>
      <c r="E707" s="4" t="n"/>
      <c r="F707" s="6">
        <f>IF(B707="","",IFERROR(INDEX(Products!$E:$E,MATCH(B707,Products!$A:$A,0)),0))</f>
        <v/>
      </c>
      <c r="G707" s="6">
        <f>IF(B707="","",N(C707)*N(F707))</f>
        <v/>
      </c>
      <c r="H707">
        <f>IF(B707="","",IFERROR(INDEX(Products!$B:$B,MATCH(B707,Products!$A:$A,0)),"SKU not found"))</f>
        <v/>
      </c>
    </row>
    <row r="708">
      <c r="A708" s="7" t="n"/>
      <c r="B708" s="4" t="n"/>
      <c r="C708" s="4" t="n"/>
      <c r="D708" s="4" t="n"/>
      <c r="E708" s="4" t="n"/>
      <c r="F708" s="6">
        <f>IF(B708="","",IFERROR(INDEX(Products!$E:$E,MATCH(B708,Products!$A:$A,0)),0))</f>
        <v/>
      </c>
      <c r="G708" s="6">
        <f>IF(B708="","",N(C708)*N(F708))</f>
        <v/>
      </c>
      <c r="H708">
        <f>IF(B708="","",IFERROR(INDEX(Products!$B:$B,MATCH(B708,Products!$A:$A,0)),"SKU not found"))</f>
        <v/>
      </c>
    </row>
    <row r="709">
      <c r="A709" s="7" t="n"/>
      <c r="B709" s="4" t="n"/>
      <c r="C709" s="4" t="n"/>
      <c r="D709" s="4" t="n"/>
      <c r="E709" s="4" t="n"/>
      <c r="F709" s="6">
        <f>IF(B709="","",IFERROR(INDEX(Products!$E:$E,MATCH(B709,Products!$A:$A,0)),0))</f>
        <v/>
      </c>
      <c r="G709" s="6">
        <f>IF(B709="","",N(C709)*N(F709))</f>
        <v/>
      </c>
      <c r="H709">
        <f>IF(B709="","",IFERROR(INDEX(Products!$B:$B,MATCH(B709,Products!$A:$A,0)),"SKU not found"))</f>
        <v/>
      </c>
    </row>
    <row r="710">
      <c r="A710" s="7" t="n"/>
      <c r="B710" s="4" t="n"/>
      <c r="C710" s="4" t="n"/>
      <c r="D710" s="4" t="n"/>
      <c r="E710" s="4" t="n"/>
      <c r="F710" s="6">
        <f>IF(B710="","",IFERROR(INDEX(Products!$E:$E,MATCH(B710,Products!$A:$A,0)),0))</f>
        <v/>
      </c>
      <c r="G710" s="6">
        <f>IF(B710="","",N(C710)*N(F710))</f>
        <v/>
      </c>
      <c r="H710">
        <f>IF(B710="","",IFERROR(INDEX(Products!$B:$B,MATCH(B710,Products!$A:$A,0)),"SKU not found"))</f>
        <v/>
      </c>
    </row>
    <row r="711">
      <c r="A711" s="7" t="n"/>
      <c r="B711" s="4" t="n"/>
      <c r="C711" s="4" t="n"/>
      <c r="D711" s="4" t="n"/>
      <c r="E711" s="4" t="n"/>
      <c r="F711" s="6">
        <f>IF(B711="","",IFERROR(INDEX(Products!$E:$E,MATCH(B711,Products!$A:$A,0)),0))</f>
        <v/>
      </c>
      <c r="G711" s="6">
        <f>IF(B711="","",N(C711)*N(F711))</f>
        <v/>
      </c>
      <c r="H711">
        <f>IF(B711="","",IFERROR(INDEX(Products!$B:$B,MATCH(B711,Products!$A:$A,0)),"SKU not found"))</f>
        <v/>
      </c>
    </row>
    <row r="712">
      <c r="A712" s="7" t="n"/>
      <c r="B712" s="4" t="n"/>
      <c r="C712" s="4" t="n"/>
      <c r="D712" s="4" t="n"/>
      <c r="E712" s="4" t="n"/>
      <c r="F712" s="6">
        <f>IF(B712="","",IFERROR(INDEX(Products!$E:$E,MATCH(B712,Products!$A:$A,0)),0))</f>
        <v/>
      </c>
      <c r="G712" s="6">
        <f>IF(B712="","",N(C712)*N(F712))</f>
        <v/>
      </c>
      <c r="H712">
        <f>IF(B712="","",IFERROR(INDEX(Products!$B:$B,MATCH(B712,Products!$A:$A,0)),"SKU not found"))</f>
        <v/>
      </c>
    </row>
    <row r="713">
      <c r="A713" s="7" t="n"/>
      <c r="B713" s="4" t="n"/>
      <c r="C713" s="4" t="n"/>
      <c r="D713" s="4" t="n"/>
      <c r="E713" s="4" t="n"/>
      <c r="F713" s="6">
        <f>IF(B713="","",IFERROR(INDEX(Products!$E:$E,MATCH(B713,Products!$A:$A,0)),0))</f>
        <v/>
      </c>
      <c r="G713" s="6">
        <f>IF(B713="","",N(C713)*N(F713))</f>
        <v/>
      </c>
      <c r="H713">
        <f>IF(B713="","",IFERROR(INDEX(Products!$B:$B,MATCH(B713,Products!$A:$A,0)),"SKU not found"))</f>
        <v/>
      </c>
    </row>
    <row r="714">
      <c r="A714" s="7" t="n"/>
      <c r="B714" s="4" t="n"/>
      <c r="C714" s="4" t="n"/>
      <c r="D714" s="4" t="n"/>
      <c r="E714" s="4" t="n"/>
      <c r="F714" s="6">
        <f>IF(B714="","",IFERROR(INDEX(Products!$E:$E,MATCH(B714,Products!$A:$A,0)),0))</f>
        <v/>
      </c>
      <c r="G714" s="6">
        <f>IF(B714="","",N(C714)*N(F714))</f>
        <v/>
      </c>
      <c r="H714">
        <f>IF(B714="","",IFERROR(INDEX(Products!$B:$B,MATCH(B714,Products!$A:$A,0)),"SKU not found"))</f>
        <v/>
      </c>
    </row>
    <row r="715">
      <c r="A715" s="7" t="n"/>
      <c r="B715" s="4" t="n"/>
      <c r="C715" s="4" t="n"/>
      <c r="D715" s="4" t="n"/>
      <c r="E715" s="4" t="n"/>
      <c r="F715" s="6">
        <f>IF(B715="","",IFERROR(INDEX(Products!$E:$E,MATCH(B715,Products!$A:$A,0)),0))</f>
        <v/>
      </c>
      <c r="G715" s="6">
        <f>IF(B715="","",N(C715)*N(F715))</f>
        <v/>
      </c>
      <c r="H715">
        <f>IF(B715="","",IFERROR(INDEX(Products!$B:$B,MATCH(B715,Products!$A:$A,0)),"SKU not found"))</f>
        <v/>
      </c>
    </row>
    <row r="716">
      <c r="A716" s="7" t="n"/>
      <c r="B716" s="4" t="n"/>
      <c r="C716" s="4" t="n"/>
      <c r="D716" s="4" t="n"/>
      <c r="E716" s="4" t="n"/>
      <c r="F716" s="6">
        <f>IF(B716="","",IFERROR(INDEX(Products!$E:$E,MATCH(B716,Products!$A:$A,0)),0))</f>
        <v/>
      </c>
      <c r="G716" s="6">
        <f>IF(B716="","",N(C716)*N(F716))</f>
        <v/>
      </c>
      <c r="H716">
        <f>IF(B716="","",IFERROR(INDEX(Products!$B:$B,MATCH(B716,Products!$A:$A,0)),"SKU not found"))</f>
        <v/>
      </c>
    </row>
    <row r="717">
      <c r="A717" s="7" t="n"/>
      <c r="B717" s="4" t="n"/>
      <c r="C717" s="4" t="n"/>
      <c r="D717" s="4" t="n"/>
      <c r="E717" s="4" t="n"/>
      <c r="F717" s="6">
        <f>IF(B717="","",IFERROR(INDEX(Products!$E:$E,MATCH(B717,Products!$A:$A,0)),0))</f>
        <v/>
      </c>
      <c r="G717" s="6">
        <f>IF(B717="","",N(C717)*N(F717))</f>
        <v/>
      </c>
      <c r="H717">
        <f>IF(B717="","",IFERROR(INDEX(Products!$B:$B,MATCH(B717,Products!$A:$A,0)),"SKU not found"))</f>
        <v/>
      </c>
    </row>
    <row r="718">
      <c r="A718" s="7" t="n"/>
      <c r="B718" s="4" t="n"/>
      <c r="C718" s="4" t="n"/>
      <c r="D718" s="4" t="n"/>
      <c r="E718" s="4" t="n"/>
      <c r="F718" s="6">
        <f>IF(B718="","",IFERROR(INDEX(Products!$E:$E,MATCH(B718,Products!$A:$A,0)),0))</f>
        <v/>
      </c>
      <c r="G718" s="6">
        <f>IF(B718="","",N(C718)*N(F718))</f>
        <v/>
      </c>
      <c r="H718">
        <f>IF(B718="","",IFERROR(INDEX(Products!$B:$B,MATCH(B718,Products!$A:$A,0)),"SKU not found"))</f>
        <v/>
      </c>
    </row>
    <row r="719">
      <c r="A719" s="7" t="n"/>
      <c r="B719" s="4" t="n"/>
      <c r="C719" s="4" t="n"/>
      <c r="D719" s="4" t="n"/>
      <c r="E719" s="4" t="n"/>
      <c r="F719" s="6">
        <f>IF(B719="","",IFERROR(INDEX(Products!$E:$E,MATCH(B719,Products!$A:$A,0)),0))</f>
        <v/>
      </c>
      <c r="G719" s="6">
        <f>IF(B719="","",N(C719)*N(F719))</f>
        <v/>
      </c>
      <c r="H719">
        <f>IF(B719="","",IFERROR(INDEX(Products!$B:$B,MATCH(B719,Products!$A:$A,0)),"SKU not found"))</f>
        <v/>
      </c>
    </row>
    <row r="720">
      <c r="A720" s="7" t="n"/>
      <c r="B720" s="4" t="n"/>
      <c r="C720" s="4" t="n"/>
      <c r="D720" s="4" t="n"/>
      <c r="E720" s="4" t="n"/>
      <c r="F720" s="6">
        <f>IF(B720="","",IFERROR(INDEX(Products!$E:$E,MATCH(B720,Products!$A:$A,0)),0))</f>
        <v/>
      </c>
      <c r="G720" s="6">
        <f>IF(B720="","",N(C720)*N(F720))</f>
        <v/>
      </c>
      <c r="H720">
        <f>IF(B720="","",IFERROR(INDEX(Products!$B:$B,MATCH(B720,Products!$A:$A,0)),"SKU not found"))</f>
        <v/>
      </c>
    </row>
    <row r="721">
      <c r="A721" s="7" t="n"/>
      <c r="B721" s="4" t="n"/>
      <c r="C721" s="4" t="n"/>
      <c r="D721" s="4" t="n"/>
      <c r="E721" s="4" t="n"/>
      <c r="F721" s="6">
        <f>IF(B721="","",IFERROR(INDEX(Products!$E:$E,MATCH(B721,Products!$A:$A,0)),0))</f>
        <v/>
      </c>
      <c r="G721" s="6">
        <f>IF(B721="","",N(C721)*N(F721))</f>
        <v/>
      </c>
      <c r="H721">
        <f>IF(B721="","",IFERROR(INDEX(Products!$B:$B,MATCH(B721,Products!$A:$A,0)),"SKU not found"))</f>
        <v/>
      </c>
    </row>
    <row r="722">
      <c r="A722" s="7" t="n"/>
      <c r="B722" s="4" t="n"/>
      <c r="C722" s="4" t="n"/>
      <c r="D722" s="4" t="n"/>
      <c r="E722" s="4" t="n"/>
      <c r="F722" s="6">
        <f>IF(B722="","",IFERROR(INDEX(Products!$E:$E,MATCH(B722,Products!$A:$A,0)),0))</f>
        <v/>
      </c>
      <c r="G722" s="6">
        <f>IF(B722="","",N(C722)*N(F722))</f>
        <v/>
      </c>
      <c r="H722">
        <f>IF(B722="","",IFERROR(INDEX(Products!$B:$B,MATCH(B722,Products!$A:$A,0)),"SKU not found"))</f>
        <v/>
      </c>
    </row>
    <row r="723">
      <c r="A723" s="7" t="n"/>
      <c r="B723" s="4" t="n"/>
      <c r="C723" s="4" t="n"/>
      <c r="D723" s="4" t="n"/>
      <c r="E723" s="4" t="n"/>
      <c r="F723" s="6">
        <f>IF(B723="","",IFERROR(INDEX(Products!$E:$E,MATCH(B723,Products!$A:$A,0)),0))</f>
        <v/>
      </c>
      <c r="G723" s="6">
        <f>IF(B723="","",N(C723)*N(F723))</f>
        <v/>
      </c>
      <c r="H723">
        <f>IF(B723="","",IFERROR(INDEX(Products!$B:$B,MATCH(B723,Products!$A:$A,0)),"SKU not found"))</f>
        <v/>
      </c>
    </row>
    <row r="724">
      <c r="A724" s="7" t="n"/>
      <c r="B724" s="4" t="n"/>
      <c r="C724" s="4" t="n"/>
      <c r="D724" s="4" t="n"/>
      <c r="E724" s="4" t="n"/>
      <c r="F724" s="6">
        <f>IF(B724="","",IFERROR(INDEX(Products!$E:$E,MATCH(B724,Products!$A:$A,0)),0))</f>
        <v/>
      </c>
      <c r="G724" s="6">
        <f>IF(B724="","",N(C724)*N(F724))</f>
        <v/>
      </c>
      <c r="H724">
        <f>IF(B724="","",IFERROR(INDEX(Products!$B:$B,MATCH(B724,Products!$A:$A,0)),"SKU not found"))</f>
        <v/>
      </c>
    </row>
    <row r="725">
      <c r="A725" s="7" t="n"/>
      <c r="B725" s="4" t="n"/>
      <c r="C725" s="4" t="n"/>
      <c r="D725" s="4" t="n"/>
      <c r="E725" s="4" t="n"/>
      <c r="F725" s="6">
        <f>IF(B725="","",IFERROR(INDEX(Products!$E:$E,MATCH(B725,Products!$A:$A,0)),0))</f>
        <v/>
      </c>
      <c r="G725" s="6">
        <f>IF(B725="","",N(C725)*N(F725))</f>
        <v/>
      </c>
      <c r="H725">
        <f>IF(B725="","",IFERROR(INDEX(Products!$B:$B,MATCH(B725,Products!$A:$A,0)),"SKU not found"))</f>
        <v/>
      </c>
    </row>
    <row r="726">
      <c r="A726" s="7" t="n"/>
      <c r="B726" s="4" t="n"/>
      <c r="C726" s="4" t="n"/>
      <c r="D726" s="4" t="n"/>
      <c r="E726" s="4" t="n"/>
      <c r="F726" s="6">
        <f>IF(B726="","",IFERROR(INDEX(Products!$E:$E,MATCH(B726,Products!$A:$A,0)),0))</f>
        <v/>
      </c>
      <c r="G726" s="6">
        <f>IF(B726="","",N(C726)*N(F726))</f>
        <v/>
      </c>
      <c r="H726">
        <f>IF(B726="","",IFERROR(INDEX(Products!$B:$B,MATCH(B726,Products!$A:$A,0)),"SKU not found"))</f>
        <v/>
      </c>
    </row>
    <row r="727">
      <c r="A727" s="7" t="n"/>
      <c r="B727" s="4" t="n"/>
      <c r="C727" s="4" t="n"/>
      <c r="D727" s="4" t="n"/>
      <c r="E727" s="4" t="n"/>
      <c r="F727" s="6">
        <f>IF(B727="","",IFERROR(INDEX(Products!$E:$E,MATCH(B727,Products!$A:$A,0)),0))</f>
        <v/>
      </c>
      <c r="G727" s="6">
        <f>IF(B727="","",N(C727)*N(F727))</f>
        <v/>
      </c>
      <c r="H727">
        <f>IF(B727="","",IFERROR(INDEX(Products!$B:$B,MATCH(B727,Products!$A:$A,0)),"SKU not found"))</f>
        <v/>
      </c>
    </row>
    <row r="728">
      <c r="A728" s="7" t="n"/>
      <c r="B728" s="4" t="n"/>
      <c r="C728" s="4" t="n"/>
      <c r="D728" s="4" t="n"/>
      <c r="E728" s="4" t="n"/>
      <c r="F728" s="6">
        <f>IF(B728="","",IFERROR(INDEX(Products!$E:$E,MATCH(B728,Products!$A:$A,0)),0))</f>
        <v/>
      </c>
      <c r="G728" s="6">
        <f>IF(B728="","",N(C728)*N(F728))</f>
        <v/>
      </c>
      <c r="H728">
        <f>IF(B728="","",IFERROR(INDEX(Products!$B:$B,MATCH(B728,Products!$A:$A,0)),"SKU not found"))</f>
        <v/>
      </c>
    </row>
    <row r="729">
      <c r="A729" s="7" t="n"/>
      <c r="B729" s="4" t="n"/>
      <c r="C729" s="4" t="n"/>
      <c r="D729" s="4" t="n"/>
      <c r="E729" s="4" t="n"/>
      <c r="F729" s="6">
        <f>IF(B729="","",IFERROR(INDEX(Products!$E:$E,MATCH(B729,Products!$A:$A,0)),0))</f>
        <v/>
      </c>
      <c r="G729" s="6">
        <f>IF(B729="","",N(C729)*N(F729))</f>
        <v/>
      </c>
      <c r="H729">
        <f>IF(B729="","",IFERROR(INDEX(Products!$B:$B,MATCH(B729,Products!$A:$A,0)),"SKU not found"))</f>
        <v/>
      </c>
    </row>
    <row r="730">
      <c r="A730" s="7" t="n"/>
      <c r="B730" s="4" t="n"/>
      <c r="C730" s="4" t="n"/>
      <c r="D730" s="4" t="n"/>
      <c r="E730" s="4" t="n"/>
      <c r="F730" s="6">
        <f>IF(B730="","",IFERROR(INDEX(Products!$E:$E,MATCH(B730,Products!$A:$A,0)),0))</f>
        <v/>
      </c>
      <c r="G730" s="6">
        <f>IF(B730="","",N(C730)*N(F730))</f>
        <v/>
      </c>
      <c r="H730">
        <f>IF(B730="","",IFERROR(INDEX(Products!$B:$B,MATCH(B730,Products!$A:$A,0)),"SKU not found"))</f>
        <v/>
      </c>
    </row>
    <row r="731">
      <c r="A731" s="7" t="n"/>
      <c r="B731" s="4" t="n"/>
      <c r="C731" s="4" t="n"/>
      <c r="D731" s="4" t="n"/>
      <c r="E731" s="4" t="n"/>
      <c r="F731" s="6">
        <f>IF(B731="","",IFERROR(INDEX(Products!$E:$E,MATCH(B731,Products!$A:$A,0)),0))</f>
        <v/>
      </c>
      <c r="G731" s="6">
        <f>IF(B731="","",N(C731)*N(F731))</f>
        <v/>
      </c>
      <c r="H731">
        <f>IF(B731="","",IFERROR(INDEX(Products!$B:$B,MATCH(B731,Products!$A:$A,0)),"SKU not found"))</f>
        <v/>
      </c>
    </row>
    <row r="732">
      <c r="A732" s="7" t="n"/>
      <c r="B732" s="4" t="n"/>
      <c r="C732" s="4" t="n"/>
      <c r="D732" s="4" t="n"/>
      <c r="E732" s="4" t="n"/>
      <c r="F732" s="6">
        <f>IF(B732="","",IFERROR(INDEX(Products!$E:$E,MATCH(B732,Products!$A:$A,0)),0))</f>
        <v/>
      </c>
      <c r="G732" s="6">
        <f>IF(B732="","",N(C732)*N(F732))</f>
        <v/>
      </c>
      <c r="H732">
        <f>IF(B732="","",IFERROR(INDEX(Products!$B:$B,MATCH(B732,Products!$A:$A,0)),"SKU not found"))</f>
        <v/>
      </c>
    </row>
    <row r="733">
      <c r="A733" s="7" t="n"/>
      <c r="B733" s="4" t="n"/>
      <c r="C733" s="4" t="n"/>
      <c r="D733" s="4" t="n"/>
      <c r="E733" s="4" t="n"/>
      <c r="F733" s="6">
        <f>IF(B733="","",IFERROR(INDEX(Products!$E:$E,MATCH(B733,Products!$A:$A,0)),0))</f>
        <v/>
      </c>
      <c r="G733" s="6">
        <f>IF(B733="","",N(C733)*N(F733))</f>
        <v/>
      </c>
      <c r="H733">
        <f>IF(B733="","",IFERROR(INDEX(Products!$B:$B,MATCH(B733,Products!$A:$A,0)),"SKU not found"))</f>
        <v/>
      </c>
    </row>
    <row r="734">
      <c r="A734" s="7" t="n"/>
      <c r="B734" s="4" t="n"/>
      <c r="C734" s="4" t="n"/>
      <c r="D734" s="4" t="n"/>
      <c r="E734" s="4" t="n"/>
      <c r="F734" s="6">
        <f>IF(B734="","",IFERROR(INDEX(Products!$E:$E,MATCH(B734,Products!$A:$A,0)),0))</f>
        <v/>
      </c>
      <c r="G734" s="6">
        <f>IF(B734="","",N(C734)*N(F734))</f>
        <v/>
      </c>
      <c r="H734">
        <f>IF(B734="","",IFERROR(INDEX(Products!$B:$B,MATCH(B734,Products!$A:$A,0)),"SKU not found"))</f>
        <v/>
      </c>
    </row>
    <row r="735">
      <c r="A735" s="7" t="n"/>
      <c r="B735" s="4" t="n"/>
      <c r="C735" s="4" t="n"/>
      <c r="D735" s="4" t="n"/>
      <c r="E735" s="4" t="n"/>
      <c r="F735" s="6">
        <f>IF(B735="","",IFERROR(INDEX(Products!$E:$E,MATCH(B735,Products!$A:$A,0)),0))</f>
        <v/>
      </c>
      <c r="G735" s="6">
        <f>IF(B735="","",N(C735)*N(F735))</f>
        <v/>
      </c>
      <c r="H735">
        <f>IF(B735="","",IFERROR(INDEX(Products!$B:$B,MATCH(B735,Products!$A:$A,0)),"SKU not found"))</f>
        <v/>
      </c>
    </row>
    <row r="736">
      <c r="A736" s="7" t="n"/>
      <c r="B736" s="4" t="n"/>
      <c r="C736" s="4" t="n"/>
      <c r="D736" s="4" t="n"/>
      <c r="E736" s="4" t="n"/>
      <c r="F736" s="6">
        <f>IF(B736="","",IFERROR(INDEX(Products!$E:$E,MATCH(B736,Products!$A:$A,0)),0))</f>
        <v/>
      </c>
      <c r="G736" s="6">
        <f>IF(B736="","",N(C736)*N(F736))</f>
        <v/>
      </c>
      <c r="H736">
        <f>IF(B736="","",IFERROR(INDEX(Products!$B:$B,MATCH(B736,Products!$A:$A,0)),"SKU not found"))</f>
        <v/>
      </c>
    </row>
    <row r="737">
      <c r="A737" s="7" t="n"/>
      <c r="B737" s="4" t="n"/>
      <c r="C737" s="4" t="n"/>
      <c r="D737" s="4" t="n"/>
      <c r="E737" s="4" t="n"/>
      <c r="F737" s="6">
        <f>IF(B737="","",IFERROR(INDEX(Products!$E:$E,MATCH(B737,Products!$A:$A,0)),0))</f>
        <v/>
      </c>
      <c r="G737" s="6">
        <f>IF(B737="","",N(C737)*N(F737))</f>
        <v/>
      </c>
      <c r="H737">
        <f>IF(B737="","",IFERROR(INDEX(Products!$B:$B,MATCH(B737,Products!$A:$A,0)),"SKU not found"))</f>
        <v/>
      </c>
    </row>
    <row r="738">
      <c r="A738" s="7" t="n"/>
      <c r="B738" s="4" t="n"/>
      <c r="C738" s="4" t="n"/>
      <c r="D738" s="4" t="n"/>
      <c r="E738" s="4" t="n"/>
      <c r="F738" s="6">
        <f>IF(B738="","",IFERROR(INDEX(Products!$E:$E,MATCH(B738,Products!$A:$A,0)),0))</f>
        <v/>
      </c>
      <c r="G738" s="6">
        <f>IF(B738="","",N(C738)*N(F738))</f>
        <v/>
      </c>
      <c r="H738">
        <f>IF(B738="","",IFERROR(INDEX(Products!$B:$B,MATCH(B738,Products!$A:$A,0)),"SKU not found"))</f>
        <v/>
      </c>
    </row>
    <row r="739">
      <c r="A739" s="7" t="n"/>
      <c r="B739" s="4" t="n"/>
      <c r="C739" s="4" t="n"/>
      <c r="D739" s="4" t="n"/>
      <c r="E739" s="4" t="n"/>
      <c r="F739" s="6">
        <f>IF(B739="","",IFERROR(INDEX(Products!$E:$E,MATCH(B739,Products!$A:$A,0)),0))</f>
        <v/>
      </c>
      <c r="G739" s="6">
        <f>IF(B739="","",N(C739)*N(F739))</f>
        <v/>
      </c>
      <c r="H739">
        <f>IF(B739="","",IFERROR(INDEX(Products!$B:$B,MATCH(B739,Products!$A:$A,0)),"SKU not found"))</f>
        <v/>
      </c>
    </row>
    <row r="740">
      <c r="A740" s="7" t="n"/>
      <c r="B740" s="4" t="n"/>
      <c r="C740" s="4" t="n"/>
      <c r="D740" s="4" t="n"/>
      <c r="E740" s="4" t="n"/>
      <c r="F740" s="6">
        <f>IF(B740="","",IFERROR(INDEX(Products!$E:$E,MATCH(B740,Products!$A:$A,0)),0))</f>
        <v/>
      </c>
      <c r="G740" s="6">
        <f>IF(B740="","",N(C740)*N(F740))</f>
        <v/>
      </c>
      <c r="H740">
        <f>IF(B740="","",IFERROR(INDEX(Products!$B:$B,MATCH(B740,Products!$A:$A,0)),"SKU not found"))</f>
        <v/>
      </c>
    </row>
    <row r="741">
      <c r="A741" s="7" t="n"/>
      <c r="B741" s="4" t="n"/>
      <c r="C741" s="4" t="n"/>
      <c r="D741" s="4" t="n"/>
      <c r="E741" s="4" t="n"/>
      <c r="F741" s="6">
        <f>IF(B741="","",IFERROR(INDEX(Products!$E:$E,MATCH(B741,Products!$A:$A,0)),0))</f>
        <v/>
      </c>
      <c r="G741" s="6">
        <f>IF(B741="","",N(C741)*N(F741))</f>
        <v/>
      </c>
      <c r="H741">
        <f>IF(B741="","",IFERROR(INDEX(Products!$B:$B,MATCH(B741,Products!$A:$A,0)),"SKU not found"))</f>
        <v/>
      </c>
    </row>
    <row r="742">
      <c r="A742" s="7" t="n"/>
      <c r="B742" s="4" t="n"/>
      <c r="C742" s="4" t="n"/>
      <c r="D742" s="4" t="n"/>
      <c r="E742" s="4" t="n"/>
      <c r="F742" s="6">
        <f>IF(B742="","",IFERROR(INDEX(Products!$E:$E,MATCH(B742,Products!$A:$A,0)),0))</f>
        <v/>
      </c>
      <c r="G742" s="6">
        <f>IF(B742="","",N(C742)*N(F742))</f>
        <v/>
      </c>
      <c r="H742">
        <f>IF(B742="","",IFERROR(INDEX(Products!$B:$B,MATCH(B742,Products!$A:$A,0)),"SKU not found"))</f>
        <v/>
      </c>
    </row>
    <row r="743">
      <c r="A743" s="7" t="n"/>
      <c r="B743" s="4" t="n"/>
      <c r="C743" s="4" t="n"/>
      <c r="D743" s="4" t="n"/>
      <c r="E743" s="4" t="n"/>
      <c r="F743" s="6">
        <f>IF(B743="","",IFERROR(INDEX(Products!$E:$E,MATCH(B743,Products!$A:$A,0)),0))</f>
        <v/>
      </c>
      <c r="G743" s="6">
        <f>IF(B743="","",N(C743)*N(F743))</f>
        <v/>
      </c>
      <c r="H743">
        <f>IF(B743="","",IFERROR(INDEX(Products!$B:$B,MATCH(B743,Products!$A:$A,0)),"SKU not found"))</f>
        <v/>
      </c>
    </row>
    <row r="744">
      <c r="A744" s="7" t="n"/>
      <c r="B744" s="4" t="n"/>
      <c r="C744" s="4" t="n"/>
      <c r="D744" s="4" t="n"/>
      <c r="E744" s="4" t="n"/>
      <c r="F744" s="6">
        <f>IF(B744="","",IFERROR(INDEX(Products!$E:$E,MATCH(B744,Products!$A:$A,0)),0))</f>
        <v/>
      </c>
      <c r="G744" s="6">
        <f>IF(B744="","",N(C744)*N(F744))</f>
        <v/>
      </c>
      <c r="H744">
        <f>IF(B744="","",IFERROR(INDEX(Products!$B:$B,MATCH(B744,Products!$A:$A,0)),"SKU not found"))</f>
        <v/>
      </c>
    </row>
    <row r="745">
      <c r="A745" s="7" t="n"/>
      <c r="B745" s="4" t="n"/>
      <c r="C745" s="4" t="n"/>
      <c r="D745" s="4" t="n"/>
      <c r="E745" s="4" t="n"/>
      <c r="F745" s="6">
        <f>IF(B745="","",IFERROR(INDEX(Products!$E:$E,MATCH(B745,Products!$A:$A,0)),0))</f>
        <v/>
      </c>
      <c r="G745" s="6">
        <f>IF(B745="","",N(C745)*N(F745))</f>
        <v/>
      </c>
      <c r="H745">
        <f>IF(B745="","",IFERROR(INDEX(Products!$B:$B,MATCH(B745,Products!$A:$A,0)),"SKU not found"))</f>
        <v/>
      </c>
    </row>
    <row r="746">
      <c r="A746" s="7" t="n"/>
      <c r="B746" s="4" t="n"/>
      <c r="C746" s="4" t="n"/>
      <c r="D746" s="4" t="n"/>
      <c r="E746" s="4" t="n"/>
      <c r="F746" s="6">
        <f>IF(B746="","",IFERROR(INDEX(Products!$E:$E,MATCH(B746,Products!$A:$A,0)),0))</f>
        <v/>
      </c>
      <c r="G746" s="6">
        <f>IF(B746="","",N(C746)*N(F746))</f>
        <v/>
      </c>
      <c r="H746">
        <f>IF(B746="","",IFERROR(INDEX(Products!$B:$B,MATCH(B746,Products!$A:$A,0)),"SKU not found"))</f>
        <v/>
      </c>
    </row>
    <row r="747">
      <c r="A747" s="7" t="n"/>
      <c r="B747" s="4" t="n"/>
      <c r="C747" s="4" t="n"/>
      <c r="D747" s="4" t="n"/>
      <c r="E747" s="4" t="n"/>
      <c r="F747" s="6">
        <f>IF(B747="","",IFERROR(INDEX(Products!$E:$E,MATCH(B747,Products!$A:$A,0)),0))</f>
        <v/>
      </c>
      <c r="G747" s="6">
        <f>IF(B747="","",N(C747)*N(F747))</f>
        <v/>
      </c>
      <c r="H747">
        <f>IF(B747="","",IFERROR(INDEX(Products!$B:$B,MATCH(B747,Products!$A:$A,0)),"SKU not found"))</f>
        <v/>
      </c>
    </row>
    <row r="748">
      <c r="A748" s="7" t="n"/>
      <c r="B748" s="4" t="n"/>
      <c r="C748" s="4" t="n"/>
      <c r="D748" s="4" t="n"/>
      <c r="E748" s="4" t="n"/>
      <c r="F748" s="6">
        <f>IF(B748="","",IFERROR(INDEX(Products!$E:$E,MATCH(B748,Products!$A:$A,0)),0))</f>
        <v/>
      </c>
      <c r="G748" s="6">
        <f>IF(B748="","",N(C748)*N(F748))</f>
        <v/>
      </c>
      <c r="H748">
        <f>IF(B748="","",IFERROR(INDEX(Products!$B:$B,MATCH(B748,Products!$A:$A,0)),"SKU not found"))</f>
        <v/>
      </c>
    </row>
    <row r="749">
      <c r="A749" s="7" t="n"/>
      <c r="B749" s="4" t="n"/>
      <c r="C749" s="4" t="n"/>
      <c r="D749" s="4" t="n"/>
      <c r="E749" s="4" t="n"/>
      <c r="F749" s="6">
        <f>IF(B749="","",IFERROR(INDEX(Products!$E:$E,MATCH(B749,Products!$A:$A,0)),0))</f>
        <v/>
      </c>
      <c r="G749" s="6">
        <f>IF(B749="","",N(C749)*N(F749))</f>
        <v/>
      </c>
      <c r="H749">
        <f>IF(B749="","",IFERROR(INDEX(Products!$B:$B,MATCH(B749,Products!$A:$A,0)),"SKU not found"))</f>
        <v/>
      </c>
    </row>
    <row r="750">
      <c r="A750" s="7" t="n"/>
      <c r="B750" s="4" t="n"/>
      <c r="C750" s="4" t="n"/>
      <c r="D750" s="4" t="n"/>
      <c r="E750" s="4" t="n"/>
      <c r="F750" s="6">
        <f>IF(B750="","",IFERROR(INDEX(Products!$E:$E,MATCH(B750,Products!$A:$A,0)),0))</f>
        <v/>
      </c>
      <c r="G750" s="6">
        <f>IF(B750="","",N(C750)*N(F750))</f>
        <v/>
      </c>
      <c r="H750">
        <f>IF(B750="","",IFERROR(INDEX(Products!$B:$B,MATCH(B750,Products!$A:$A,0)),"SKU not found"))</f>
        <v/>
      </c>
    </row>
    <row r="751">
      <c r="A751" s="7" t="n"/>
      <c r="B751" s="4" t="n"/>
      <c r="C751" s="4" t="n"/>
      <c r="D751" s="4" t="n"/>
      <c r="E751" s="4" t="n"/>
      <c r="F751" s="6">
        <f>IF(B751="","",IFERROR(INDEX(Products!$E:$E,MATCH(B751,Products!$A:$A,0)),0))</f>
        <v/>
      </c>
      <c r="G751" s="6">
        <f>IF(B751="","",N(C751)*N(F751))</f>
        <v/>
      </c>
      <c r="H751">
        <f>IF(B751="","",IFERROR(INDEX(Products!$B:$B,MATCH(B751,Products!$A:$A,0)),"SKU not found"))</f>
        <v/>
      </c>
    </row>
    <row r="752">
      <c r="A752" s="7" t="n"/>
      <c r="B752" s="4" t="n"/>
      <c r="C752" s="4" t="n"/>
      <c r="D752" s="4" t="n"/>
      <c r="E752" s="4" t="n"/>
      <c r="F752" s="6">
        <f>IF(B752="","",IFERROR(INDEX(Products!$E:$E,MATCH(B752,Products!$A:$A,0)),0))</f>
        <v/>
      </c>
      <c r="G752" s="6">
        <f>IF(B752="","",N(C752)*N(F752))</f>
        <v/>
      </c>
      <c r="H752">
        <f>IF(B752="","",IFERROR(INDEX(Products!$B:$B,MATCH(B752,Products!$A:$A,0)),"SKU not found"))</f>
        <v/>
      </c>
    </row>
    <row r="753">
      <c r="A753" s="7" t="n"/>
      <c r="B753" s="4" t="n"/>
      <c r="C753" s="4" t="n"/>
      <c r="D753" s="4" t="n"/>
      <c r="E753" s="4" t="n"/>
      <c r="F753" s="6">
        <f>IF(B753="","",IFERROR(INDEX(Products!$E:$E,MATCH(B753,Products!$A:$A,0)),0))</f>
        <v/>
      </c>
      <c r="G753" s="6">
        <f>IF(B753="","",N(C753)*N(F753))</f>
        <v/>
      </c>
      <c r="H753">
        <f>IF(B753="","",IFERROR(INDEX(Products!$B:$B,MATCH(B753,Products!$A:$A,0)),"SKU not found"))</f>
        <v/>
      </c>
    </row>
    <row r="754">
      <c r="A754" s="7" t="n"/>
      <c r="B754" s="4" t="n"/>
      <c r="C754" s="4" t="n"/>
      <c r="D754" s="4" t="n"/>
      <c r="E754" s="4" t="n"/>
      <c r="F754" s="6">
        <f>IF(B754="","",IFERROR(INDEX(Products!$E:$E,MATCH(B754,Products!$A:$A,0)),0))</f>
        <v/>
      </c>
      <c r="G754" s="6">
        <f>IF(B754="","",N(C754)*N(F754))</f>
        <v/>
      </c>
      <c r="H754">
        <f>IF(B754="","",IFERROR(INDEX(Products!$B:$B,MATCH(B754,Products!$A:$A,0)),"SKU not found"))</f>
        <v/>
      </c>
    </row>
    <row r="755">
      <c r="A755" s="7" t="n"/>
      <c r="B755" s="4" t="n"/>
      <c r="C755" s="4" t="n"/>
      <c r="D755" s="4" t="n"/>
      <c r="E755" s="4" t="n"/>
      <c r="F755" s="6">
        <f>IF(B755="","",IFERROR(INDEX(Products!$E:$E,MATCH(B755,Products!$A:$A,0)),0))</f>
        <v/>
      </c>
      <c r="G755" s="6">
        <f>IF(B755="","",N(C755)*N(F755))</f>
        <v/>
      </c>
      <c r="H755">
        <f>IF(B755="","",IFERROR(INDEX(Products!$B:$B,MATCH(B755,Products!$A:$A,0)),"SKU not found"))</f>
        <v/>
      </c>
    </row>
    <row r="756">
      <c r="A756" s="7" t="n"/>
      <c r="B756" s="4" t="n"/>
      <c r="C756" s="4" t="n"/>
      <c r="D756" s="4" t="n"/>
      <c r="E756" s="4" t="n"/>
      <c r="F756" s="6">
        <f>IF(B756="","",IFERROR(INDEX(Products!$E:$E,MATCH(B756,Products!$A:$A,0)),0))</f>
        <v/>
      </c>
      <c r="G756" s="6">
        <f>IF(B756="","",N(C756)*N(F756))</f>
        <v/>
      </c>
      <c r="H756">
        <f>IF(B756="","",IFERROR(INDEX(Products!$B:$B,MATCH(B756,Products!$A:$A,0)),"SKU not found"))</f>
        <v/>
      </c>
    </row>
    <row r="757">
      <c r="A757" s="7" t="n"/>
      <c r="B757" s="4" t="n"/>
      <c r="C757" s="4" t="n"/>
      <c r="D757" s="4" t="n"/>
      <c r="E757" s="4" t="n"/>
      <c r="F757" s="6">
        <f>IF(B757="","",IFERROR(INDEX(Products!$E:$E,MATCH(B757,Products!$A:$A,0)),0))</f>
        <v/>
      </c>
      <c r="G757" s="6">
        <f>IF(B757="","",N(C757)*N(F757))</f>
        <v/>
      </c>
      <c r="H757">
        <f>IF(B757="","",IFERROR(INDEX(Products!$B:$B,MATCH(B757,Products!$A:$A,0)),"SKU not found"))</f>
        <v/>
      </c>
    </row>
    <row r="758">
      <c r="A758" s="7" t="n"/>
      <c r="B758" s="4" t="n"/>
      <c r="C758" s="4" t="n"/>
      <c r="D758" s="4" t="n"/>
      <c r="E758" s="4" t="n"/>
      <c r="F758" s="6">
        <f>IF(B758="","",IFERROR(INDEX(Products!$E:$E,MATCH(B758,Products!$A:$A,0)),0))</f>
        <v/>
      </c>
      <c r="G758" s="6">
        <f>IF(B758="","",N(C758)*N(F758))</f>
        <v/>
      </c>
      <c r="H758">
        <f>IF(B758="","",IFERROR(INDEX(Products!$B:$B,MATCH(B758,Products!$A:$A,0)),"SKU not found"))</f>
        <v/>
      </c>
    </row>
    <row r="759">
      <c r="A759" s="7" t="n"/>
      <c r="B759" s="4" t="n"/>
      <c r="C759" s="4" t="n"/>
      <c r="D759" s="4" t="n"/>
      <c r="E759" s="4" t="n"/>
      <c r="F759" s="6">
        <f>IF(B759="","",IFERROR(INDEX(Products!$E:$E,MATCH(B759,Products!$A:$A,0)),0))</f>
        <v/>
      </c>
      <c r="G759" s="6">
        <f>IF(B759="","",N(C759)*N(F759))</f>
        <v/>
      </c>
      <c r="H759">
        <f>IF(B759="","",IFERROR(INDEX(Products!$B:$B,MATCH(B759,Products!$A:$A,0)),"SKU not found"))</f>
        <v/>
      </c>
    </row>
    <row r="760">
      <c r="A760" s="7" t="n"/>
      <c r="B760" s="4" t="n"/>
      <c r="C760" s="4" t="n"/>
      <c r="D760" s="4" t="n"/>
      <c r="E760" s="4" t="n"/>
      <c r="F760" s="6">
        <f>IF(B760="","",IFERROR(INDEX(Products!$E:$E,MATCH(B760,Products!$A:$A,0)),0))</f>
        <v/>
      </c>
      <c r="G760" s="6">
        <f>IF(B760="","",N(C760)*N(F760))</f>
        <v/>
      </c>
      <c r="H760">
        <f>IF(B760="","",IFERROR(INDEX(Products!$B:$B,MATCH(B760,Products!$A:$A,0)),"SKU not found"))</f>
        <v/>
      </c>
    </row>
    <row r="761">
      <c r="A761" s="7" t="n"/>
      <c r="B761" s="4" t="n"/>
      <c r="C761" s="4" t="n"/>
      <c r="D761" s="4" t="n"/>
      <c r="E761" s="4" t="n"/>
      <c r="F761" s="6">
        <f>IF(B761="","",IFERROR(INDEX(Products!$E:$E,MATCH(B761,Products!$A:$A,0)),0))</f>
        <v/>
      </c>
      <c r="G761" s="6">
        <f>IF(B761="","",N(C761)*N(F761))</f>
        <v/>
      </c>
      <c r="H761">
        <f>IF(B761="","",IFERROR(INDEX(Products!$B:$B,MATCH(B761,Products!$A:$A,0)),"SKU not found"))</f>
        <v/>
      </c>
    </row>
    <row r="762">
      <c r="A762" s="7" t="n"/>
      <c r="B762" s="4" t="n"/>
      <c r="C762" s="4" t="n"/>
      <c r="D762" s="4" t="n"/>
      <c r="E762" s="4" t="n"/>
      <c r="F762" s="6">
        <f>IF(B762="","",IFERROR(INDEX(Products!$E:$E,MATCH(B762,Products!$A:$A,0)),0))</f>
        <v/>
      </c>
      <c r="G762" s="6">
        <f>IF(B762="","",N(C762)*N(F762))</f>
        <v/>
      </c>
      <c r="H762">
        <f>IF(B762="","",IFERROR(INDEX(Products!$B:$B,MATCH(B762,Products!$A:$A,0)),"SKU not found"))</f>
        <v/>
      </c>
    </row>
    <row r="763">
      <c r="A763" s="7" t="n"/>
      <c r="B763" s="4" t="n"/>
      <c r="C763" s="4" t="n"/>
      <c r="D763" s="4" t="n"/>
      <c r="E763" s="4" t="n"/>
      <c r="F763" s="6">
        <f>IF(B763="","",IFERROR(INDEX(Products!$E:$E,MATCH(B763,Products!$A:$A,0)),0))</f>
        <v/>
      </c>
      <c r="G763" s="6">
        <f>IF(B763="","",N(C763)*N(F763))</f>
        <v/>
      </c>
      <c r="H763">
        <f>IF(B763="","",IFERROR(INDEX(Products!$B:$B,MATCH(B763,Products!$A:$A,0)),"SKU not found"))</f>
        <v/>
      </c>
    </row>
    <row r="764">
      <c r="A764" s="7" t="n"/>
      <c r="B764" s="4" t="n"/>
      <c r="C764" s="4" t="n"/>
      <c r="D764" s="4" t="n"/>
      <c r="E764" s="4" t="n"/>
      <c r="F764" s="6">
        <f>IF(B764="","",IFERROR(INDEX(Products!$E:$E,MATCH(B764,Products!$A:$A,0)),0))</f>
        <v/>
      </c>
      <c r="G764" s="6">
        <f>IF(B764="","",N(C764)*N(F764))</f>
        <v/>
      </c>
      <c r="H764">
        <f>IF(B764="","",IFERROR(INDEX(Products!$B:$B,MATCH(B764,Products!$A:$A,0)),"SKU not found"))</f>
        <v/>
      </c>
    </row>
    <row r="765">
      <c r="A765" s="7" t="n"/>
      <c r="B765" s="4" t="n"/>
      <c r="C765" s="4" t="n"/>
      <c r="D765" s="4" t="n"/>
      <c r="E765" s="4" t="n"/>
      <c r="F765" s="6">
        <f>IF(B765="","",IFERROR(INDEX(Products!$E:$E,MATCH(B765,Products!$A:$A,0)),0))</f>
        <v/>
      </c>
      <c r="G765" s="6">
        <f>IF(B765="","",N(C765)*N(F765))</f>
        <v/>
      </c>
      <c r="H765">
        <f>IF(B765="","",IFERROR(INDEX(Products!$B:$B,MATCH(B765,Products!$A:$A,0)),"SKU not found"))</f>
        <v/>
      </c>
    </row>
    <row r="766">
      <c r="A766" s="7" t="n"/>
      <c r="B766" s="4" t="n"/>
      <c r="C766" s="4" t="n"/>
      <c r="D766" s="4" t="n"/>
      <c r="E766" s="4" t="n"/>
      <c r="F766" s="6">
        <f>IF(B766="","",IFERROR(INDEX(Products!$E:$E,MATCH(B766,Products!$A:$A,0)),0))</f>
        <v/>
      </c>
      <c r="G766" s="6">
        <f>IF(B766="","",N(C766)*N(F766))</f>
        <v/>
      </c>
      <c r="H766">
        <f>IF(B766="","",IFERROR(INDEX(Products!$B:$B,MATCH(B766,Products!$A:$A,0)),"SKU not found"))</f>
        <v/>
      </c>
    </row>
    <row r="767">
      <c r="A767" s="7" t="n"/>
      <c r="B767" s="4" t="n"/>
      <c r="C767" s="4" t="n"/>
      <c r="D767" s="4" t="n"/>
      <c r="E767" s="4" t="n"/>
      <c r="F767" s="6">
        <f>IF(B767="","",IFERROR(INDEX(Products!$E:$E,MATCH(B767,Products!$A:$A,0)),0))</f>
        <v/>
      </c>
      <c r="G767" s="6">
        <f>IF(B767="","",N(C767)*N(F767))</f>
        <v/>
      </c>
      <c r="H767">
        <f>IF(B767="","",IFERROR(INDEX(Products!$B:$B,MATCH(B767,Products!$A:$A,0)),"SKU not found"))</f>
        <v/>
      </c>
    </row>
    <row r="768">
      <c r="A768" s="7" t="n"/>
      <c r="B768" s="4" t="n"/>
      <c r="C768" s="4" t="n"/>
      <c r="D768" s="4" t="n"/>
      <c r="E768" s="4" t="n"/>
      <c r="F768" s="6">
        <f>IF(B768="","",IFERROR(INDEX(Products!$E:$E,MATCH(B768,Products!$A:$A,0)),0))</f>
        <v/>
      </c>
      <c r="G768" s="6">
        <f>IF(B768="","",N(C768)*N(F768))</f>
        <v/>
      </c>
      <c r="H768">
        <f>IF(B768="","",IFERROR(INDEX(Products!$B:$B,MATCH(B768,Products!$A:$A,0)),"SKU not found"))</f>
        <v/>
      </c>
    </row>
    <row r="769">
      <c r="A769" s="7" t="n"/>
      <c r="B769" s="4" t="n"/>
      <c r="C769" s="4" t="n"/>
      <c r="D769" s="4" t="n"/>
      <c r="E769" s="4" t="n"/>
      <c r="F769" s="6">
        <f>IF(B769="","",IFERROR(INDEX(Products!$E:$E,MATCH(B769,Products!$A:$A,0)),0))</f>
        <v/>
      </c>
      <c r="G769" s="6">
        <f>IF(B769="","",N(C769)*N(F769))</f>
        <v/>
      </c>
      <c r="H769">
        <f>IF(B769="","",IFERROR(INDEX(Products!$B:$B,MATCH(B769,Products!$A:$A,0)),"SKU not found"))</f>
        <v/>
      </c>
    </row>
    <row r="770">
      <c r="A770" s="7" t="n"/>
      <c r="B770" s="4" t="n"/>
      <c r="C770" s="4" t="n"/>
      <c r="D770" s="4" t="n"/>
      <c r="E770" s="4" t="n"/>
      <c r="F770" s="6">
        <f>IF(B770="","",IFERROR(INDEX(Products!$E:$E,MATCH(B770,Products!$A:$A,0)),0))</f>
        <v/>
      </c>
      <c r="G770" s="6">
        <f>IF(B770="","",N(C770)*N(F770))</f>
        <v/>
      </c>
      <c r="H770">
        <f>IF(B770="","",IFERROR(INDEX(Products!$B:$B,MATCH(B770,Products!$A:$A,0)),"SKU not found"))</f>
        <v/>
      </c>
    </row>
    <row r="771">
      <c r="A771" s="7" t="n"/>
      <c r="B771" s="4" t="n"/>
      <c r="C771" s="4" t="n"/>
      <c r="D771" s="4" t="n"/>
      <c r="E771" s="4" t="n"/>
      <c r="F771" s="6">
        <f>IF(B771="","",IFERROR(INDEX(Products!$E:$E,MATCH(B771,Products!$A:$A,0)),0))</f>
        <v/>
      </c>
      <c r="G771" s="6">
        <f>IF(B771="","",N(C771)*N(F771))</f>
        <v/>
      </c>
      <c r="H771">
        <f>IF(B771="","",IFERROR(INDEX(Products!$B:$B,MATCH(B771,Products!$A:$A,0)),"SKU not found"))</f>
        <v/>
      </c>
    </row>
    <row r="772">
      <c r="A772" s="7" t="n"/>
      <c r="B772" s="4" t="n"/>
      <c r="C772" s="4" t="n"/>
      <c r="D772" s="4" t="n"/>
      <c r="E772" s="4" t="n"/>
      <c r="F772" s="6">
        <f>IF(B772="","",IFERROR(INDEX(Products!$E:$E,MATCH(B772,Products!$A:$A,0)),0))</f>
        <v/>
      </c>
      <c r="G772" s="6">
        <f>IF(B772="","",N(C772)*N(F772))</f>
        <v/>
      </c>
      <c r="H772">
        <f>IF(B772="","",IFERROR(INDEX(Products!$B:$B,MATCH(B772,Products!$A:$A,0)),"SKU not found"))</f>
        <v/>
      </c>
    </row>
    <row r="773">
      <c r="A773" s="7" t="n"/>
      <c r="B773" s="4" t="n"/>
      <c r="C773" s="4" t="n"/>
      <c r="D773" s="4" t="n"/>
      <c r="E773" s="4" t="n"/>
      <c r="F773" s="6">
        <f>IF(B773="","",IFERROR(INDEX(Products!$E:$E,MATCH(B773,Products!$A:$A,0)),0))</f>
        <v/>
      </c>
      <c r="G773" s="6">
        <f>IF(B773="","",N(C773)*N(F773))</f>
        <v/>
      </c>
      <c r="H773">
        <f>IF(B773="","",IFERROR(INDEX(Products!$B:$B,MATCH(B773,Products!$A:$A,0)),"SKU not found"))</f>
        <v/>
      </c>
    </row>
    <row r="774">
      <c r="A774" s="7" t="n"/>
      <c r="B774" s="4" t="n"/>
      <c r="C774" s="4" t="n"/>
      <c r="D774" s="4" t="n"/>
      <c r="E774" s="4" t="n"/>
      <c r="F774" s="6">
        <f>IF(B774="","",IFERROR(INDEX(Products!$E:$E,MATCH(B774,Products!$A:$A,0)),0))</f>
        <v/>
      </c>
      <c r="G774" s="6">
        <f>IF(B774="","",N(C774)*N(F774))</f>
        <v/>
      </c>
      <c r="H774">
        <f>IF(B774="","",IFERROR(INDEX(Products!$B:$B,MATCH(B774,Products!$A:$A,0)),"SKU not found"))</f>
        <v/>
      </c>
    </row>
    <row r="775">
      <c r="A775" s="7" t="n"/>
      <c r="B775" s="4" t="n"/>
      <c r="C775" s="4" t="n"/>
      <c r="D775" s="4" t="n"/>
      <c r="E775" s="4" t="n"/>
      <c r="F775" s="6">
        <f>IF(B775="","",IFERROR(INDEX(Products!$E:$E,MATCH(B775,Products!$A:$A,0)),0))</f>
        <v/>
      </c>
      <c r="G775" s="6">
        <f>IF(B775="","",N(C775)*N(F775))</f>
        <v/>
      </c>
      <c r="H775">
        <f>IF(B775="","",IFERROR(INDEX(Products!$B:$B,MATCH(B775,Products!$A:$A,0)),"SKU not found"))</f>
        <v/>
      </c>
    </row>
    <row r="776">
      <c r="A776" s="7" t="n"/>
      <c r="B776" s="4" t="n"/>
      <c r="C776" s="4" t="n"/>
      <c r="D776" s="4" t="n"/>
      <c r="E776" s="4" t="n"/>
      <c r="F776" s="6">
        <f>IF(B776="","",IFERROR(INDEX(Products!$E:$E,MATCH(B776,Products!$A:$A,0)),0))</f>
        <v/>
      </c>
      <c r="G776" s="6">
        <f>IF(B776="","",N(C776)*N(F776))</f>
        <v/>
      </c>
      <c r="H776">
        <f>IF(B776="","",IFERROR(INDEX(Products!$B:$B,MATCH(B776,Products!$A:$A,0)),"SKU not found"))</f>
        <v/>
      </c>
    </row>
    <row r="777">
      <c r="A777" s="7" t="n"/>
      <c r="B777" s="4" t="n"/>
      <c r="C777" s="4" t="n"/>
      <c r="D777" s="4" t="n"/>
      <c r="E777" s="4" t="n"/>
      <c r="F777" s="6">
        <f>IF(B777="","",IFERROR(INDEX(Products!$E:$E,MATCH(B777,Products!$A:$A,0)),0))</f>
        <v/>
      </c>
      <c r="G777" s="6">
        <f>IF(B777="","",N(C777)*N(F777))</f>
        <v/>
      </c>
      <c r="H777">
        <f>IF(B777="","",IFERROR(INDEX(Products!$B:$B,MATCH(B777,Products!$A:$A,0)),"SKU not found"))</f>
        <v/>
      </c>
    </row>
    <row r="778">
      <c r="A778" s="7" t="n"/>
      <c r="B778" s="4" t="n"/>
      <c r="C778" s="4" t="n"/>
      <c r="D778" s="4" t="n"/>
      <c r="E778" s="4" t="n"/>
      <c r="F778" s="6">
        <f>IF(B778="","",IFERROR(INDEX(Products!$E:$E,MATCH(B778,Products!$A:$A,0)),0))</f>
        <v/>
      </c>
      <c r="G778" s="6">
        <f>IF(B778="","",N(C778)*N(F778))</f>
        <v/>
      </c>
      <c r="H778">
        <f>IF(B778="","",IFERROR(INDEX(Products!$B:$B,MATCH(B778,Products!$A:$A,0)),"SKU not found"))</f>
        <v/>
      </c>
    </row>
    <row r="779">
      <c r="A779" s="7" t="n"/>
      <c r="B779" s="4" t="n"/>
      <c r="C779" s="4" t="n"/>
      <c r="D779" s="4" t="n"/>
      <c r="E779" s="4" t="n"/>
      <c r="F779" s="6">
        <f>IF(B779="","",IFERROR(INDEX(Products!$E:$E,MATCH(B779,Products!$A:$A,0)),0))</f>
        <v/>
      </c>
      <c r="G779" s="6">
        <f>IF(B779="","",N(C779)*N(F779))</f>
        <v/>
      </c>
      <c r="H779">
        <f>IF(B779="","",IFERROR(INDEX(Products!$B:$B,MATCH(B779,Products!$A:$A,0)),"SKU not found"))</f>
        <v/>
      </c>
    </row>
    <row r="780">
      <c r="A780" s="7" t="n"/>
      <c r="B780" s="4" t="n"/>
      <c r="C780" s="4" t="n"/>
      <c r="D780" s="4" t="n"/>
      <c r="E780" s="4" t="n"/>
      <c r="F780" s="6">
        <f>IF(B780="","",IFERROR(INDEX(Products!$E:$E,MATCH(B780,Products!$A:$A,0)),0))</f>
        <v/>
      </c>
      <c r="G780" s="6">
        <f>IF(B780="","",N(C780)*N(F780))</f>
        <v/>
      </c>
      <c r="H780">
        <f>IF(B780="","",IFERROR(INDEX(Products!$B:$B,MATCH(B780,Products!$A:$A,0)),"SKU not found"))</f>
        <v/>
      </c>
    </row>
    <row r="781">
      <c r="A781" s="7" t="n"/>
      <c r="B781" s="4" t="n"/>
      <c r="C781" s="4" t="n"/>
      <c r="D781" s="4" t="n"/>
      <c r="E781" s="4" t="n"/>
      <c r="F781" s="6">
        <f>IF(B781="","",IFERROR(INDEX(Products!$E:$E,MATCH(B781,Products!$A:$A,0)),0))</f>
        <v/>
      </c>
      <c r="G781" s="6">
        <f>IF(B781="","",N(C781)*N(F781))</f>
        <v/>
      </c>
      <c r="H781">
        <f>IF(B781="","",IFERROR(INDEX(Products!$B:$B,MATCH(B781,Products!$A:$A,0)),"SKU not found"))</f>
        <v/>
      </c>
    </row>
    <row r="782">
      <c r="A782" s="7" t="n"/>
      <c r="B782" s="4" t="n"/>
      <c r="C782" s="4" t="n"/>
      <c r="D782" s="4" t="n"/>
      <c r="E782" s="4" t="n"/>
      <c r="F782" s="6">
        <f>IF(B782="","",IFERROR(INDEX(Products!$E:$E,MATCH(B782,Products!$A:$A,0)),0))</f>
        <v/>
      </c>
      <c r="G782" s="6">
        <f>IF(B782="","",N(C782)*N(F782))</f>
        <v/>
      </c>
      <c r="H782">
        <f>IF(B782="","",IFERROR(INDEX(Products!$B:$B,MATCH(B782,Products!$A:$A,0)),"SKU not found"))</f>
        <v/>
      </c>
    </row>
    <row r="783">
      <c r="A783" s="7" t="n"/>
      <c r="B783" s="4" t="n"/>
      <c r="C783" s="4" t="n"/>
      <c r="D783" s="4" t="n"/>
      <c r="E783" s="4" t="n"/>
      <c r="F783" s="6">
        <f>IF(B783="","",IFERROR(INDEX(Products!$E:$E,MATCH(B783,Products!$A:$A,0)),0))</f>
        <v/>
      </c>
      <c r="G783" s="6">
        <f>IF(B783="","",N(C783)*N(F783))</f>
        <v/>
      </c>
      <c r="H783">
        <f>IF(B783="","",IFERROR(INDEX(Products!$B:$B,MATCH(B783,Products!$A:$A,0)),"SKU not found"))</f>
        <v/>
      </c>
    </row>
    <row r="784">
      <c r="A784" s="7" t="n"/>
      <c r="B784" s="4" t="n"/>
      <c r="C784" s="4" t="n"/>
      <c r="D784" s="4" t="n"/>
      <c r="E784" s="4" t="n"/>
      <c r="F784" s="6">
        <f>IF(B784="","",IFERROR(INDEX(Products!$E:$E,MATCH(B784,Products!$A:$A,0)),0))</f>
        <v/>
      </c>
      <c r="G784" s="6">
        <f>IF(B784="","",N(C784)*N(F784))</f>
        <v/>
      </c>
      <c r="H784">
        <f>IF(B784="","",IFERROR(INDEX(Products!$B:$B,MATCH(B784,Products!$A:$A,0)),"SKU not found"))</f>
        <v/>
      </c>
    </row>
    <row r="785">
      <c r="A785" s="7" t="n"/>
      <c r="B785" s="4" t="n"/>
      <c r="C785" s="4" t="n"/>
      <c r="D785" s="4" t="n"/>
      <c r="E785" s="4" t="n"/>
      <c r="F785" s="6">
        <f>IF(B785="","",IFERROR(INDEX(Products!$E:$E,MATCH(B785,Products!$A:$A,0)),0))</f>
        <v/>
      </c>
      <c r="G785" s="6">
        <f>IF(B785="","",N(C785)*N(F785))</f>
        <v/>
      </c>
      <c r="H785">
        <f>IF(B785="","",IFERROR(INDEX(Products!$B:$B,MATCH(B785,Products!$A:$A,0)),"SKU not found"))</f>
        <v/>
      </c>
    </row>
    <row r="786">
      <c r="A786" s="7" t="n"/>
      <c r="B786" s="4" t="n"/>
      <c r="C786" s="4" t="n"/>
      <c r="D786" s="4" t="n"/>
      <c r="E786" s="4" t="n"/>
      <c r="F786" s="6">
        <f>IF(B786="","",IFERROR(INDEX(Products!$E:$E,MATCH(B786,Products!$A:$A,0)),0))</f>
        <v/>
      </c>
      <c r="G786" s="6">
        <f>IF(B786="","",N(C786)*N(F786))</f>
        <v/>
      </c>
      <c r="H786">
        <f>IF(B786="","",IFERROR(INDEX(Products!$B:$B,MATCH(B786,Products!$A:$A,0)),"SKU not found"))</f>
        <v/>
      </c>
    </row>
    <row r="787">
      <c r="A787" s="7" t="n"/>
      <c r="B787" s="4" t="n"/>
      <c r="C787" s="4" t="n"/>
      <c r="D787" s="4" t="n"/>
      <c r="E787" s="4" t="n"/>
      <c r="F787" s="6">
        <f>IF(B787="","",IFERROR(INDEX(Products!$E:$E,MATCH(B787,Products!$A:$A,0)),0))</f>
        <v/>
      </c>
      <c r="G787" s="6">
        <f>IF(B787="","",N(C787)*N(F787))</f>
        <v/>
      </c>
      <c r="H787">
        <f>IF(B787="","",IFERROR(INDEX(Products!$B:$B,MATCH(B787,Products!$A:$A,0)),"SKU not found"))</f>
        <v/>
      </c>
    </row>
    <row r="788">
      <c r="A788" s="7" t="n"/>
      <c r="B788" s="4" t="n"/>
      <c r="C788" s="4" t="n"/>
      <c r="D788" s="4" t="n"/>
      <c r="E788" s="4" t="n"/>
      <c r="F788" s="6">
        <f>IF(B788="","",IFERROR(INDEX(Products!$E:$E,MATCH(B788,Products!$A:$A,0)),0))</f>
        <v/>
      </c>
      <c r="G788" s="6">
        <f>IF(B788="","",N(C788)*N(F788))</f>
        <v/>
      </c>
      <c r="H788">
        <f>IF(B788="","",IFERROR(INDEX(Products!$B:$B,MATCH(B788,Products!$A:$A,0)),"SKU not found"))</f>
        <v/>
      </c>
    </row>
    <row r="789">
      <c r="A789" s="7" t="n"/>
      <c r="B789" s="4" t="n"/>
      <c r="C789" s="4" t="n"/>
      <c r="D789" s="4" t="n"/>
      <c r="E789" s="4" t="n"/>
      <c r="F789" s="6">
        <f>IF(B789="","",IFERROR(INDEX(Products!$E:$E,MATCH(B789,Products!$A:$A,0)),0))</f>
        <v/>
      </c>
      <c r="G789" s="6">
        <f>IF(B789="","",N(C789)*N(F789))</f>
        <v/>
      </c>
      <c r="H789">
        <f>IF(B789="","",IFERROR(INDEX(Products!$B:$B,MATCH(B789,Products!$A:$A,0)),"SKU not found"))</f>
        <v/>
      </c>
    </row>
    <row r="790">
      <c r="A790" s="7" t="n"/>
      <c r="B790" s="4" t="n"/>
      <c r="C790" s="4" t="n"/>
      <c r="D790" s="4" t="n"/>
      <c r="E790" s="4" t="n"/>
      <c r="F790" s="6">
        <f>IF(B790="","",IFERROR(INDEX(Products!$E:$E,MATCH(B790,Products!$A:$A,0)),0))</f>
        <v/>
      </c>
      <c r="G790" s="6">
        <f>IF(B790="","",N(C790)*N(F790))</f>
        <v/>
      </c>
      <c r="H790">
        <f>IF(B790="","",IFERROR(INDEX(Products!$B:$B,MATCH(B790,Products!$A:$A,0)),"SKU not found"))</f>
        <v/>
      </c>
    </row>
    <row r="791">
      <c r="A791" s="7" t="n"/>
      <c r="B791" s="4" t="n"/>
      <c r="C791" s="4" t="n"/>
      <c r="D791" s="4" t="n"/>
      <c r="E791" s="4" t="n"/>
      <c r="F791" s="6">
        <f>IF(B791="","",IFERROR(INDEX(Products!$E:$E,MATCH(B791,Products!$A:$A,0)),0))</f>
        <v/>
      </c>
      <c r="G791" s="6">
        <f>IF(B791="","",N(C791)*N(F791))</f>
        <v/>
      </c>
      <c r="H791">
        <f>IF(B791="","",IFERROR(INDEX(Products!$B:$B,MATCH(B791,Products!$A:$A,0)),"SKU not found"))</f>
        <v/>
      </c>
    </row>
    <row r="792">
      <c r="A792" s="7" t="n"/>
      <c r="B792" s="4" t="n"/>
      <c r="C792" s="4" t="n"/>
      <c r="D792" s="4" t="n"/>
      <c r="E792" s="4" t="n"/>
      <c r="F792" s="6">
        <f>IF(B792="","",IFERROR(INDEX(Products!$E:$E,MATCH(B792,Products!$A:$A,0)),0))</f>
        <v/>
      </c>
      <c r="G792" s="6">
        <f>IF(B792="","",N(C792)*N(F792))</f>
        <v/>
      </c>
      <c r="H792">
        <f>IF(B792="","",IFERROR(INDEX(Products!$B:$B,MATCH(B792,Products!$A:$A,0)),"SKU not found"))</f>
        <v/>
      </c>
    </row>
    <row r="793">
      <c r="A793" s="7" t="n"/>
      <c r="B793" s="4" t="n"/>
      <c r="C793" s="4" t="n"/>
      <c r="D793" s="4" t="n"/>
      <c r="E793" s="4" t="n"/>
      <c r="F793" s="6">
        <f>IF(B793="","",IFERROR(INDEX(Products!$E:$E,MATCH(B793,Products!$A:$A,0)),0))</f>
        <v/>
      </c>
      <c r="G793" s="6">
        <f>IF(B793="","",N(C793)*N(F793))</f>
        <v/>
      </c>
      <c r="H793">
        <f>IF(B793="","",IFERROR(INDEX(Products!$B:$B,MATCH(B793,Products!$A:$A,0)),"SKU not found"))</f>
        <v/>
      </c>
    </row>
    <row r="794">
      <c r="A794" s="7" t="n"/>
      <c r="B794" s="4" t="n"/>
      <c r="C794" s="4" t="n"/>
      <c r="D794" s="4" t="n"/>
      <c r="E794" s="4" t="n"/>
      <c r="F794" s="6">
        <f>IF(B794="","",IFERROR(INDEX(Products!$E:$E,MATCH(B794,Products!$A:$A,0)),0))</f>
        <v/>
      </c>
      <c r="G794" s="6">
        <f>IF(B794="","",N(C794)*N(F794))</f>
        <v/>
      </c>
      <c r="H794">
        <f>IF(B794="","",IFERROR(INDEX(Products!$B:$B,MATCH(B794,Products!$A:$A,0)),"SKU not found"))</f>
        <v/>
      </c>
    </row>
    <row r="795">
      <c r="A795" s="7" t="n"/>
      <c r="B795" s="4" t="n"/>
      <c r="C795" s="4" t="n"/>
      <c r="D795" s="4" t="n"/>
      <c r="E795" s="4" t="n"/>
      <c r="F795" s="6">
        <f>IF(B795="","",IFERROR(INDEX(Products!$E:$E,MATCH(B795,Products!$A:$A,0)),0))</f>
        <v/>
      </c>
      <c r="G795" s="6">
        <f>IF(B795="","",N(C795)*N(F795))</f>
        <v/>
      </c>
      <c r="H795">
        <f>IF(B795="","",IFERROR(INDEX(Products!$B:$B,MATCH(B795,Products!$A:$A,0)),"SKU not found"))</f>
        <v/>
      </c>
    </row>
    <row r="796">
      <c r="A796" s="7" t="n"/>
      <c r="B796" s="4" t="n"/>
      <c r="C796" s="4" t="n"/>
      <c r="D796" s="4" t="n"/>
      <c r="E796" s="4" t="n"/>
      <c r="F796" s="6">
        <f>IF(B796="","",IFERROR(INDEX(Products!$E:$E,MATCH(B796,Products!$A:$A,0)),0))</f>
        <v/>
      </c>
      <c r="G796" s="6">
        <f>IF(B796="","",N(C796)*N(F796))</f>
        <v/>
      </c>
      <c r="H796">
        <f>IF(B796="","",IFERROR(INDEX(Products!$B:$B,MATCH(B796,Products!$A:$A,0)),"SKU not found"))</f>
        <v/>
      </c>
    </row>
    <row r="797">
      <c r="A797" s="7" t="n"/>
      <c r="B797" s="4" t="n"/>
      <c r="C797" s="4" t="n"/>
      <c r="D797" s="4" t="n"/>
      <c r="E797" s="4" t="n"/>
      <c r="F797" s="6">
        <f>IF(B797="","",IFERROR(INDEX(Products!$E:$E,MATCH(B797,Products!$A:$A,0)),0))</f>
        <v/>
      </c>
      <c r="G797" s="6">
        <f>IF(B797="","",N(C797)*N(F797))</f>
        <v/>
      </c>
      <c r="H797">
        <f>IF(B797="","",IFERROR(INDEX(Products!$B:$B,MATCH(B797,Products!$A:$A,0)),"SKU not found"))</f>
        <v/>
      </c>
    </row>
    <row r="798">
      <c r="A798" s="7" t="n"/>
      <c r="B798" s="4" t="n"/>
      <c r="C798" s="4" t="n"/>
      <c r="D798" s="4" t="n"/>
      <c r="E798" s="4" t="n"/>
      <c r="F798" s="6">
        <f>IF(B798="","",IFERROR(INDEX(Products!$E:$E,MATCH(B798,Products!$A:$A,0)),0))</f>
        <v/>
      </c>
      <c r="G798" s="6">
        <f>IF(B798="","",N(C798)*N(F798))</f>
        <v/>
      </c>
      <c r="H798">
        <f>IF(B798="","",IFERROR(INDEX(Products!$B:$B,MATCH(B798,Products!$A:$A,0)),"SKU not found"))</f>
        <v/>
      </c>
    </row>
    <row r="799">
      <c r="A799" s="7" t="n"/>
      <c r="B799" s="4" t="n"/>
      <c r="C799" s="4" t="n"/>
      <c r="D799" s="4" t="n"/>
      <c r="E799" s="4" t="n"/>
      <c r="F799" s="6">
        <f>IF(B799="","",IFERROR(INDEX(Products!$E:$E,MATCH(B799,Products!$A:$A,0)),0))</f>
        <v/>
      </c>
      <c r="G799" s="6">
        <f>IF(B799="","",N(C799)*N(F799))</f>
        <v/>
      </c>
      <c r="H799">
        <f>IF(B799="","",IFERROR(INDEX(Products!$B:$B,MATCH(B799,Products!$A:$A,0)),"SKU not found"))</f>
        <v/>
      </c>
    </row>
    <row r="800">
      <c r="A800" s="7" t="n"/>
      <c r="B800" s="4" t="n"/>
      <c r="C800" s="4" t="n"/>
      <c r="D800" s="4" t="n"/>
      <c r="E800" s="4" t="n"/>
      <c r="F800" s="6">
        <f>IF(B800="","",IFERROR(INDEX(Products!$E:$E,MATCH(B800,Products!$A:$A,0)),0))</f>
        <v/>
      </c>
      <c r="G800" s="6">
        <f>IF(B800="","",N(C800)*N(F800))</f>
        <v/>
      </c>
      <c r="H800">
        <f>IF(B800="","",IFERROR(INDEX(Products!$B:$B,MATCH(B800,Products!$A:$A,0)),"SKU not found"))</f>
        <v/>
      </c>
    </row>
    <row r="801">
      <c r="A801" s="7" t="n"/>
      <c r="B801" s="4" t="n"/>
      <c r="C801" s="4" t="n"/>
      <c r="D801" s="4" t="n"/>
      <c r="E801" s="4" t="n"/>
      <c r="F801" s="6">
        <f>IF(B801="","",IFERROR(INDEX(Products!$E:$E,MATCH(B801,Products!$A:$A,0)),0))</f>
        <v/>
      </c>
      <c r="G801" s="6">
        <f>IF(B801="","",N(C801)*N(F801))</f>
        <v/>
      </c>
      <c r="H801">
        <f>IF(B801="","",IFERROR(INDEX(Products!$B:$B,MATCH(B801,Products!$A:$A,0)),"SKU not found"))</f>
        <v/>
      </c>
    </row>
    <row r="802">
      <c r="A802" s="7" t="n"/>
      <c r="B802" s="4" t="n"/>
      <c r="C802" s="4" t="n"/>
      <c r="D802" s="4" t="n"/>
      <c r="E802" s="4" t="n"/>
      <c r="F802" s="6">
        <f>IF(B802="","",IFERROR(INDEX(Products!$E:$E,MATCH(B802,Products!$A:$A,0)),0))</f>
        <v/>
      </c>
      <c r="G802" s="6">
        <f>IF(B802="","",N(C802)*N(F802))</f>
        <v/>
      </c>
      <c r="H802">
        <f>IF(B802="","",IFERROR(INDEX(Products!$B:$B,MATCH(B802,Products!$A:$A,0)),"SKU not found"))</f>
        <v/>
      </c>
    </row>
    <row r="803">
      <c r="A803" s="7" t="n"/>
      <c r="B803" s="4" t="n"/>
      <c r="C803" s="4" t="n"/>
      <c r="D803" s="4" t="n"/>
      <c r="E803" s="4" t="n"/>
      <c r="F803" s="6">
        <f>IF(B803="","",IFERROR(INDEX(Products!$E:$E,MATCH(B803,Products!$A:$A,0)),0))</f>
        <v/>
      </c>
      <c r="G803" s="6">
        <f>IF(B803="","",N(C803)*N(F803))</f>
        <v/>
      </c>
      <c r="H803">
        <f>IF(B803="","",IFERROR(INDEX(Products!$B:$B,MATCH(B803,Products!$A:$A,0)),"SKU not found"))</f>
        <v/>
      </c>
    </row>
    <row r="804">
      <c r="A804" s="7" t="n"/>
      <c r="B804" s="4" t="n"/>
      <c r="C804" s="4" t="n"/>
      <c r="D804" s="4" t="n"/>
      <c r="E804" s="4" t="n"/>
      <c r="F804" s="6">
        <f>IF(B804="","",IFERROR(INDEX(Products!$E:$E,MATCH(B804,Products!$A:$A,0)),0))</f>
        <v/>
      </c>
      <c r="G804" s="6">
        <f>IF(B804="","",N(C804)*N(F804))</f>
        <v/>
      </c>
      <c r="H804">
        <f>IF(B804="","",IFERROR(INDEX(Products!$B:$B,MATCH(B804,Products!$A:$A,0)),"SKU not found"))</f>
        <v/>
      </c>
    </row>
    <row r="805">
      <c r="A805" s="7" t="n"/>
      <c r="B805" s="4" t="n"/>
      <c r="C805" s="4" t="n"/>
      <c r="D805" s="4" t="n"/>
      <c r="E805" s="4" t="n"/>
      <c r="F805" s="6">
        <f>IF(B805="","",IFERROR(INDEX(Products!$E:$E,MATCH(B805,Products!$A:$A,0)),0))</f>
        <v/>
      </c>
      <c r="G805" s="6">
        <f>IF(B805="","",N(C805)*N(F805))</f>
        <v/>
      </c>
      <c r="H805">
        <f>IF(B805="","",IFERROR(INDEX(Products!$B:$B,MATCH(B805,Products!$A:$A,0)),"SKU not found"))</f>
        <v/>
      </c>
    </row>
    <row r="806">
      <c r="A806" s="7" t="n"/>
      <c r="B806" s="4" t="n"/>
      <c r="C806" s="4" t="n"/>
      <c r="D806" s="4" t="n"/>
      <c r="E806" s="4" t="n"/>
      <c r="F806" s="6">
        <f>IF(B806="","",IFERROR(INDEX(Products!$E:$E,MATCH(B806,Products!$A:$A,0)),0))</f>
        <v/>
      </c>
      <c r="G806" s="6">
        <f>IF(B806="","",N(C806)*N(F806))</f>
        <v/>
      </c>
      <c r="H806">
        <f>IF(B806="","",IFERROR(INDEX(Products!$B:$B,MATCH(B806,Products!$A:$A,0)),"SKU not found"))</f>
        <v/>
      </c>
    </row>
    <row r="807">
      <c r="A807" s="7" t="n"/>
      <c r="B807" s="4" t="n"/>
      <c r="C807" s="4" t="n"/>
      <c r="D807" s="4" t="n"/>
      <c r="E807" s="4" t="n"/>
      <c r="F807" s="6">
        <f>IF(B807="","",IFERROR(INDEX(Products!$E:$E,MATCH(B807,Products!$A:$A,0)),0))</f>
        <v/>
      </c>
      <c r="G807" s="6">
        <f>IF(B807="","",N(C807)*N(F807))</f>
        <v/>
      </c>
      <c r="H807">
        <f>IF(B807="","",IFERROR(INDEX(Products!$B:$B,MATCH(B807,Products!$A:$A,0)),"SKU not found"))</f>
        <v/>
      </c>
    </row>
    <row r="808">
      <c r="A808" s="7" t="n"/>
      <c r="B808" s="4" t="n"/>
      <c r="C808" s="4" t="n"/>
      <c r="D808" s="4" t="n"/>
      <c r="E808" s="4" t="n"/>
      <c r="F808" s="6">
        <f>IF(B808="","",IFERROR(INDEX(Products!$E:$E,MATCH(B808,Products!$A:$A,0)),0))</f>
        <v/>
      </c>
      <c r="G808" s="6">
        <f>IF(B808="","",N(C808)*N(F808))</f>
        <v/>
      </c>
      <c r="H808">
        <f>IF(B808="","",IFERROR(INDEX(Products!$B:$B,MATCH(B808,Products!$A:$A,0)),"SKU not found"))</f>
        <v/>
      </c>
    </row>
    <row r="809">
      <c r="A809" s="7" t="n"/>
      <c r="B809" s="4" t="n"/>
      <c r="C809" s="4" t="n"/>
      <c r="D809" s="4" t="n"/>
      <c r="E809" s="4" t="n"/>
      <c r="F809" s="6">
        <f>IF(B809="","",IFERROR(INDEX(Products!$E:$E,MATCH(B809,Products!$A:$A,0)),0))</f>
        <v/>
      </c>
      <c r="G809" s="6">
        <f>IF(B809="","",N(C809)*N(F809))</f>
        <v/>
      </c>
      <c r="H809">
        <f>IF(B809="","",IFERROR(INDEX(Products!$B:$B,MATCH(B809,Products!$A:$A,0)),"SKU not found"))</f>
        <v/>
      </c>
    </row>
    <row r="810">
      <c r="A810" s="7" t="n"/>
      <c r="B810" s="4" t="n"/>
      <c r="C810" s="4" t="n"/>
      <c r="D810" s="4" t="n"/>
      <c r="E810" s="4" t="n"/>
      <c r="F810" s="6">
        <f>IF(B810="","",IFERROR(INDEX(Products!$E:$E,MATCH(B810,Products!$A:$A,0)),0))</f>
        <v/>
      </c>
      <c r="G810" s="6">
        <f>IF(B810="","",N(C810)*N(F810))</f>
        <v/>
      </c>
      <c r="H810">
        <f>IF(B810="","",IFERROR(INDEX(Products!$B:$B,MATCH(B810,Products!$A:$A,0)),"SKU not found"))</f>
        <v/>
      </c>
    </row>
    <row r="811">
      <c r="A811" s="7" t="n"/>
      <c r="B811" s="4" t="n"/>
      <c r="C811" s="4" t="n"/>
      <c r="D811" s="4" t="n"/>
      <c r="E811" s="4" t="n"/>
      <c r="F811" s="6">
        <f>IF(B811="","",IFERROR(INDEX(Products!$E:$E,MATCH(B811,Products!$A:$A,0)),0))</f>
        <v/>
      </c>
      <c r="G811" s="6">
        <f>IF(B811="","",N(C811)*N(F811))</f>
        <v/>
      </c>
      <c r="H811">
        <f>IF(B811="","",IFERROR(INDEX(Products!$B:$B,MATCH(B811,Products!$A:$A,0)),"SKU not found"))</f>
        <v/>
      </c>
    </row>
    <row r="812">
      <c r="A812" s="7" t="n"/>
      <c r="B812" s="4" t="n"/>
      <c r="C812" s="4" t="n"/>
      <c r="D812" s="4" t="n"/>
      <c r="E812" s="4" t="n"/>
      <c r="F812" s="6">
        <f>IF(B812="","",IFERROR(INDEX(Products!$E:$E,MATCH(B812,Products!$A:$A,0)),0))</f>
        <v/>
      </c>
      <c r="G812" s="6">
        <f>IF(B812="","",N(C812)*N(F812))</f>
        <v/>
      </c>
      <c r="H812">
        <f>IF(B812="","",IFERROR(INDEX(Products!$B:$B,MATCH(B812,Products!$A:$A,0)),"SKU not found"))</f>
        <v/>
      </c>
    </row>
    <row r="813">
      <c r="A813" s="7" t="n"/>
      <c r="B813" s="4" t="n"/>
      <c r="C813" s="4" t="n"/>
      <c r="D813" s="4" t="n"/>
      <c r="E813" s="4" t="n"/>
      <c r="F813" s="6">
        <f>IF(B813="","",IFERROR(INDEX(Products!$E:$E,MATCH(B813,Products!$A:$A,0)),0))</f>
        <v/>
      </c>
      <c r="G813" s="6">
        <f>IF(B813="","",N(C813)*N(F813))</f>
        <v/>
      </c>
      <c r="H813">
        <f>IF(B813="","",IFERROR(INDEX(Products!$B:$B,MATCH(B813,Products!$A:$A,0)),"SKU not found"))</f>
        <v/>
      </c>
    </row>
    <row r="814">
      <c r="A814" s="7" t="n"/>
      <c r="B814" s="4" t="n"/>
      <c r="C814" s="4" t="n"/>
      <c r="D814" s="4" t="n"/>
      <c r="E814" s="4" t="n"/>
      <c r="F814" s="6">
        <f>IF(B814="","",IFERROR(INDEX(Products!$E:$E,MATCH(B814,Products!$A:$A,0)),0))</f>
        <v/>
      </c>
      <c r="G814" s="6">
        <f>IF(B814="","",N(C814)*N(F814))</f>
        <v/>
      </c>
      <c r="H814">
        <f>IF(B814="","",IFERROR(INDEX(Products!$B:$B,MATCH(B814,Products!$A:$A,0)),"SKU not found"))</f>
        <v/>
      </c>
    </row>
    <row r="815">
      <c r="A815" s="7" t="n"/>
      <c r="B815" s="4" t="n"/>
      <c r="C815" s="4" t="n"/>
      <c r="D815" s="4" t="n"/>
      <c r="E815" s="4" t="n"/>
      <c r="F815" s="6">
        <f>IF(B815="","",IFERROR(INDEX(Products!$E:$E,MATCH(B815,Products!$A:$A,0)),0))</f>
        <v/>
      </c>
      <c r="G815" s="6">
        <f>IF(B815="","",N(C815)*N(F815))</f>
        <v/>
      </c>
      <c r="H815">
        <f>IF(B815="","",IFERROR(INDEX(Products!$B:$B,MATCH(B815,Products!$A:$A,0)),"SKU not found"))</f>
        <v/>
      </c>
    </row>
    <row r="816">
      <c r="A816" s="7" t="n"/>
      <c r="B816" s="4" t="n"/>
      <c r="C816" s="4" t="n"/>
      <c r="D816" s="4" t="n"/>
      <c r="E816" s="4" t="n"/>
      <c r="F816" s="6">
        <f>IF(B816="","",IFERROR(INDEX(Products!$E:$E,MATCH(B816,Products!$A:$A,0)),0))</f>
        <v/>
      </c>
      <c r="G816" s="6">
        <f>IF(B816="","",N(C816)*N(F816))</f>
        <v/>
      </c>
      <c r="H816">
        <f>IF(B816="","",IFERROR(INDEX(Products!$B:$B,MATCH(B816,Products!$A:$A,0)),"SKU not found"))</f>
        <v/>
      </c>
    </row>
    <row r="817">
      <c r="A817" s="7" t="n"/>
      <c r="B817" s="4" t="n"/>
      <c r="C817" s="4" t="n"/>
      <c r="D817" s="4" t="n"/>
      <c r="E817" s="4" t="n"/>
      <c r="F817" s="6">
        <f>IF(B817="","",IFERROR(INDEX(Products!$E:$E,MATCH(B817,Products!$A:$A,0)),0))</f>
        <v/>
      </c>
      <c r="G817" s="6">
        <f>IF(B817="","",N(C817)*N(F817))</f>
        <v/>
      </c>
      <c r="H817">
        <f>IF(B817="","",IFERROR(INDEX(Products!$B:$B,MATCH(B817,Products!$A:$A,0)),"SKU not found"))</f>
        <v/>
      </c>
    </row>
    <row r="818">
      <c r="A818" s="7" t="n"/>
      <c r="B818" s="4" t="n"/>
      <c r="C818" s="4" t="n"/>
      <c r="D818" s="4" t="n"/>
      <c r="E818" s="4" t="n"/>
      <c r="F818" s="6">
        <f>IF(B818="","",IFERROR(INDEX(Products!$E:$E,MATCH(B818,Products!$A:$A,0)),0))</f>
        <v/>
      </c>
      <c r="G818" s="6">
        <f>IF(B818="","",N(C818)*N(F818))</f>
        <v/>
      </c>
      <c r="H818">
        <f>IF(B818="","",IFERROR(INDEX(Products!$B:$B,MATCH(B818,Products!$A:$A,0)),"SKU not found"))</f>
        <v/>
      </c>
    </row>
    <row r="819">
      <c r="A819" s="7" t="n"/>
      <c r="B819" s="4" t="n"/>
      <c r="C819" s="4" t="n"/>
      <c r="D819" s="4" t="n"/>
      <c r="E819" s="4" t="n"/>
      <c r="F819" s="6">
        <f>IF(B819="","",IFERROR(INDEX(Products!$E:$E,MATCH(B819,Products!$A:$A,0)),0))</f>
        <v/>
      </c>
      <c r="G819" s="6">
        <f>IF(B819="","",N(C819)*N(F819))</f>
        <v/>
      </c>
      <c r="H819">
        <f>IF(B819="","",IFERROR(INDEX(Products!$B:$B,MATCH(B819,Products!$A:$A,0)),"SKU not found"))</f>
        <v/>
      </c>
    </row>
    <row r="820">
      <c r="A820" s="7" t="n"/>
      <c r="B820" s="4" t="n"/>
      <c r="C820" s="4" t="n"/>
      <c r="D820" s="4" t="n"/>
      <c r="E820" s="4" t="n"/>
      <c r="F820" s="6">
        <f>IF(B820="","",IFERROR(INDEX(Products!$E:$E,MATCH(B820,Products!$A:$A,0)),0))</f>
        <v/>
      </c>
      <c r="G820" s="6">
        <f>IF(B820="","",N(C820)*N(F820))</f>
        <v/>
      </c>
      <c r="H820">
        <f>IF(B820="","",IFERROR(INDEX(Products!$B:$B,MATCH(B820,Products!$A:$A,0)),"SKU not found"))</f>
        <v/>
      </c>
    </row>
    <row r="821">
      <c r="A821" s="7" t="n"/>
      <c r="B821" s="4" t="n"/>
      <c r="C821" s="4" t="n"/>
      <c r="D821" s="4" t="n"/>
      <c r="E821" s="4" t="n"/>
      <c r="F821" s="6">
        <f>IF(B821="","",IFERROR(INDEX(Products!$E:$E,MATCH(B821,Products!$A:$A,0)),0))</f>
        <v/>
      </c>
      <c r="G821" s="6">
        <f>IF(B821="","",N(C821)*N(F821))</f>
        <v/>
      </c>
      <c r="H821">
        <f>IF(B821="","",IFERROR(INDEX(Products!$B:$B,MATCH(B821,Products!$A:$A,0)),"SKU not found"))</f>
        <v/>
      </c>
    </row>
    <row r="822">
      <c r="A822" s="7" t="n"/>
      <c r="B822" s="4" t="n"/>
      <c r="C822" s="4" t="n"/>
      <c r="D822" s="4" t="n"/>
      <c r="E822" s="4" t="n"/>
      <c r="F822" s="6">
        <f>IF(B822="","",IFERROR(INDEX(Products!$E:$E,MATCH(B822,Products!$A:$A,0)),0))</f>
        <v/>
      </c>
      <c r="G822" s="6">
        <f>IF(B822="","",N(C822)*N(F822))</f>
        <v/>
      </c>
      <c r="H822">
        <f>IF(B822="","",IFERROR(INDEX(Products!$B:$B,MATCH(B822,Products!$A:$A,0)),"SKU not found"))</f>
        <v/>
      </c>
    </row>
    <row r="823">
      <c r="A823" s="7" t="n"/>
      <c r="B823" s="4" t="n"/>
      <c r="C823" s="4" t="n"/>
      <c r="D823" s="4" t="n"/>
      <c r="E823" s="4" t="n"/>
      <c r="F823" s="6">
        <f>IF(B823="","",IFERROR(INDEX(Products!$E:$E,MATCH(B823,Products!$A:$A,0)),0))</f>
        <v/>
      </c>
      <c r="G823" s="6">
        <f>IF(B823="","",N(C823)*N(F823))</f>
        <v/>
      </c>
      <c r="H823">
        <f>IF(B823="","",IFERROR(INDEX(Products!$B:$B,MATCH(B823,Products!$A:$A,0)),"SKU not found"))</f>
        <v/>
      </c>
    </row>
    <row r="824">
      <c r="A824" s="7" t="n"/>
      <c r="B824" s="4" t="n"/>
      <c r="C824" s="4" t="n"/>
      <c r="D824" s="4" t="n"/>
      <c r="E824" s="4" t="n"/>
      <c r="F824" s="6">
        <f>IF(B824="","",IFERROR(INDEX(Products!$E:$E,MATCH(B824,Products!$A:$A,0)),0))</f>
        <v/>
      </c>
      <c r="G824" s="6">
        <f>IF(B824="","",N(C824)*N(F824))</f>
        <v/>
      </c>
      <c r="H824">
        <f>IF(B824="","",IFERROR(INDEX(Products!$B:$B,MATCH(B824,Products!$A:$A,0)),"SKU not found"))</f>
        <v/>
      </c>
    </row>
    <row r="825">
      <c r="A825" s="7" t="n"/>
      <c r="B825" s="4" t="n"/>
      <c r="C825" s="4" t="n"/>
      <c r="D825" s="4" t="n"/>
      <c r="E825" s="4" t="n"/>
      <c r="F825" s="6">
        <f>IF(B825="","",IFERROR(INDEX(Products!$E:$E,MATCH(B825,Products!$A:$A,0)),0))</f>
        <v/>
      </c>
      <c r="G825" s="6">
        <f>IF(B825="","",N(C825)*N(F825))</f>
        <v/>
      </c>
      <c r="H825">
        <f>IF(B825="","",IFERROR(INDEX(Products!$B:$B,MATCH(B825,Products!$A:$A,0)),"SKU not found"))</f>
        <v/>
      </c>
    </row>
    <row r="826">
      <c r="A826" s="7" t="n"/>
      <c r="B826" s="4" t="n"/>
      <c r="C826" s="4" t="n"/>
      <c r="D826" s="4" t="n"/>
      <c r="E826" s="4" t="n"/>
      <c r="F826" s="6">
        <f>IF(B826="","",IFERROR(INDEX(Products!$E:$E,MATCH(B826,Products!$A:$A,0)),0))</f>
        <v/>
      </c>
      <c r="G826" s="6">
        <f>IF(B826="","",N(C826)*N(F826))</f>
        <v/>
      </c>
      <c r="H826">
        <f>IF(B826="","",IFERROR(INDEX(Products!$B:$B,MATCH(B826,Products!$A:$A,0)),"SKU not found"))</f>
        <v/>
      </c>
    </row>
    <row r="827">
      <c r="A827" s="7" t="n"/>
      <c r="B827" s="4" t="n"/>
      <c r="C827" s="4" t="n"/>
      <c r="D827" s="4" t="n"/>
      <c r="E827" s="4" t="n"/>
      <c r="F827" s="6">
        <f>IF(B827="","",IFERROR(INDEX(Products!$E:$E,MATCH(B827,Products!$A:$A,0)),0))</f>
        <v/>
      </c>
      <c r="G827" s="6">
        <f>IF(B827="","",N(C827)*N(F827))</f>
        <v/>
      </c>
      <c r="H827">
        <f>IF(B827="","",IFERROR(INDEX(Products!$B:$B,MATCH(B827,Products!$A:$A,0)),"SKU not found"))</f>
        <v/>
      </c>
    </row>
    <row r="828">
      <c r="A828" s="7" t="n"/>
      <c r="B828" s="4" t="n"/>
      <c r="C828" s="4" t="n"/>
      <c r="D828" s="4" t="n"/>
      <c r="E828" s="4" t="n"/>
      <c r="F828" s="6">
        <f>IF(B828="","",IFERROR(INDEX(Products!$E:$E,MATCH(B828,Products!$A:$A,0)),0))</f>
        <v/>
      </c>
      <c r="G828" s="6">
        <f>IF(B828="","",N(C828)*N(F828))</f>
        <v/>
      </c>
      <c r="H828">
        <f>IF(B828="","",IFERROR(INDEX(Products!$B:$B,MATCH(B828,Products!$A:$A,0)),"SKU not found"))</f>
        <v/>
      </c>
    </row>
    <row r="829">
      <c r="A829" s="7" t="n"/>
      <c r="B829" s="4" t="n"/>
      <c r="C829" s="4" t="n"/>
      <c r="D829" s="4" t="n"/>
      <c r="E829" s="4" t="n"/>
      <c r="F829" s="6">
        <f>IF(B829="","",IFERROR(INDEX(Products!$E:$E,MATCH(B829,Products!$A:$A,0)),0))</f>
        <v/>
      </c>
      <c r="G829" s="6">
        <f>IF(B829="","",N(C829)*N(F829))</f>
        <v/>
      </c>
      <c r="H829">
        <f>IF(B829="","",IFERROR(INDEX(Products!$B:$B,MATCH(B829,Products!$A:$A,0)),"SKU not found"))</f>
        <v/>
      </c>
    </row>
    <row r="830">
      <c r="A830" s="7" t="n"/>
      <c r="B830" s="4" t="n"/>
      <c r="C830" s="4" t="n"/>
      <c r="D830" s="4" t="n"/>
      <c r="E830" s="4" t="n"/>
      <c r="F830" s="6">
        <f>IF(B830="","",IFERROR(INDEX(Products!$E:$E,MATCH(B830,Products!$A:$A,0)),0))</f>
        <v/>
      </c>
      <c r="G830" s="6">
        <f>IF(B830="","",N(C830)*N(F830))</f>
        <v/>
      </c>
      <c r="H830">
        <f>IF(B830="","",IFERROR(INDEX(Products!$B:$B,MATCH(B830,Products!$A:$A,0)),"SKU not found"))</f>
        <v/>
      </c>
    </row>
    <row r="831">
      <c r="A831" s="7" t="n"/>
      <c r="B831" s="4" t="n"/>
      <c r="C831" s="4" t="n"/>
      <c r="D831" s="4" t="n"/>
      <c r="E831" s="4" t="n"/>
      <c r="F831" s="6">
        <f>IF(B831="","",IFERROR(INDEX(Products!$E:$E,MATCH(B831,Products!$A:$A,0)),0))</f>
        <v/>
      </c>
      <c r="G831" s="6">
        <f>IF(B831="","",N(C831)*N(F831))</f>
        <v/>
      </c>
      <c r="H831">
        <f>IF(B831="","",IFERROR(INDEX(Products!$B:$B,MATCH(B831,Products!$A:$A,0)),"SKU not found"))</f>
        <v/>
      </c>
    </row>
    <row r="832">
      <c r="A832" s="7" t="n"/>
      <c r="B832" s="4" t="n"/>
      <c r="C832" s="4" t="n"/>
      <c r="D832" s="4" t="n"/>
      <c r="E832" s="4" t="n"/>
      <c r="F832" s="6">
        <f>IF(B832="","",IFERROR(INDEX(Products!$E:$E,MATCH(B832,Products!$A:$A,0)),0))</f>
        <v/>
      </c>
      <c r="G832" s="6">
        <f>IF(B832="","",N(C832)*N(F832))</f>
        <v/>
      </c>
      <c r="H832">
        <f>IF(B832="","",IFERROR(INDEX(Products!$B:$B,MATCH(B832,Products!$A:$A,0)),"SKU not found"))</f>
        <v/>
      </c>
    </row>
    <row r="833">
      <c r="A833" s="7" t="n"/>
      <c r="B833" s="4" t="n"/>
      <c r="C833" s="4" t="n"/>
      <c r="D833" s="4" t="n"/>
      <c r="E833" s="4" t="n"/>
      <c r="F833" s="6">
        <f>IF(B833="","",IFERROR(INDEX(Products!$E:$E,MATCH(B833,Products!$A:$A,0)),0))</f>
        <v/>
      </c>
      <c r="G833" s="6">
        <f>IF(B833="","",N(C833)*N(F833))</f>
        <v/>
      </c>
      <c r="H833">
        <f>IF(B833="","",IFERROR(INDEX(Products!$B:$B,MATCH(B833,Products!$A:$A,0)),"SKU not found"))</f>
        <v/>
      </c>
    </row>
    <row r="834">
      <c r="A834" s="7" t="n"/>
      <c r="B834" s="4" t="n"/>
      <c r="C834" s="4" t="n"/>
      <c r="D834" s="4" t="n"/>
      <c r="E834" s="4" t="n"/>
      <c r="F834" s="6">
        <f>IF(B834="","",IFERROR(INDEX(Products!$E:$E,MATCH(B834,Products!$A:$A,0)),0))</f>
        <v/>
      </c>
      <c r="G834" s="6">
        <f>IF(B834="","",N(C834)*N(F834))</f>
        <v/>
      </c>
      <c r="H834">
        <f>IF(B834="","",IFERROR(INDEX(Products!$B:$B,MATCH(B834,Products!$A:$A,0)),"SKU not found"))</f>
        <v/>
      </c>
    </row>
    <row r="835">
      <c r="A835" s="7" t="n"/>
      <c r="B835" s="4" t="n"/>
      <c r="C835" s="4" t="n"/>
      <c r="D835" s="4" t="n"/>
      <c r="E835" s="4" t="n"/>
      <c r="F835" s="6">
        <f>IF(B835="","",IFERROR(INDEX(Products!$E:$E,MATCH(B835,Products!$A:$A,0)),0))</f>
        <v/>
      </c>
      <c r="G835" s="6">
        <f>IF(B835="","",N(C835)*N(F835))</f>
        <v/>
      </c>
      <c r="H835">
        <f>IF(B835="","",IFERROR(INDEX(Products!$B:$B,MATCH(B835,Products!$A:$A,0)),"SKU not found"))</f>
        <v/>
      </c>
    </row>
    <row r="836">
      <c r="A836" s="7" t="n"/>
      <c r="B836" s="4" t="n"/>
      <c r="C836" s="4" t="n"/>
      <c r="D836" s="4" t="n"/>
      <c r="E836" s="4" t="n"/>
      <c r="F836" s="6">
        <f>IF(B836="","",IFERROR(INDEX(Products!$E:$E,MATCH(B836,Products!$A:$A,0)),0))</f>
        <v/>
      </c>
      <c r="G836" s="6">
        <f>IF(B836="","",N(C836)*N(F836))</f>
        <v/>
      </c>
      <c r="H836">
        <f>IF(B836="","",IFERROR(INDEX(Products!$B:$B,MATCH(B836,Products!$A:$A,0)),"SKU not found"))</f>
        <v/>
      </c>
    </row>
    <row r="837">
      <c r="A837" s="7" t="n"/>
      <c r="B837" s="4" t="n"/>
      <c r="C837" s="4" t="n"/>
      <c r="D837" s="4" t="n"/>
      <c r="E837" s="4" t="n"/>
      <c r="F837" s="6">
        <f>IF(B837="","",IFERROR(INDEX(Products!$E:$E,MATCH(B837,Products!$A:$A,0)),0))</f>
        <v/>
      </c>
      <c r="G837" s="6">
        <f>IF(B837="","",N(C837)*N(F837))</f>
        <v/>
      </c>
      <c r="H837">
        <f>IF(B837="","",IFERROR(INDEX(Products!$B:$B,MATCH(B837,Products!$A:$A,0)),"SKU not found"))</f>
        <v/>
      </c>
    </row>
    <row r="838">
      <c r="A838" s="7" t="n"/>
      <c r="B838" s="4" t="n"/>
      <c r="C838" s="4" t="n"/>
      <c r="D838" s="4" t="n"/>
      <c r="E838" s="4" t="n"/>
      <c r="F838" s="6">
        <f>IF(B838="","",IFERROR(INDEX(Products!$E:$E,MATCH(B838,Products!$A:$A,0)),0))</f>
        <v/>
      </c>
      <c r="G838" s="6">
        <f>IF(B838="","",N(C838)*N(F838))</f>
        <v/>
      </c>
      <c r="H838">
        <f>IF(B838="","",IFERROR(INDEX(Products!$B:$B,MATCH(B838,Products!$A:$A,0)),"SKU not found"))</f>
        <v/>
      </c>
    </row>
    <row r="839">
      <c r="A839" s="7" t="n"/>
      <c r="B839" s="4" t="n"/>
      <c r="C839" s="4" t="n"/>
      <c r="D839" s="4" t="n"/>
      <c r="E839" s="4" t="n"/>
      <c r="F839" s="6">
        <f>IF(B839="","",IFERROR(INDEX(Products!$E:$E,MATCH(B839,Products!$A:$A,0)),0))</f>
        <v/>
      </c>
      <c r="G839" s="6">
        <f>IF(B839="","",N(C839)*N(F839))</f>
        <v/>
      </c>
      <c r="H839">
        <f>IF(B839="","",IFERROR(INDEX(Products!$B:$B,MATCH(B839,Products!$A:$A,0)),"SKU not found"))</f>
        <v/>
      </c>
    </row>
    <row r="840">
      <c r="A840" s="7" t="n"/>
      <c r="B840" s="4" t="n"/>
      <c r="C840" s="4" t="n"/>
      <c r="D840" s="4" t="n"/>
      <c r="E840" s="4" t="n"/>
      <c r="F840" s="6">
        <f>IF(B840="","",IFERROR(INDEX(Products!$E:$E,MATCH(B840,Products!$A:$A,0)),0))</f>
        <v/>
      </c>
      <c r="G840" s="6">
        <f>IF(B840="","",N(C840)*N(F840))</f>
        <v/>
      </c>
      <c r="H840">
        <f>IF(B840="","",IFERROR(INDEX(Products!$B:$B,MATCH(B840,Products!$A:$A,0)),"SKU not found"))</f>
        <v/>
      </c>
    </row>
    <row r="841">
      <c r="A841" s="7" t="n"/>
      <c r="B841" s="4" t="n"/>
      <c r="C841" s="4" t="n"/>
      <c r="D841" s="4" t="n"/>
      <c r="E841" s="4" t="n"/>
      <c r="F841" s="6">
        <f>IF(B841="","",IFERROR(INDEX(Products!$E:$E,MATCH(B841,Products!$A:$A,0)),0))</f>
        <v/>
      </c>
      <c r="G841" s="6">
        <f>IF(B841="","",N(C841)*N(F841))</f>
        <v/>
      </c>
      <c r="H841">
        <f>IF(B841="","",IFERROR(INDEX(Products!$B:$B,MATCH(B841,Products!$A:$A,0)),"SKU not found"))</f>
        <v/>
      </c>
    </row>
    <row r="842">
      <c r="A842" s="7" t="n"/>
      <c r="B842" s="4" t="n"/>
      <c r="C842" s="4" t="n"/>
      <c r="D842" s="4" t="n"/>
      <c r="E842" s="4" t="n"/>
      <c r="F842" s="6">
        <f>IF(B842="","",IFERROR(INDEX(Products!$E:$E,MATCH(B842,Products!$A:$A,0)),0))</f>
        <v/>
      </c>
      <c r="G842" s="6">
        <f>IF(B842="","",N(C842)*N(F842))</f>
        <v/>
      </c>
      <c r="H842">
        <f>IF(B842="","",IFERROR(INDEX(Products!$B:$B,MATCH(B842,Products!$A:$A,0)),"SKU not found"))</f>
        <v/>
      </c>
    </row>
    <row r="843">
      <c r="A843" s="7" t="n"/>
      <c r="B843" s="4" t="n"/>
      <c r="C843" s="4" t="n"/>
      <c r="D843" s="4" t="n"/>
      <c r="E843" s="4" t="n"/>
      <c r="F843" s="6">
        <f>IF(B843="","",IFERROR(INDEX(Products!$E:$E,MATCH(B843,Products!$A:$A,0)),0))</f>
        <v/>
      </c>
      <c r="G843" s="6">
        <f>IF(B843="","",N(C843)*N(F843))</f>
        <v/>
      </c>
      <c r="H843">
        <f>IF(B843="","",IFERROR(INDEX(Products!$B:$B,MATCH(B843,Products!$A:$A,0)),"SKU not found"))</f>
        <v/>
      </c>
    </row>
    <row r="844">
      <c r="A844" s="7" t="n"/>
      <c r="B844" s="4" t="n"/>
      <c r="C844" s="4" t="n"/>
      <c r="D844" s="4" t="n"/>
      <c r="E844" s="4" t="n"/>
      <c r="F844" s="6">
        <f>IF(B844="","",IFERROR(INDEX(Products!$E:$E,MATCH(B844,Products!$A:$A,0)),0))</f>
        <v/>
      </c>
      <c r="G844" s="6">
        <f>IF(B844="","",N(C844)*N(F844))</f>
        <v/>
      </c>
      <c r="H844">
        <f>IF(B844="","",IFERROR(INDEX(Products!$B:$B,MATCH(B844,Products!$A:$A,0)),"SKU not found"))</f>
        <v/>
      </c>
    </row>
    <row r="845">
      <c r="A845" s="7" t="n"/>
      <c r="B845" s="4" t="n"/>
      <c r="C845" s="4" t="n"/>
      <c r="D845" s="4" t="n"/>
      <c r="E845" s="4" t="n"/>
      <c r="F845" s="6">
        <f>IF(B845="","",IFERROR(INDEX(Products!$E:$E,MATCH(B845,Products!$A:$A,0)),0))</f>
        <v/>
      </c>
      <c r="G845" s="6">
        <f>IF(B845="","",N(C845)*N(F845))</f>
        <v/>
      </c>
      <c r="H845">
        <f>IF(B845="","",IFERROR(INDEX(Products!$B:$B,MATCH(B845,Products!$A:$A,0)),"SKU not found"))</f>
        <v/>
      </c>
    </row>
    <row r="846">
      <c r="A846" s="7" t="n"/>
      <c r="B846" s="4" t="n"/>
      <c r="C846" s="4" t="n"/>
      <c r="D846" s="4" t="n"/>
      <c r="E846" s="4" t="n"/>
      <c r="F846" s="6">
        <f>IF(B846="","",IFERROR(INDEX(Products!$E:$E,MATCH(B846,Products!$A:$A,0)),0))</f>
        <v/>
      </c>
      <c r="G846" s="6">
        <f>IF(B846="","",N(C846)*N(F846))</f>
        <v/>
      </c>
      <c r="H846">
        <f>IF(B846="","",IFERROR(INDEX(Products!$B:$B,MATCH(B846,Products!$A:$A,0)),"SKU not found"))</f>
        <v/>
      </c>
    </row>
    <row r="847">
      <c r="A847" s="7" t="n"/>
      <c r="B847" s="4" t="n"/>
      <c r="C847" s="4" t="n"/>
      <c r="D847" s="4" t="n"/>
      <c r="E847" s="4" t="n"/>
      <c r="F847" s="6">
        <f>IF(B847="","",IFERROR(INDEX(Products!$E:$E,MATCH(B847,Products!$A:$A,0)),0))</f>
        <v/>
      </c>
      <c r="G847" s="6">
        <f>IF(B847="","",N(C847)*N(F847))</f>
        <v/>
      </c>
      <c r="H847">
        <f>IF(B847="","",IFERROR(INDEX(Products!$B:$B,MATCH(B847,Products!$A:$A,0)),"SKU not found"))</f>
        <v/>
      </c>
    </row>
    <row r="848">
      <c r="A848" s="7" t="n"/>
      <c r="B848" s="4" t="n"/>
      <c r="C848" s="4" t="n"/>
      <c r="D848" s="4" t="n"/>
      <c r="E848" s="4" t="n"/>
      <c r="F848" s="6">
        <f>IF(B848="","",IFERROR(INDEX(Products!$E:$E,MATCH(B848,Products!$A:$A,0)),0))</f>
        <v/>
      </c>
      <c r="G848" s="6">
        <f>IF(B848="","",N(C848)*N(F848))</f>
        <v/>
      </c>
      <c r="H848">
        <f>IF(B848="","",IFERROR(INDEX(Products!$B:$B,MATCH(B848,Products!$A:$A,0)),"SKU not found"))</f>
        <v/>
      </c>
    </row>
    <row r="849">
      <c r="A849" s="7" t="n"/>
      <c r="B849" s="4" t="n"/>
      <c r="C849" s="4" t="n"/>
      <c r="D849" s="4" t="n"/>
      <c r="E849" s="4" t="n"/>
      <c r="F849" s="6">
        <f>IF(B849="","",IFERROR(INDEX(Products!$E:$E,MATCH(B849,Products!$A:$A,0)),0))</f>
        <v/>
      </c>
      <c r="G849" s="6">
        <f>IF(B849="","",N(C849)*N(F849))</f>
        <v/>
      </c>
      <c r="H849">
        <f>IF(B849="","",IFERROR(INDEX(Products!$B:$B,MATCH(B849,Products!$A:$A,0)),"SKU not found"))</f>
        <v/>
      </c>
    </row>
    <row r="850">
      <c r="A850" s="7" t="n"/>
      <c r="B850" s="4" t="n"/>
      <c r="C850" s="4" t="n"/>
      <c r="D850" s="4" t="n"/>
      <c r="E850" s="4" t="n"/>
      <c r="F850" s="6">
        <f>IF(B850="","",IFERROR(INDEX(Products!$E:$E,MATCH(B850,Products!$A:$A,0)),0))</f>
        <v/>
      </c>
      <c r="G850" s="6">
        <f>IF(B850="","",N(C850)*N(F850))</f>
        <v/>
      </c>
      <c r="H850">
        <f>IF(B850="","",IFERROR(INDEX(Products!$B:$B,MATCH(B850,Products!$A:$A,0)),"SKU not found"))</f>
        <v/>
      </c>
    </row>
    <row r="851">
      <c r="A851" s="7" t="n"/>
      <c r="B851" s="4" t="n"/>
      <c r="C851" s="4" t="n"/>
      <c r="D851" s="4" t="n"/>
      <c r="E851" s="4" t="n"/>
      <c r="F851" s="6">
        <f>IF(B851="","",IFERROR(INDEX(Products!$E:$E,MATCH(B851,Products!$A:$A,0)),0))</f>
        <v/>
      </c>
      <c r="G851" s="6">
        <f>IF(B851="","",N(C851)*N(F851))</f>
        <v/>
      </c>
      <c r="H851">
        <f>IF(B851="","",IFERROR(INDEX(Products!$B:$B,MATCH(B851,Products!$A:$A,0)),"SKU not found"))</f>
        <v/>
      </c>
    </row>
    <row r="852">
      <c r="A852" s="7" t="n"/>
      <c r="B852" s="4" t="n"/>
      <c r="C852" s="4" t="n"/>
      <c r="D852" s="4" t="n"/>
      <c r="E852" s="4" t="n"/>
      <c r="F852" s="6">
        <f>IF(B852="","",IFERROR(INDEX(Products!$E:$E,MATCH(B852,Products!$A:$A,0)),0))</f>
        <v/>
      </c>
      <c r="G852" s="6">
        <f>IF(B852="","",N(C852)*N(F852))</f>
        <v/>
      </c>
      <c r="H852">
        <f>IF(B852="","",IFERROR(INDEX(Products!$B:$B,MATCH(B852,Products!$A:$A,0)),"SKU not found"))</f>
        <v/>
      </c>
    </row>
    <row r="853">
      <c r="A853" s="7" t="n"/>
      <c r="B853" s="4" t="n"/>
      <c r="C853" s="4" t="n"/>
      <c r="D853" s="4" t="n"/>
      <c r="E853" s="4" t="n"/>
      <c r="F853" s="6">
        <f>IF(B853="","",IFERROR(INDEX(Products!$E:$E,MATCH(B853,Products!$A:$A,0)),0))</f>
        <v/>
      </c>
      <c r="G853" s="6">
        <f>IF(B853="","",N(C853)*N(F853))</f>
        <v/>
      </c>
      <c r="H853">
        <f>IF(B853="","",IFERROR(INDEX(Products!$B:$B,MATCH(B853,Products!$A:$A,0)),"SKU not found"))</f>
        <v/>
      </c>
    </row>
    <row r="854">
      <c r="A854" s="7" t="n"/>
      <c r="B854" s="4" t="n"/>
      <c r="C854" s="4" t="n"/>
      <c r="D854" s="4" t="n"/>
      <c r="E854" s="4" t="n"/>
      <c r="F854" s="6">
        <f>IF(B854="","",IFERROR(INDEX(Products!$E:$E,MATCH(B854,Products!$A:$A,0)),0))</f>
        <v/>
      </c>
      <c r="G854" s="6">
        <f>IF(B854="","",N(C854)*N(F854))</f>
        <v/>
      </c>
      <c r="H854">
        <f>IF(B854="","",IFERROR(INDEX(Products!$B:$B,MATCH(B854,Products!$A:$A,0)),"SKU not found"))</f>
        <v/>
      </c>
    </row>
    <row r="855">
      <c r="A855" s="7" t="n"/>
      <c r="B855" s="4" t="n"/>
      <c r="C855" s="4" t="n"/>
      <c r="D855" s="4" t="n"/>
      <c r="E855" s="4" t="n"/>
      <c r="F855" s="6">
        <f>IF(B855="","",IFERROR(INDEX(Products!$E:$E,MATCH(B855,Products!$A:$A,0)),0))</f>
        <v/>
      </c>
      <c r="G855" s="6">
        <f>IF(B855="","",N(C855)*N(F855))</f>
        <v/>
      </c>
      <c r="H855">
        <f>IF(B855="","",IFERROR(INDEX(Products!$B:$B,MATCH(B855,Products!$A:$A,0)),"SKU not found"))</f>
        <v/>
      </c>
    </row>
    <row r="856">
      <c r="A856" s="7" t="n"/>
      <c r="B856" s="4" t="n"/>
      <c r="C856" s="4" t="n"/>
      <c r="D856" s="4" t="n"/>
      <c r="E856" s="4" t="n"/>
      <c r="F856" s="6">
        <f>IF(B856="","",IFERROR(INDEX(Products!$E:$E,MATCH(B856,Products!$A:$A,0)),0))</f>
        <v/>
      </c>
      <c r="G856" s="6">
        <f>IF(B856="","",N(C856)*N(F856))</f>
        <v/>
      </c>
      <c r="H856">
        <f>IF(B856="","",IFERROR(INDEX(Products!$B:$B,MATCH(B856,Products!$A:$A,0)),"SKU not found"))</f>
        <v/>
      </c>
    </row>
    <row r="857">
      <c r="A857" s="7" t="n"/>
      <c r="B857" s="4" t="n"/>
      <c r="C857" s="4" t="n"/>
      <c r="D857" s="4" t="n"/>
      <c r="E857" s="4" t="n"/>
      <c r="F857" s="6">
        <f>IF(B857="","",IFERROR(INDEX(Products!$E:$E,MATCH(B857,Products!$A:$A,0)),0))</f>
        <v/>
      </c>
      <c r="G857" s="6">
        <f>IF(B857="","",N(C857)*N(F857))</f>
        <v/>
      </c>
      <c r="H857">
        <f>IF(B857="","",IFERROR(INDEX(Products!$B:$B,MATCH(B857,Products!$A:$A,0)),"SKU not found"))</f>
        <v/>
      </c>
    </row>
    <row r="858">
      <c r="A858" s="7" t="n"/>
      <c r="B858" s="4" t="n"/>
      <c r="C858" s="4" t="n"/>
      <c r="D858" s="4" t="n"/>
      <c r="E858" s="4" t="n"/>
      <c r="F858" s="6">
        <f>IF(B858="","",IFERROR(INDEX(Products!$E:$E,MATCH(B858,Products!$A:$A,0)),0))</f>
        <v/>
      </c>
      <c r="G858" s="6">
        <f>IF(B858="","",N(C858)*N(F858))</f>
        <v/>
      </c>
      <c r="H858">
        <f>IF(B858="","",IFERROR(INDEX(Products!$B:$B,MATCH(B858,Products!$A:$A,0)),"SKU not found"))</f>
        <v/>
      </c>
    </row>
    <row r="859">
      <c r="A859" s="7" t="n"/>
      <c r="B859" s="4" t="n"/>
      <c r="C859" s="4" t="n"/>
      <c r="D859" s="4" t="n"/>
      <c r="E859" s="4" t="n"/>
      <c r="F859" s="6">
        <f>IF(B859="","",IFERROR(INDEX(Products!$E:$E,MATCH(B859,Products!$A:$A,0)),0))</f>
        <v/>
      </c>
      <c r="G859" s="6">
        <f>IF(B859="","",N(C859)*N(F859))</f>
        <v/>
      </c>
      <c r="H859">
        <f>IF(B859="","",IFERROR(INDEX(Products!$B:$B,MATCH(B859,Products!$A:$A,0)),"SKU not found"))</f>
        <v/>
      </c>
    </row>
    <row r="860">
      <c r="A860" s="7" t="n"/>
      <c r="B860" s="4" t="n"/>
      <c r="C860" s="4" t="n"/>
      <c r="D860" s="4" t="n"/>
      <c r="E860" s="4" t="n"/>
      <c r="F860" s="6">
        <f>IF(B860="","",IFERROR(INDEX(Products!$E:$E,MATCH(B860,Products!$A:$A,0)),0))</f>
        <v/>
      </c>
      <c r="G860" s="6">
        <f>IF(B860="","",N(C860)*N(F860))</f>
        <v/>
      </c>
      <c r="H860">
        <f>IF(B860="","",IFERROR(INDEX(Products!$B:$B,MATCH(B860,Products!$A:$A,0)),"SKU not found"))</f>
        <v/>
      </c>
    </row>
    <row r="861">
      <c r="A861" s="7" t="n"/>
      <c r="B861" s="4" t="n"/>
      <c r="C861" s="4" t="n"/>
      <c r="D861" s="4" t="n"/>
      <c r="E861" s="4" t="n"/>
      <c r="F861" s="6">
        <f>IF(B861="","",IFERROR(INDEX(Products!$E:$E,MATCH(B861,Products!$A:$A,0)),0))</f>
        <v/>
      </c>
      <c r="G861" s="6">
        <f>IF(B861="","",N(C861)*N(F861))</f>
        <v/>
      </c>
      <c r="H861">
        <f>IF(B861="","",IFERROR(INDEX(Products!$B:$B,MATCH(B861,Products!$A:$A,0)),"SKU not found"))</f>
        <v/>
      </c>
    </row>
    <row r="862">
      <c r="A862" s="7" t="n"/>
      <c r="B862" s="4" t="n"/>
      <c r="C862" s="4" t="n"/>
      <c r="D862" s="4" t="n"/>
      <c r="E862" s="4" t="n"/>
      <c r="F862" s="6">
        <f>IF(B862="","",IFERROR(INDEX(Products!$E:$E,MATCH(B862,Products!$A:$A,0)),0))</f>
        <v/>
      </c>
      <c r="G862" s="6">
        <f>IF(B862="","",N(C862)*N(F862))</f>
        <v/>
      </c>
      <c r="H862">
        <f>IF(B862="","",IFERROR(INDEX(Products!$B:$B,MATCH(B862,Products!$A:$A,0)),"SKU not found"))</f>
        <v/>
      </c>
    </row>
    <row r="863">
      <c r="A863" s="7" t="n"/>
      <c r="B863" s="4" t="n"/>
      <c r="C863" s="4" t="n"/>
      <c r="D863" s="4" t="n"/>
      <c r="E863" s="4" t="n"/>
      <c r="F863" s="6">
        <f>IF(B863="","",IFERROR(INDEX(Products!$E:$E,MATCH(B863,Products!$A:$A,0)),0))</f>
        <v/>
      </c>
      <c r="G863" s="6">
        <f>IF(B863="","",N(C863)*N(F863))</f>
        <v/>
      </c>
      <c r="H863">
        <f>IF(B863="","",IFERROR(INDEX(Products!$B:$B,MATCH(B863,Products!$A:$A,0)),"SKU not found"))</f>
        <v/>
      </c>
    </row>
    <row r="864">
      <c r="A864" s="7" t="n"/>
      <c r="B864" s="4" t="n"/>
      <c r="C864" s="4" t="n"/>
      <c r="D864" s="4" t="n"/>
      <c r="E864" s="4" t="n"/>
      <c r="F864" s="6">
        <f>IF(B864="","",IFERROR(INDEX(Products!$E:$E,MATCH(B864,Products!$A:$A,0)),0))</f>
        <v/>
      </c>
      <c r="G864" s="6">
        <f>IF(B864="","",N(C864)*N(F864))</f>
        <v/>
      </c>
      <c r="H864">
        <f>IF(B864="","",IFERROR(INDEX(Products!$B:$B,MATCH(B864,Products!$A:$A,0)),"SKU not found"))</f>
        <v/>
      </c>
    </row>
    <row r="865">
      <c r="A865" s="7" t="n"/>
      <c r="B865" s="4" t="n"/>
      <c r="C865" s="4" t="n"/>
      <c r="D865" s="4" t="n"/>
      <c r="E865" s="4" t="n"/>
      <c r="F865" s="6">
        <f>IF(B865="","",IFERROR(INDEX(Products!$E:$E,MATCH(B865,Products!$A:$A,0)),0))</f>
        <v/>
      </c>
      <c r="G865" s="6">
        <f>IF(B865="","",N(C865)*N(F865))</f>
        <v/>
      </c>
      <c r="H865">
        <f>IF(B865="","",IFERROR(INDEX(Products!$B:$B,MATCH(B865,Products!$A:$A,0)),"SKU not found"))</f>
        <v/>
      </c>
    </row>
    <row r="866">
      <c r="A866" s="7" t="n"/>
      <c r="B866" s="4" t="n"/>
      <c r="C866" s="4" t="n"/>
      <c r="D866" s="4" t="n"/>
      <c r="E866" s="4" t="n"/>
      <c r="F866" s="6">
        <f>IF(B866="","",IFERROR(INDEX(Products!$E:$E,MATCH(B866,Products!$A:$A,0)),0))</f>
        <v/>
      </c>
      <c r="G866" s="6">
        <f>IF(B866="","",N(C866)*N(F866))</f>
        <v/>
      </c>
      <c r="H866">
        <f>IF(B866="","",IFERROR(INDEX(Products!$B:$B,MATCH(B866,Products!$A:$A,0)),"SKU not found"))</f>
        <v/>
      </c>
    </row>
    <row r="867">
      <c r="A867" s="7" t="n"/>
      <c r="B867" s="4" t="n"/>
      <c r="C867" s="4" t="n"/>
      <c r="D867" s="4" t="n"/>
      <c r="E867" s="4" t="n"/>
      <c r="F867" s="6">
        <f>IF(B867="","",IFERROR(INDEX(Products!$E:$E,MATCH(B867,Products!$A:$A,0)),0))</f>
        <v/>
      </c>
      <c r="G867" s="6">
        <f>IF(B867="","",N(C867)*N(F867))</f>
        <v/>
      </c>
      <c r="H867">
        <f>IF(B867="","",IFERROR(INDEX(Products!$B:$B,MATCH(B867,Products!$A:$A,0)),"SKU not found"))</f>
        <v/>
      </c>
    </row>
    <row r="868">
      <c r="A868" s="7" t="n"/>
      <c r="B868" s="4" t="n"/>
      <c r="C868" s="4" t="n"/>
      <c r="D868" s="4" t="n"/>
      <c r="E868" s="4" t="n"/>
      <c r="F868" s="6">
        <f>IF(B868="","",IFERROR(INDEX(Products!$E:$E,MATCH(B868,Products!$A:$A,0)),0))</f>
        <v/>
      </c>
      <c r="G868" s="6">
        <f>IF(B868="","",N(C868)*N(F868))</f>
        <v/>
      </c>
      <c r="H868">
        <f>IF(B868="","",IFERROR(INDEX(Products!$B:$B,MATCH(B868,Products!$A:$A,0)),"SKU not found"))</f>
        <v/>
      </c>
    </row>
    <row r="869">
      <c r="A869" s="7" t="n"/>
      <c r="B869" s="4" t="n"/>
      <c r="C869" s="4" t="n"/>
      <c r="D869" s="4" t="n"/>
      <c r="E869" s="4" t="n"/>
      <c r="F869" s="6">
        <f>IF(B869="","",IFERROR(INDEX(Products!$E:$E,MATCH(B869,Products!$A:$A,0)),0))</f>
        <v/>
      </c>
      <c r="G869" s="6">
        <f>IF(B869="","",N(C869)*N(F869))</f>
        <v/>
      </c>
      <c r="H869">
        <f>IF(B869="","",IFERROR(INDEX(Products!$B:$B,MATCH(B869,Products!$A:$A,0)),"SKU not found"))</f>
        <v/>
      </c>
    </row>
    <row r="870">
      <c r="A870" s="7" t="n"/>
      <c r="B870" s="4" t="n"/>
      <c r="C870" s="4" t="n"/>
      <c r="D870" s="4" t="n"/>
      <c r="E870" s="4" t="n"/>
      <c r="F870" s="6">
        <f>IF(B870="","",IFERROR(INDEX(Products!$E:$E,MATCH(B870,Products!$A:$A,0)),0))</f>
        <v/>
      </c>
      <c r="G870" s="6">
        <f>IF(B870="","",N(C870)*N(F870))</f>
        <v/>
      </c>
      <c r="H870">
        <f>IF(B870="","",IFERROR(INDEX(Products!$B:$B,MATCH(B870,Products!$A:$A,0)),"SKU not found"))</f>
        <v/>
      </c>
    </row>
    <row r="871">
      <c r="A871" s="7" t="n"/>
      <c r="B871" s="4" t="n"/>
      <c r="C871" s="4" t="n"/>
      <c r="D871" s="4" t="n"/>
      <c r="E871" s="4" t="n"/>
      <c r="F871" s="6">
        <f>IF(B871="","",IFERROR(INDEX(Products!$E:$E,MATCH(B871,Products!$A:$A,0)),0))</f>
        <v/>
      </c>
      <c r="G871" s="6">
        <f>IF(B871="","",N(C871)*N(F871))</f>
        <v/>
      </c>
      <c r="H871">
        <f>IF(B871="","",IFERROR(INDEX(Products!$B:$B,MATCH(B871,Products!$A:$A,0)),"SKU not found"))</f>
        <v/>
      </c>
    </row>
    <row r="872">
      <c r="A872" s="7" t="n"/>
      <c r="B872" s="4" t="n"/>
      <c r="C872" s="4" t="n"/>
      <c r="D872" s="4" t="n"/>
      <c r="E872" s="4" t="n"/>
      <c r="F872" s="6">
        <f>IF(B872="","",IFERROR(INDEX(Products!$E:$E,MATCH(B872,Products!$A:$A,0)),0))</f>
        <v/>
      </c>
      <c r="G872" s="6">
        <f>IF(B872="","",N(C872)*N(F872))</f>
        <v/>
      </c>
      <c r="H872">
        <f>IF(B872="","",IFERROR(INDEX(Products!$B:$B,MATCH(B872,Products!$A:$A,0)),"SKU not found"))</f>
        <v/>
      </c>
    </row>
    <row r="873">
      <c r="A873" s="7" t="n"/>
      <c r="B873" s="4" t="n"/>
      <c r="C873" s="4" t="n"/>
      <c r="D873" s="4" t="n"/>
      <c r="E873" s="4" t="n"/>
      <c r="F873" s="6">
        <f>IF(B873="","",IFERROR(INDEX(Products!$E:$E,MATCH(B873,Products!$A:$A,0)),0))</f>
        <v/>
      </c>
      <c r="G873" s="6">
        <f>IF(B873="","",N(C873)*N(F873))</f>
        <v/>
      </c>
      <c r="H873">
        <f>IF(B873="","",IFERROR(INDEX(Products!$B:$B,MATCH(B873,Products!$A:$A,0)),"SKU not found"))</f>
        <v/>
      </c>
    </row>
    <row r="874">
      <c r="A874" s="7" t="n"/>
      <c r="B874" s="4" t="n"/>
      <c r="C874" s="4" t="n"/>
      <c r="D874" s="4" t="n"/>
      <c r="E874" s="4" t="n"/>
      <c r="F874" s="6">
        <f>IF(B874="","",IFERROR(INDEX(Products!$E:$E,MATCH(B874,Products!$A:$A,0)),0))</f>
        <v/>
      </c>
      <c r="G874" s="6">
        <f>IF(B874="","",N(C874)*N(F874))</f>
        <v/>
      </c>
      <c r="H874">
        <f>IF(B874="","",IFERROR(INDEX(Products!$B:$B,MATCH(B874,Products!$A:$A,0)),"SKU not found"))</f>
        <v/>
      </c>
    </row>
    <row r="875">
      <c r="A875" s="7" t="n"/>
      <c r="B875" s="4" t="n"/>
      <c r="C875" s="4" t="n"/>
      <c r="D875" s="4" t="n"/>
      <c r="E875" s="4" t="n"/>
      <c r="F875" s="6">
        <f>IF(B875="","",IFERROR(INDEX(Products!$E:$E,MATCH(B875,Products!$A:$A,0)),0))</f>
        <v/>
      </c>
      <c r="G875" s="6">
        <f>IF(B875="","",N(C875)*N(F875))</f>
        <v/>
      </c>
      <c r="H875">
        <f>IF(B875="","",IFERROR(INDEX(Products!$B:$B,MATCH(B875,Products!$A:$A,0)),"SKU not found"))</f>
        <v/>
      </c>
    </row>
    <row r="876">
      <c r="A876" s="7" t="n"/>
      <c r="B876" s="4" t="n"/>
      <c r="C876" s="4" t="n"/>
      <c r="D876" s="4" t="n"/>
      <c r="E876" s="4" t="n"/>
      <c r="F876" s="6">
        <f>IF(B876="","",IFERROR(INDEX(Products!$E:$E,MATCH(B876,Products!$A:$A,0)),0))</f>
        <v/>
      </c>
      <c r="G876" s="6">
        <f>IF(B876="","",N(C876)*N(F876))</f>
        <v/>
      </c>
      <c r="H876">
        <f>IF(B876="","",IFERROR(INDEX(Products!$B:$B,MATCH(B876,Products!$A:$A,0)),"SKU not found"))</f>
        <v/>
      </c>
    </row>
    <row r="877">
      <c r="A877" s="7" t="n"/>
      <c r="B877" s="4" t="n"/>
      <c r="C877" s="4" t="n"/>
      <c r="D877" s="4" t="n"/>
      <c r="E877" s="4" t="n"/>
      <c r="F877" s="6">
        <f>IF(B877="","",IFERROR(INDEX(Products!$E:$E,MATCH(B877,Products!$A:$A,0)),0))</f>
        <v/>
      </c>
      <c r="G877" s="6">
        <f>IF(B877="","",N(C877)*N(F877))</f>
        <v/>
      </c>
      <c r="H877">
        <f>IF(B877="","",IFERROR(INDEX(Products!$B:$B,MATCH(B877,Products!$A:$A,0)),"SKU not found"))</f>
        <v/>
      </c>
    </row>
    <row r="878">
      <c r="A878" s="7" t="n"/>
      <c r="B878" s="4" t="n"/>
      <c r="C878" s="4" t="n"/>
      <c r="D878" s="4" t="n"/>
      <c r="E878" s="4" t="n"/>
      <c r="F878" s="6">
        <f>IF(B878="","",IFERROR(INDEX(Products!$E:$E,MATCH(B878,Products!$A:$A,0)),0))</f>
        <v/>
      </c>
      <c r="G878" s="6">
        <f>IF(B878="","",N(C878)*N(F878))</f>
        <v/>
      </c>
      <c r="H878">
        <f>IF(B878="","",IFERROR(INDEX(Products!$B:$B,MATCH(B878,Products!$A:$A,0)),"SKU not found"))</f>
        <v/>
      </c>
    </row>
    <row r="879">
      <c r="A879" s="7" t="n"/>
      <c r="B879" s="4" t="n"/>
      <c r="C879" s="4" t="n"/>
      <c r="D879" s="4" t="n"/>
      <c r="E879" s="4" t="n"/>
      <c r="F879" s="6">
        <f>IF(B879="","",IFERROR(INDEX(Products!$E:$E,MATCH(B879,Products!$A:$A,0)),0))</f>
        <v/>
      </c>
      <c r="G879" s="6">
        <f>IF(B879="","",N(C879)*N(F879))</f>
        <v/>
      </c>
      <c r="H879">
        <f>IF(B879="","",IFERROR(INDEX(Products!$B:$B,MATCH(B879,Products!$A:$A,0)),"SKU not found"))</f>
        <v/>
      </c>
    </row>
    <row r="880">
      <c r="A880" s="7" t="n"/>
      <c r="B880" s="4" t="n"/>
      <c r="C880" s="4" t="n"/>
      <c r="D880" s="4" t="n"/>
      <c r="E880" s="4" t="n"/>
      <c r="F880" s="6">
        <f>IF(B880="","",IFERROR(INDEX(Products!$E:$E,MATCH(B880,Products!$A:$A,0)),0))</f>
        <v/>
      </c>
      <c r="G880" s="6">
        <f>IF(B880="","",N(C880)*N(F880))</f>
        <v/>
      </c>
      <c r="H880">
        <f>IF(B880="","",IFERROR(INDEX(Products!$B:$B,MATCH(B880,Products!$A:$A,0)),"SKU not found"))</f>
        <v/>
      </c>
    </row>
    <row r="881">
      <c r="A881" s="7" t="n"/>
      <c r="B881" s="4" t="n"/>
      <c r="C881" s="4" t="n"/>
      <c r="D881" s="4" t="n"/>
      <c r="E881" s="4" t="n"/>
      <c r="F881" s="6">
        <f>IF(B881="","",IFERROR(INDEX(Products!$E:$E,MATCH(B881,Products!$A:$A,0)),0))</f>
        <v/>
      </c>
      <c r="G881" s="6">
        <f>IF(B881="","",N(C881)*N(F881))</f>
        <v/>
      </c>
      <c r="H881">
        <f>IF(B881="","",IFERROR(INDEX(Products!$B:$B,MATCH(B881,Products!$A:$A,0)),"SKU not found"))</f>
        <v/>
      </c>
    </row>
    <row r="882">
      <c r="A882" s="7" t="n"/>
      <c r="B882" s="4" t="n"/>
      <c r="C882" s="4" t="n"/>
      <c r="D882" s="4" t="n"/>
      <c r="E882" s="4" t="n"/>
      <c r="F882" s="6">
        <f>IF(B882="","",IFERROR(INDEX(Products!$E:$E,MATCH(B882,Products!$A:$A,0)),0))</f>
        <v/>
      </c>
      <c r="G882" s="6">
        <f>IF(B882="","",N(C882)*N(F882))</f>
        <v/>
      </c>
      <c r="H882">
        <f>IF(B882="","",IFERROR(INDEX(Products!$B:$B,MATCH(B882,Products!$A:$A,0)),"SKU not found"))</f>
        <v/>
      </c>
    </row>
    <row r="883">
      <c r="A883" s="7" t="n"/>
      <c r="B883" s="4" t="n"/>
      <c r="C883" s="4" t="n"/>
      <c r="D883" s="4" t="n"/>
      <c r="E883" s="4" t="n"/>
      <c r="F883" s="6">
        <f>IF(B883="","",IFERROR(INDEX(Products!$E:$E,MATCH(B883,Products!$A:$A,0)),0))</f>
        <v/>
      </c>
      <c r="G883" s="6">
        <f>IF(B883="","",N(C883)*N(F883))</f>
        <v/>
      </c>
      <c r="H883">
        <f>IF(B883="","",IFERROR(INDEX(Products!$B:$B,MATCH(B883,Products!$A:$A,0)),"SKU not found"))</f>
        <v/>
      </c>
    </row>
    <row r="884">
      <c r="A884" s="7" t="n"/>
      <c r="B884" s="4" t="n"/>
      <c r="C884" s="4" t="n"/>
      <c r="D884" s="4" t="n"/>
      <c r="E884" s="4" t="n"/>
      <c r="F884" s="6">
        <f>IF(B884="","",IFERROR(INDEX(Products!$E:$E,MATCH(B884,Products!$A:$A,0)),0))</f>
        <v/>
      </c>
      <c r="G884" s="6">
        <f>IF(B884="","",N(C884)*N(F884))</f>
        <v/>
      </c>
      <c r="H884">
        <f>IF(B884="","",IFERROR(INDEX(Products!$B:$B,MATCH(B884,Products!$A:$A,0)),"SKU not found"))</f>
        <v/>
      </c>
    </row>
    <row r="885">
      <c r="A885" s="7" t="n"/>
      <c r="B885" s="4" t="n"/>
      <c r="C885" s="4" t="n"/>
      <c r="D885" s="4" t="n"/>
      <c r="E885" s="4" t="n"/>
      <c r="F885" s="6">
        <f>IF(B885="","",IFERROR(INDEX(Products!$E:$E,MATCH(B885,Products!$A:$A,0)),0))</f>
        <v/>
      </c>
      <c r="G885" s="6">
        <f>IF(B885="","",N(C885)*N(F885))</f>
        <v/>
      </c>
      <c r="H885">
        <f>IF(B885="","",IFERROR(INDEX(Products!$B:$B,MATCH(B885,Products!$A:$A,0)),"SKU not found"))</f>
        <v/>
      </c>
    </row>
    <row r="886">
      <c r="A886" s="7" t="n"/>
      <c r="B886" s="4" t="n"/>
      <c r="C886" s="4" t="n"/>
      <c r="D886" s="4" t="n"/>
      <c r="E886" s="4" t="n"/>
      <c r="F886" s="6">
        <f>IF(B886="","",IFERROR(INDEX(Products!$E:$E,MATCH(B886,Products!$A:$A,0)),0))</f>
        <v/>
      </c>
      <c r="G886" s="6">
        <f>IF(B886="","",N(C886)*N(F886))</f>
        <v/>
      </c>
      <c r="H886">
        <f>IF(B886="","",IFERROR(INDEX(Products!$B:$B,MATCH(B886,Products!$A:$A,0)),"SKU not found"))</f>
        <v/>
      </c>
    </row>
    <row r="887">
      <c r="A887" s="7" t="n"/>
      <c r="B887" s="4" t="n"/>
      <c r="C887" s="4" t="n"/>
      <c r="D887" s="4" t="n"/>
      <c r="E887" s="4" t="n"/>
      <c r="F887" s="6">
        <f>IF(B887="","",IFERROR(INDEX(Products!$E:$E,MATCH(B887,Products!$A:$A,0)),0))</f>
        <v/>
      </c>
      <c r="G887" s="6">
        <f>IF(B887="","",N(C887)*N(F887))</f>
        <v/>
      </c>
      <c r="H887">
        <f>IF(B887="","",IFERROR(INDEX(Products!$B:$B,MATCH(B887,Products!$A:$A,0)),"SKU not found"))</f>
        <v/>
      </c>
    </row>
    <row r="888">
      <c r="A888" s="7" t="n"/>
      <c r="B888" s="4" t="n"/>
      <c r="C888" s="4" t="n"/>
      <c r="D888" s="4" t="n"/>
      <c r="E888" s="4" t="n"/>
      <c r="F888" s="6">
        <f>IF(B888="","",IFERROR(INDEX(Products!$E:$E,MATCH(B888,Products!$A:$A,0)),0))</f>
        <v/>
      </c>
      <c r="G888" s="6">
        <f>IF(B888="","",N(C888)*N(F888))</f>
        <v/>
      </c>
      <c r="H888">
        <f>IF(B888="","",IFERROR(INDEX(Products!$B:$B,MATCH(B888,Products!$A:$A,0)),"SKU not found"))</f>
        <v/>
      </c>
    </row>
    <row r="889">
      <c r="A889" s="7" t="n"/>
      <c r="B889" s="4" t="n"/>
      <c r="C889" s="4" t="n"/>
      <c r="D889" s="4" t="n"/>
      <c r="E889" s="4" t="n"/>
      <c r="F889" s="6">
        <f>IF(B889="","",IFERROR(INDEX(Products!$E:$E,MATCH(B889,Products!$A:$A,0)),0))</f>
        <v/>
      </c>
      <c r="G889" s="6">
        <f>IF(B889="","",N(C889)*N(F889))</f>
        <v/>
      </c>
      <c r="H889">
        <f>IF(B889="","",IFERROR(INDEX(Products!$B:$B,MATCH(B889,Products!$A:$A,0)),"SKU not found"))</f>
        <v/>
      </c>
    </row>
    <row r="890">
      <c r="A890" s="7" t="n"/>
      <c r="B890" s="4" t="n"/>
      <c r="C890" s="4" t="n"/>
      <c r="D890" s="4" t="n"/>
      <c r="E890" s="4" t="n"/>
      <c r="F890" s="6">
        <f>IF(B890="","",IFERROR(INDEX(Products!$E:$E,MATCH(B890,Products!$A:$A,0)),0))</f>
        <v/>
      </c>
      <c r="G890" s="6">
        <f>IF(B890="","",N(C890)*N(F890))</f>
        <v/>
      </c>
      <c r="H890">
        <f>IF(B890="","",IFERROR(INDEX(Products!$B:$B,MATCH(B890,Products!$A:$A,0)),"SKU not found"))</f>
        <v/>
      </c>
    </row>
    <row r="891">
      <c r="A891" s="7" t="n"/>
      <c r="B891" s="4" t="n"/>
      <c r="C891" s="4" t="n"/>
      <c r="D891" s="4" t="n"/>
      <c r="E891" s="4" t="n"/>
      <c r="F891" s="6">
        <f>IF(B891="","",IFERROR(INDEX(Products!$E:$E,MATCH(B891,Products!$A:$A,0)),0))</f>
        <v/>
      </c>
      <c r="G891" s="6">
        <f>IF(B891="","",N(C891)*N(F891))</f>
        <v/>
      </c>
      <c r="H891">
        <f>IF(B891="","",IFERROR(INDEX(Products!$B:$B,MATCH(B891,Products!$A:$A,0)),"SKU not found"))</f>
        <v/>
      </c>
    </row>
    <row r="892">
      <c r="A892" s="7" t="n"/>
      <c r="B892" s="4" t="n"/>
      <c r="C892" s="4" t="n"/>
      <c r="D892" s="4" t="n"/>
      <c r="E892" s="4" t="n"/>
      <c r="F892" s="6">
        <f>IF(B892="","",IFERROR(INDEX(Products!$E:$E,MATCH(B892,Products!$A:$A,0)),0))</f>
        <v/>
      </c>
      <c r="G892" s="6">
        <f>IF(B892="","",N(C892)*N(F892))</f>
        <v/>
      </c>
      <c r="H892">
        <f>IF(B892="","",IFERROR(INDEX(Products!$B:$B,MATCH(B892,Products!$A:$A,0)),"SKU not found"))</f>
        <v/>
      </c>
    </row>
    <row r="893">
      <c r="A893" s="7" t="n"/>
      <c r="B893" s="4" t="n"/>
      <c r="C893" s="4" t="n"/>
      <c r="D893" s="4" t="n"/>
      <c r="E893" s="4" t="n"/>
      <c r="F893" s="6">
        <f>IF(B893="","",IFERROR(INDEX(Products!$E:$E,MATCH(B893,Products!$A:$A,0)),0))</f>
        <v/>
      </c>
      <c r="G893" s="6">
        <f>IF(B893="","",N(C893)*N(F893))</f>
        <v/>
      </c>
      <c r="H893">
        <f>IF(B893="","",IFERROR(INDEX(Products!$B:$B,MATCH(B893,Products!$A:$A,0)),"SKU not found"))</f>
        <v/>
      </c>
    </row>
    <row r="894">
      <c r="A894" s="7" t="n"/>
      <c r="B894" s="4" t="n"/>
      <c r="C894" s="4" t="n"/>
      <c r="D894" s="4" t="n"/>
      <c r="E894" s="4" t="n"/>
      <c r="F894" s="6">
        <f>IF(B894="","",IFERROR(INDEX(Products!$E:$E,MATCH(B894,Products!$A:$A,0)),0))</f>
        <v/>
      </c>
      <c r="G894" s="6">
        <f>IF(B894="","",N(C894)*N(F894))</f>
        <v/>
      </c>
      <c r="H894">
        <f>IF(B894="","",IFERROR(INDEX(Products!$B:$B,MATCH(B894,Products!$A:$A,0)),"SKU not found"))</f>
        <v/>
      </c>
    </row>
    <row r="895">
      <c r="A895" s="7" t="n"/>
      <c r="B895" s="4" t="n"/>
      <c r="C895" s="4" t="n"/>
      <c r="D895" s="4" t="n"/>
      <c r="E895" s="4" t="n"/>
      <c r="F895" s="6">
        <f>IF(B895="","",IFERROR(INDEX(Products!$E:$E,MATCH(B895,Products!$A:$A,0)),0))</f>
        <v/>
      </c>
      <c r="G895" s="6">
        <f>IF(B895="","",N(C895)*N(F895))</f>
        <v/>
      </c>
      <c r="H895">
        <f>IF(B895="","",IFERROR(INDEX(Products!$B:$B,MATCH(B895,Products!$A:$A,0)),"SKU not found"))</f>
        <v/>
      </c>
    </row>
    <row r="896">
      <c r="A896" s="7" t="n"/>
      <c r="B896" s="4" t="n"/>
      <c r="C896" s="4" t="n"/>
      <c r="D896" s="4" t="n"/>
      <c r="E896" s="4" t="n"/>
      <c r="F896" s="6">
        <f>IF(B896="","",IFERROR(INDEX(Products!$E:$E,MATCH(B896,Products!$A:$A,0)),0))</f>
        <v/>
      </c>
      <c r="G896" s="6">
        <f>IF(B896="","",N(C896)*N(F896))</f>
        <v/>
      </c>
      <c r="H896">
        <f>IF(B896="","",IFERROR(INDEX(Products!$B:$B,MATCH(B896,Products!$A:$A,0)),"SKU not found"))</f>
        <v/>
      </c>
    </row>
    <row r="897">
      <c r="A897" s="7" t="n"/>
      <c r="B897" s="4" t="n"/>
      <c r="C897" s="4" t="n"/>
      <c r="D897" s="4" t="n"/>
      <c r="E897" s="4" t="n"/>
      <c r="F897" s="6">
        <f>IF(B897="","",IFERROR(INDEX(Products!$E:$E,MATCH(B897,Products!$A:$A,0)),0))</f>
        <v/>
      </c>
      <c r="G897" s="6">
        <f>IF(B897="","",N(C897)*N(F897))</f>
        <v/>
      </c>
      <c r="H897">
        <f>IF(B897="","",IFERROR(INDEX(Products!$B:$B,MATCH(B897,Products!$A:$A,0)),"SKU not found"))</f>
        <v/>
      </c>
    </row>
    <row r="898">
      <c r="A898" s="7" t="n"/>
      <c r="B898" s="4" t="n"/>
      <c r="C898" s="4" t="n"/>
      <c r="D898" s="4" t="n"/>
      <c r="E898" s="4" t="n"/>
      <c r="F898" s="6">
        <f>IF(B898="","",IFERROR(INDEX(Products!$E:$E,MATCH(B898,Products!$A:$A,0)),0))</f>
        <v/>
      </c>
      <c r="G898" s="6">
        <f>IF(B898="","",N(C898)*N(F898))</f>
        <v/>
      </c>
      <c r="H898">
        <f>IF(B898="","",IFERROR(INDEX(Products!$B:$B,MATCH(B898,Products!$A:$A,0)),"SKU not found"))</f>
        <v/>
      </c>
    </row>
    <row r="899">
      <c r="A899" s="7" t="n"/>
      <c r="B899" s="4" t="n"/>
      <c r="C899" s="4" t="n"/>
      <c r="D899" s="4" t="n"/>
      <c r="E899" s="4" t="n"/>
      <c r="F899" s="6">
        <f>IF(B899="","",IFERROR(INDEX(Products!$E:$E,MATCH(B899,Products!$A:$A,0)),0))</f>
        <v/>
      </c>
      <c r="G899" s="6">
        <f>IF(B899="","",N(C899)*N(F899))</f>
        <v/>
      </c>
      <c r="H899">
        <f>IF(B899="","",IFERROR(INDEX(Products!$B:$B,MATCH(B899,Products!$A:$A,0)),"SKU not found"))</f>
        <v/>
      </c>
    </row>
    <row r="900">
      <c r="A900" s="7" t="n"/>
      <c r="B900" s="4" t="n"/>
      <c r="C900" s="4" t="n"/>
      <c r="D900" s="4" t="n"/>
      <c r="E900" s="4" t="n"/>
      <c r="F900" s="6">
        <f>IF(B900="","",IFERROR(INDEX(Products!$E:$E,MATCH(B900,Products!$A:$A,0)),0))</f>
        <v/>
      </c>
      <c r="G900" s="6">
        <f>IF(B900="","",N(C900)*N(F900))</f>
        <v/>
      </c>
      <c r="H900">
        <f>IF(B900="","",IFERROR(INDEX(Products!$B:$B,MATCH(B900,Products!$A:$A,0)),"SKU not found"))</f>
        <v/>
      </c>
    </row>
    <row r="901">
      <c r="A901" s="7" t="n"/>
      <c r="B901" s="4" t="n"/>
      <c r="C901" s="4" t="n"/>
      <c r="D901" s="4" t="n"/>
      <c r="E901" s="4" t="n"/>
      <c r="F901" s="6">
        <f>IF(B901="","",IFERROR(INDEX(Products!$E:$E,MATCH(B901,Products!$A:$A,0)),0))</f>
        <v/>
      </c>
      <c r="G901" s="6">
        <f>IF(B901="","",N(C901)*N(F901))</f>
        <v/>
      </c>
      <c r="H901">
        <f>IF(B901="","",IFERROR(INDEX(Products!$B:$B,MATCH(B901,Products!$A:$A,0)),"SKU not found"))</f>
        <v/>
      </c>
    </row>
    <row r="902">
      <c r="A902" s="7" t="n"/>
      <c r="B902" s="4" t="n"/>
      <c r="C902" s="4" t="n"/>
      <c r="D902" s="4" t="n"/>
      <c r="E902" s="4" t="n"/>
      <c r="F902" s="6">
        <f>IF(B902="","",IFERROR(INDEX(Products!$E:$E,MATCH(B902,Products!$A:$A,0)),0))</f>
        <v/>
      </c>
      <c r="G902" s="6">
        <f>IF(B902="","",N(C902)*N(F902))</f>
        <v/>
      </c>
      <c r="H902">
        <f>IF(B902="","",IFERROR(INDEX(Products!$B:$B,MATCH(B902,Products!$A:$A,0)),"SKU not found"))</f>
        <v/>
      </c>
    </row>
    <row r="903">
      <c r="A903" s="7" t="n"/>
      <c r="B903" s="4" t="n"/>
      <c r="C903" s="4" t="n"/>
      <c r="D903" s="4" t="n"/>
      <c r="E903" s="4" t="n"/>
      <c r="F903" s="6">
        <f>IF(B903="","",IFERROR(INDEX(Products!$E:$E,MATCH(B903,Products!$A:$A,0)),0))</f>
        <v/>
      </c>
      <c r="G903" s="6">
        <f>IF(B903="","",N(C903)*N(F903))</f>
        <v/>
      </c>
      <c r="H903">
        <f>IF(B903="","",IFERROR(INDEX(Products!$B:$B,MATCH(B903,Products!$A:$A,0)),"SKU not found"))</f>
        <v/>
      </c>
    </row>
    <row r="904">
      <c r="A904" s="7" t="n"/>
      <c r="B904" s="4" t="n"/>
      <c r="C904" s="4" t="n"/>
      <c r="D904" s="4" t="n"/>
      <c r="E904" s="4" t="n"/>
      <c r="F904" s="6">
        <f>IF(B904="","",IFERROR(INDEX(Products!$E:$E,MATCH(B904,Products!$A:$A,0)),0))</f>
        <v/>
      </c>
      <c r="G904" s="6">
        <f>IF(B904="","",N(C904)*N(F904))</f>
        <v/>
      </c>
      <c r="H904">
        <f>IF(B904="","",IFERROR(INDEX(Products!$B:$B,MATCH(B904,Products!$A:$A,0)),"SKU not found"))</f>
        <v/>
      </c>
    </row>
    <row r="905">
      <c r="A905" s="7" t="n"/>
      <c r="B905" s="4" t="n"/>
      <c r="C905" s="4" t="n"/>
      <c r="D905" s="4" t="n"/>
      <c r="E905" s="4" t="n"/>
      <c r="F905" s="6">
        <f>IF(B905="","",IFERROR(INDEX(Products!$E:$E,MATCH(B905,Products!$A:$A,0)),0))</f>
        <v/>
      </c>
      <c r="G905" s="6">
        <f>IF(B905="","",N(C905)*N(F905))</f>
        <v/>
      </c>
      <c r="H905">
        <f>IF(B905="","",IFERROR(INDEX(Products!$B:$B,MATCH(B905,Products!$A:$A,0)),"SKU not found"))</f>
        <v/>
      </c>
    </row>
    <row r="906">
      <c r="A906" s="7" t="n"/>
      <c r="B906" s="4" t="n"/>
      <c r="C906" s="4" t="n"/>
      <c r="D906" s="4" t="n"/>
      <c r="E906" s="4" t="n"/>
      <c r="F906" s="6">
        <f>IF(B906="","",IFERROR(INDEX(Products!$E:$E,MATCH(B906,Products!$A:$A,0)),0))</f>
        <v/>
      </c>
      <c r="G906" s="6">
        <f>IF(B906="","",N(C906)*N(F906))</f>
        <v/>
      </c>
      <c r="H906">
        <f>IF(B906="","",IFERROR(INDEX(Products!$B:$B,MATCH(B906,Products!$A:$A,0)),"SKU not found"))</f>
        <v/>
      </c>
    </row>
    <row r="907">
      <c r="A907" s="7" t="n"/>
      <c r="B907" s="4" t="n"/>
      <c r="C907" s="4" t="n"/>
      <c r="D907" s="4" t="n"/>
      <c r="E907" s="4" t="n"/>
      <c r="F907" s="6">
        <f>IF(B907="","",IFERROR(INDEX(Products!$E:$E,MATCH(B907,Products!$A:$A,0)),0))</f>
        <v/>
      </c>
      <c r="G907" s="6">
        <f>IF(B907="","",N(C907)*N(F907))</f>
        <v/>
      </c>
      <c r="H907">
        <f>IF(B907="","",IFERROR(INDEX(Products!$B:$B,MATCH(B907,Products!$A:$A,0)),"SKU not found"))</f>
        <v/>
      </c>
    </row>
    <row r="908">
      <c r="A908" s="7" t="n"/>
      <c r="B908" s="4" t="n"/>
      <c r="C908" s="4" t="n"/>
      <c r="D908" s="4" t="n"/>
      <c r="E908" s="4" t="n"/>
      <c r="F908" s="6">
        <f>IF(B908="","",IFERROR(INDEX(Products!$E:$E,MATCH(B908,Products!$A:$A,0)),0))</f>
        <v/>
      </c>
      <c r="G908" s="6">
        <f>IF(B908="","",N(C908)*N(F908))</f>
        <v/>
      </c>
      <c r="H908">
        <f>IF(B908="","",IFERROR(INDEX(Products!$B:$B,MATCH(B908,Products!$A:$A,0)),"SKU not found"))</f>
        <v/>
      </c>
    </row>
    <row r="909">
      <c r="A909" s="7" t="n"/>
      <c r="B909" s="4" t="n"/>
      <c r="C909" s="4" t="n"/>
      <c r="D909" s="4" t="n"/>
      <c r="E909" s="4" t="n"/>
      <c r="F909" s="6">
        <f>IF(B909="","",IFERROR(INDEX(Products!$E:$E,MATCH(B909,Products!$A:$A,0)),0))</f>
        <v/>
      </c>
      <c r="G909" s="6">
        <f>IF(B909="","",N(C909)*N(F909))</f>
        <v/>
      </c>
      <c r="H909">
        <f>IF(B909="","",IFERROR(INDEX(Products!$B:$B,MATCH(B909,Products!$A:$A,0)),"SKU not found"))</f>
        <v/>
      </c>
    </row>
    <row r="910">
      <c r="A910" s="7" t="n"/>
      <c r="B910" s="4" t="n"/>
      <c r="C910" s="4" t="n"/>
      <c r="D910" s="4" t="n"/>
      <c r="E910" s="4" t="n"/>
      <c r="F910" s="6">
        <f>IF(B910="","",IFERROR(INDEX(Products!$E:$E,MATCH(B910,Products!$A:$A,0)),0))</f>
        <v/>
      </c>
      <c r="G910" s="6">
        <f>IF(B910="","",N(C910)*N(F910))</f>
        <v/>
      </c>
      <c r="H910">
        <f>IF(B910="","",IFERROR(INDEX(Products!$B:$B,MATCH(B910,Products!$A:$A,0)),"SKU not found"))</f>
        <v/>
      </c>
    </row>
    <row r="911">
      <c r="A911" s="7" t="n"/>
      <c r="B911" s="4" t="n"/>
      <c r="C911" s="4" t="n"/>
      <c r="D911" s="4" t="n"/>
      <c r="E911" s="4" t="n"/>
      <c r="F911" s="6">
        <f>IF(B911="","",IFERROR(INDEX(Products!$E:$E,MATCH(B911,Products!$A:$A,0)),0))</f>
        <v/>
      </c>
      <c r="G911" s="6">
        <f>IF(B911="","",N(C911)*N(F911))</f>
        <v/>
      </c>
      <c r="H911">
        <f>IF(B911="","",IFERROR(INDEX(Products!$B:$B,MATCH(B911,Products!$A:$A,0)),"SKU not found"))</f>
        <v/>
      </c>
    </row>
    <row r="912">
      <c r="A912" s="7" t="n"/>
      <c r="B912" s="4" t="n"/>
      <c r="C912" s="4" t="n"/>
      <c r="D912" s="4" t="n"/>
      <c r="E912" s="4" t="n"/>
      <c r="F912" s="6">
        <f>IF(B912="","",IFERROR(INDEX(Products!$E:$E,MATCH(B912,Products!$A:$A,0)),0))</f>
        <v/>
      </c>
      <c r="G912" s="6">
        <f>IF(B912="","",N(C912)*N(F912))</f>
        <v/>
      </c>
      <c r="H912">
        <f>IF(B912="","",IFERROR(INDEX(Products!$B:$B,MATCH(B912,Products!$A:$A,0)),"SKU not found"))</f>
        <v/>
      </c>
    </row>
    <row r="913">
      <c r="A913" s="7" t="n"/>
      <c r="B913" s="4" t="n"/>
      <c r="C913" s="4" t="n"/>
      <c r="D913" s="4" t="n"/>
      <c r="E913" s="4" t="n"/>
      <c r="F913" s="6">
        <f>IF(B913="","",IFERROR(INDEX(Products!$E:$E,MATCH(B913,Products!$A:$A,0)),0))</f>
        <v/>
      </c>
      <c r="G913" s="6">
        <f>IF(B913="","",N(C913)*N(F913))</f>
        <v/>
      </c>
      <c r="H913">
        <f>IF(B913="","",IFERROR(INDEX(Products!$B:$B,MATCH(B913,Products!$A:$A,0)),"SKU not found"))</f>
        <v/>
      </c>
    </row>
    <row r="914">
      <c r="A914" s="7" t="n"/>
      <c r="B914" s="4" t="n"/>
      <c r="C914" s="4" t="n"/>
      <c r="D914" s="4" t="n"/>
      <c r="E914" s="4" t="n"/>
      <c r="F914" s="6">
        <f>IF(B914="","",IFERROR(INDEX(Products!$E:$E,MATCH(B914,Products!$A:$A,0)),0))</f>
        <v/>
      </c>
      <c r="G914" s="6">
        <f>IF(B914="","",N(C914)*N(F914))</f>
        <v/>
      </c>
      <c r="H914">
        <f>IF(B914="","",IFERROR(INDEX(Products!$B:$B,MATCH(B914,Products!$A:$A,0)),"SKU not found"))</f>
        <v/>
      </c>
    </row>
    <row r="915">
      <c r="A915" s="7" t="n"/>
      <c r="B915" s="4" t="n"/>
      <c r="C915" s="4" t="n"/>
      <c r="D915" s="4" t="n"/>
      <c r="E915" s="4" t="n"/>
      <c r="F915" s="6">
        <f>IF(B915="","",IFERROR(INDEX(Products!$E:$E,MATCH(B915,Products!$A:$A,0)),0))</f>
        <v/>
      </c>
      <c r="G915" s="6">
        <f>IF(B915="","",N(C915)*N(F915))</f>
        <v/>
      </c>
      <c r="H915">
        <f>IF(B915="","",IFERROR(INDEX(Products!$B:$B,MATCH(B915,Products!$A:$A,0)),"SKU not found"))</f>
        <v/>
      </c>
    </row>
    <row r="916">
      <c r="A916" s="7" t="n"/>
      <c r="B916" s="4" t="n"/>
      <c r="C916" s="4" t="n"/>
      <c r="D916" s="4" t="n"/>
      <c r="E916" s="4" t="n"/>
      <c r="F916" s="6">
        <f>IF(B916="","",IFERROR(INDEX(Products!$E:$E,MATCH(B916,Products!$A:$A,0)),0))</f>
        <v/>
      </c>
      <c r="G916" s="6">
        <f>IF(B916="","",N(C916)*N(F916))</f>
        <v/>
      </c>
      <c r="H916">
        <f>IF(B916="","",IFERROR(INDEX(Products!$B:$B,MATCH(B916,Products!$A:$A,0)),"SKU not found"))</f>
        <v/>
      </c>
    </row>
    <row r="917">
      <c r="A917" s="7" t="n"/>
      <c r="B917" s="4" t="n"/>
      <c r="C917" s="4" t="n"/>
      <c r="D917" s="4" t="n"/>
      <c r="E917" s="4" t="n"/>
      <c r="F917" s="6">
        <f>IF(B917="","",IFERROR(INDEX(Products!$E:$E,MATCH(B917,Products!$A:$A,0)),0))</f>
        <v/>
      </c>
      <c r="G917" s="6">
        <f>IF(B917="","",N(C917)*N(F917))</f>
        <v/>
      </c>
      <c r="H917">
        <f>IF(B917="","",IFERROR(INDEX(Products!$B:$B,MATCH(B917,Products!$A:$A,0)),"SKU not found"))</f>
        <v/>
      </c>
    </row>
    <row r="918">
      <c r="A918" s="7" t="n"/>
      <c r="B918" s="4" t="n"/>
      <c r="C918" s="4" t="n"/>
      <c r="D918" s="4" t="n"/>
      <c r="E918" s="4" t="n"/>
      <c r="F918" s="6">
        <f>IF(B918="","",IFERROR(INDEX(Products!$E:$E,MATCH(B918,Products!$A:$A,0)),0))</f>
        <v/>
      </c>
      <c r="G918" s="6">
        <f>IF(B918="","",N(C918)*N(F918))</f>
        <v/>
      </c>
      <c r="H918">
        <f>IF(B918="","",IFERROR(INDEX(Products!$B:$B,MATCH(B918,Products!$A:$A,0)),"SKU not found"))</f>
        <v/>
      </c>
    </row>
    <row r="919">
      <c r="A919" s="7" t="n"/>
      <c r="B919" s="4" t="n"/>
      <c r="C919" s="4" t="n"/>
      <c r="D919" s="4" t="n"/>
      <c r="E919" s="4" t="n"/>
      <c r="F919" s="6">
        <f>IF(B919="","",IFERROR(INDEX(Products!$E:$E,MATCH(B919,Products!$A:$A,0)),0))</f>
        <v/>
      </c>
      <c r="G919" s="6">
        <f>IF(B919="","",N(C919)*N(F919))</f>
        <v/>
      </c>
      <c r="H919">
        <f>IF(B919="","",IFERROR(INDEX(Products!$B:$B,MATCH(B919,Products!$A:$A,0)),"SKU not found"))</f>
        <v/>
      </c>
    </row>
    <row r="920">
      <c r="A920" s="7" t="n"/>
      <c r="B920" s="4" t="n"/>
      <c r="C920" s="4" t="n"/>
      <c r="D920" s="4" t="n"/>
      <c r="E920" s="4" t="n"/>
      <c r="F920" s="6">
        <f>IF(B920="","",IFERROR(INDEX(Products!$E:$E,MATCH(B920,Products!$A:$A,0)),0))</f>
        <v/>
      </c>
      <c r="G920" s="6">
        <f>IF(B920="","",N(C920)*N(F920))</f>
        <v/>
      </c>
      <c r="H920">
        <f>IF(B920="","",IFERROR(INDEX(Products!$B:$B,MATCH(B920,Products!$A:$A,0)),"SKU not found"))</f>
        <v/>
      </c>
    </row>
    <row r="921">
      <c r="A921" s="7" t="n"/>
      <c r="B921" s="4" t="n"/>
      <c r="C921" s="4" t="n"/>
      <c r="D921" s="4" t="n"/>
      <c r="E921" s="4" t="n"/>
      <c r="F921" s="6">
        <f>IF(B921="","",IFERROR(INDEX(Products!$E:$E,MATCH(B921,Products!$A:$A,0)),0))</f>
        <v/>
      </c>
      <c r="G921" s="6">
        <f>IF(B921="","",N(C921)*N(F921))</f>
        <v/>
      </c>
      <c r="H921">
        <f>IF(B921="","",IFERROR(INDEX(Products!$B:$B,MATCH(B921,Products!$A:$A,0)),"SKU not found"))</f>
        <v/>
      </c>
    </row>
    <row r="922">
      <c r="A922" s="7" t="n"/>
      <c r="B922" s="4" t="n"/>
      <c r="C922" s="4" t="n"/>
      <c r="D922" s="4" t="n"/>
      <c r="E922" s="4" t="n"/>
      <c r="F922" s="6">
        <f>IF(B922="","",IFERROR(INDEX(Products!$E:$E,MATCH(B922,Products!$A:$A,0)),0))</f>
        <v/>
      </c>
      <c r="G922" s="6">
        <f>IF(B922="","",N(C922)*N(F922))</f>
        <v/>
      </c>
      <c r="H922">
        <f>IF(B922="","",IFERROR(INDEX(Products!$B:$B,MATCH(B922,Products!$A:$A,0)),"SKU not found"))</f>
        <v/>
      </c>
    </row>
    <row r="923">
      <c r="A923" s="7" t="n"/>
      <c r="B923" s="4" t="n"/>
      <c r="C923" s="4" t="n"/>
      <c r="D923" s="4" t="n"/>
      <c r="E923" s="4" t="n"/>
      <c r="F923" s="6">
        <f>IF(B923="","",IFERROR(INDEX(Products!$E:$E,MATCH(B923,Products!$A:$A,0)),0))</f>
        <v/>
      </c>
      <c r="G923" s="6">
        <f>IF(B923="","",N(C923)*N(F923))</f>
        <v/>
      </c>
      <c r="H923">
        <f>IF(B923="","",IFERROR(INDEX(Products!$B:$B,MATCH(B923,Products!$A:$A,0)),"SKU not found"))</f>
        <v/>
      </c>
    </row>
    <row r="924">
      <c r="A924" s="7" t="n"/>
      <c r="B924" s="4" t="n"/>
      <c r="C924" s="4" t="n"/>
      <c r="D924" s="4" t="n"/>
      <c r="E924" s="4" t="n"/>
      <c r="F924" s="6">
        <f>IF(B924="","",IFERROR(INDEX(Products!$E:$E,MATCH(B924,Products!$A:$A,0)),0))</f>
        <v/>
      </c>
      <c r="G924" s="6">
        <f>IF(B924="","",N(C924)*N(F924))</f>
        <v/>
      </c>
      <c r="H924">
        <f>IF(B924="","",IFERROR(INDEX(Products!$B:$B,MATCH(B924,Products!$A:$A,0)),"SKU not found"))</f>
        <v/>
      </c>
    </row>
    <row r="925">
      <c r="A925" s="7" t="n"/>
      <c r="B925" s="4" t="n"/>
      <c r="C925" s="4" t="n"/>
      <c r="D925" s="4" t="n"/>
      <c r="E925" s="4" t="n"/>
      <c r="F925" s="6">
        <f>IF(B925="","",IFERROR(INDEX(Products!$E:$E,MATCH(B925,Products!$A:$A,0)),0))</f>
        <v/>
      </c>
      <c r="G925" s="6">
        <f>IF(B925="","",N(C925)*N(F925))</f>
        <v/>
      </c>
      <c r="H925">
        <f>IF(B925="","",IFERROR(INDEX(Products!$B:$B,MATCH(B925,Products!$A:$A,0)),"SKU not found"))</f>
        <v/>
      </c>
    </row>
    <row r="926">
      <c r="A926" s="7" t="n"/>
      <c r="B926" s="4" t="n"/>
      <c r="C926" s="4" t="n"/>
      <c r="D926" s="4" t="n"/>
      <c r="E926" s="4" t="n"/>
      <c r="F926" s="6">
        <f>IF(B926="","",IFERROR(INDEX(Products!$E:$E,MATCH(B926,Products!$A:$A,0)),0))</f>
        <v/>
      </c>
      <c r="G926" s="6">
        <f>IF(B926="","",N(C926)*N(F926))</f>
        <v/>
      </c>
      <c r="H926">
        <f>IF(B926="","",IFERROR(INDEX(Products!$B:$B,MATCH(B926,Products!$A:$A,0)),"SKU not found"))</f>
        <v/>
      </c>
    </row>
    <row r="927">
      <c r="A927" s="7" t="n"/>
      <c r="B927" s="4" t="n"/>
      <c r="C927" s="4" t="n"/>
      <c r="D927" s="4" t="n"/>
      <c r="E927" s="4" t="n"/>
      <c r="F927" s="6">
        <f>IF(B927="","",IFERROR(INDEX(Products!$E:$E,MATCH(B927,Products!$A:$A,0)),0))</f>
        <v/>
      </c>
      <c r="G927" s="6">
        <f>IF(B927="","",N(C927)*N(F927))</f>
        <v/>
      </c>
      <c r="H927">
        <f>IF(B927="","",IFERROR(INDEX(Products!$B:$B,MATCH(B927,Products!$A:$A,0)),"SKU not found"))</f>
        <v/>
      </c>
    </row>
    <row r="928">
      <c r="A928" s="7" t="n"/>
      <c r="B928" s="4" t="n"/>
      <c r="C928" s="4" t="n"/>
      <c r="D928" s="4" t="n"/>
      <c r="E928" s="4" t="n"/>
      <c r="F928" s="6">
        <f>IF(B928="","",IFERROR(INDEX(Products!$E:$E,MATCH(B928,Products!$A:$A,0)),0))</f>
        <v/>
      </c>
      <c r="G928" s="6">
        <f>IF(B928="","",N(C928)*N(F928))</f>
        <v/>
      </c>
      <c r="H928">
        <f>IF(B928="","",IFERROR(INDEX(Products!$B:$B,MATCH(B928,Products!$A:$A,0)),"SKU not found"))</f>
        <v/>
      </c>
    </row>
    <row r="929">
      <c r="A929" s="7" t="n"/>
      <c r="B929" s="4" t="n"/>
      <c r="C929" s="4" t="n"/>
      <c r="D929" s="4" t="n"/>
      <c r="E929" s="4" t="n"/>
      <c r="F929" s="6">
        <f>IF(B929="","",IFERROR(INDEX(Products!$E:$E,MATCH(B929,Products!$A:$A,0)),0))</f>
        <v/>
      </c>
      <c r="G929" s="6">
        <f>IF(B929="","",N(C929)*N(F929))</f>
        <v/>
      </c>
      <c r="H929">
        <f>IF(B929="","",IFERROR(INDEX(Products!$B:$B,MATCH(B929,Products!$A:$A,0)),"SKU not found"))</f>
        <v/>
      </c>
    </row>
    <row r="930">
      <c r="A930" s="7" t="n"/>
      <c r="B930" s="4" t="n"/>
      <c r="C930" s="4" t="n"/>
      <c r="D930" s="4" t="n"/>
      <c r="E930" s="4" t="n"/>
      <c r="F930" s="6">
        <f>IF(B930="","",IFERROR(INDEX(Products!$E:$E,MATCH(B930,Products!$A:$A,0)),0))</f>
        <v/>
      </c>
      <c r="G930" s="6">
        <f>IF(B930="","",N(C930)*N(F930))</f>
        <v/>
      </c>
      <c r="H930">
        <f>IF(B930="","",IFERROR(INDEX(Products!$B:$B,MATCH(B930,Products!$A:$A,0)),"SKU not found"))</f>
        <v/>
      </c>
    </row>
    <row r="931">
      <c r="A931" s="7" t="n"/>
      <c r="B931" s="4" t="n"/>
      <c r="C931" s="4" t="n"/>
      <c r="D931" s="4" t="n"/>
      <c r="E931" s="4" t="n"/>
      <c r="F931" s="6">
        <f>IF(B931="","",IFERROR(INDEX(Products!$E:$E,MATCH(B931,Products!$A:$A,0)),0))</f>
        <v/>
      </c>
      <c r="G931" s="6">
        <f>IF(B931="","",N(C931)*N(F931))</f>
        <v/>
      </c>
      <c r="H931">
        <f>IF(B931="","",IFERROR(INDEX(Products!$B:$B,MATCH(B931,Products!$A:$A,0)),"SKU not found"))</f>
        <v/>
      </c>
    </row>
    <row r="932">
      <c r="A932" s="7" t="n"/>
      <c r="B932" s="4" t="n"/>
      <c r="C932" s="4" t="n"/>
      <c r="D932" s="4" t="n"/>
      <c r="E932" s="4" t="n"/>
      <c r="F932" s="6">
        <f>IF(B932="","",IFERROR(INDEX(Products!$E:$E,MATCH(B932,Products!$A:$A,0)),0))</f>
        <v/>
      </c>
      <c r="G932" s="6">
        <f>IF(B932="","",N(C932)*N(F932))</f>
        <v/>
      </c>
      <c r="H932">
        <f>IF(B932="","",IFERROR(INDEX(Products!$B:$B,MATCH(B932,Products!$A:$A,0)),"SKU not found"))</f>
        <v/>
      </c>
    </row>
    <row r="933">
      <c r="A933" s="7" t="n"/>
      <c r="B933" s="4" t="n"/>
      <c r="C933" s="4" t="n"/>
      <c r="D933" s="4" t="n"/>
      <c r="E933" s="4" t="n"/>
      <c r="F933" s="6">
        <f>IF(B933="","",IFERROR(INDEX(Products!$E:$E,MATCH(B933,Products!$A:$A,0)),0))</f>
        <v/>
      </c>
      <c r="G933" s="6">
        <f>IF(B933="","",N(C933)*N(F933))</f>
        <v/>
      </c>
      <c r="H933">
        <f>IF(B933="","",IFERROR(INDEX(Products!$B:$B,MATCH(B933,Products!$A:$A,0)),"SKU not found"))</f>
        <v/>
      </c>
    </row>
    <row r="934">
      <c r="A934" s="7" t="n"/>
      <c r="B934" s="4" t="n"/>
      <c r="C934" s="4" t="n"/>
      <c r="D934" s="4" t="n"/>
      <c r="E934" s="4" t="n"/>
      <c r="F934" s="6">
        <f>IF(B934="","",IFERROR(INDEX(Products!$E:$E,MATCH(B934,Products!$A:$A,0)),0))</f>
        <v/>
      </c>
      <c r="G934" s="6">
        <f>IF(B934="","",N(C934)*N(F934))</f>
        <v/>
      </c>
      <c r="H934">
        <f>IF(B934="","",IFERROR(INDEX(Products!$B:$B,MATCH(B934,Products!$A:$A,0)),"SKU not found"))</f>
        <v/>
      </c>
    </row>
    <row r="935">
      <c r="A935" s="7" t="n"/>
      <c r="B935" s="4" t="n"/>
      <c r="C935" s="4" t="n"/>
      <c r="D935" s="4" t="n"/>
      <c r="E935" s="4" t="n"/>
      <c r="F935" s="6">
        <f>IF(B935="","",IFERROR(INDEX(Products!$E:$E,MATCH(B935,Products!$A:$A,0)),0))</f>
        <v/>
      </c>
      <c r="G935" s="6">
        <f>IF(B935="","",N(C935)*N(F935))</f>
        <v/>
      </c>
      <c r="H935">
        <f>IF(B935="","",IFERROR(INDEX(Products!$B:$B,MATCH(B935,Products!$A:$A,0)),"SKU not found"))</f>
        <v/>
      </c>
    </row>
    <row r="936">
      <c r="A936" s="7" t="n"/>
      <c r="B936" s="4" t="n"/>
      <c r="C936" s="4" t="n"/>
      <c r="D936" s="4" t="n"/>
      <c r="E936" s="4" t="n"/>
      <c r="F936" s="6">
        <f>IF(B936="","",IFERROR(INDEX(Products!$E:$E,MATCH(B936,Products!$A:$A,0)),0))</f>
        <v/>
      </c>
      <c r="G936" s="6">
        <f>IF(B936="","",N(C936)*N(F936))</f>
        <v/>
      </c>
      <c r="H936">
        <f>IF(B936="","",IFERROR(INDEX(Products!$B:$B,MATCH(B936,Products!$A:$A,0)),"SKU not found"))</f>
        <v/>
      </c>
    </row>
    <row r="937">
      <c r="A937" s="7" t="n"/>
      <c r="B937" s="4" t="n"/>
      <c r="C937" s="4" t="n"/>
      <c r="D937" s="4" t="n"/>
      <c r="E937" s="4" t="n"/>
      <c r="F937" s="6">
        <f>IF(B937="","",IFERROR(INDEX(Products!$E:$E,MATCH(B937,Products!$A:$A,0)),0))</f>
        <v/>
      </c>
      <c r="G937" s="6">
        <f>IF(B937="","",N(C937)*N(F937))</f>
        <v/>
      </c>
      <c r="H937">
        <f>IF(B937="","",IFERROR(INDEX(Products!$B:$B,MATCH(B937,Products!$A:$A,0)),"SKU not found"))</f>
        <v/>
      </c>
    </row>
    <row r="938">
      <c r="A938" s="7" t="n"/>
      <c r="B938" s="4" t="n"/>
      <c r="C938" s="4" t="n"/>
      <c r="D938" s="4" t="n"/>
      <c r="E938" s="4" t="n"/>
      <c r="F938" s="6">
        <f>IF(B938="","",IFERROR(INDEX(Products!$E:$E,MATCH(B938,Products!$A:$A,0)),0))</f>
        <v/>
      </c>
      <c r="G938" s="6">
        <f>IF(B938="","",N(C938)*N(F938))</f>
        <v/>
      </c>
      <c r="H938">
        <f>IF(B938="","",IFERROR(INDEX(Products!$B:$B,MATCH(B938,Products!$A:$A,0)),"SKU not found"))</f>
        <v/>
      </c>
    </row>
    <row r="939">
      <c r="A939" s="7" t="n"/>
      <c r="B939" s="4" t="n"/>
      <c r="C939" s="4" t="n"/>
      <c r="D939" s="4" t="n"/>
      <c r="E939" s="4" t="n"/>
      <c r="F939" s="6">
        <f>IF(B939="","",IFERROR(INDEX(Products!$E:$E,MATCH(B939,Products!$A:$A,0)),0))</f>
        <v/>
      </c>
      <c r="G939" s="6">
        <f>IF(B939="","",N(C939)*N(F939))</f>
        <v/>
      </c>
      <c r="H939">
        <f>IF(B939="","",IFERROR(INDEX(Products!$B:$B,MATCH(B939,Products!$A:$A,0)),"SKU not found"))</f>
        <v/>
      </c>
    </row>
    <row r="940">
      <c r="A940" s="7" t="n"/>
      <c r="B940" s="4" t="n"/>
      <c r="C940" s="4" t="n"/>
      <c r="D940" s="4" t="n"/>
      <c r="E940" s="4" t="n"/>
      <c r="F940" s="6">
        <f>IF(B940="","",IFERROR(INDEX(Products!$E:$E,MATCH(B940,Products!$A:$A,0)),0))</f>
        <v/>
      </c>
      <c r="G940" s="6">
        <f>IF(B940="","",N(C940)*N(F940))</f>
        <v/>
      </c>
      <c r="H940">
        <f>IF(B940="","",IFERROR(INDEX(Products!$B:$B,MATCH(B940,Products!$A:$A,0)),"SKU not found"))</f>
        <v/>
      </c>
    </row>
    <row r="941">
      <c r="A941" s="7" t="n"/>
      <c r="B941" s="4" t="n"/>
      <c r="C941" s="4" t="n"/>
      <c r="D941" s="4" t="n"/>
      <c r="E941" s="4" t="n"/>
      <c r="F941" s="6">
        <f>IF(B941="","",IFERROR(INDEX(Products!$E:$E,MATCH(B941,Products!$A:$A,0)),0))</f>
        <v/>
      </c>
      <c r="G941" s="6">
        <f>IF(B941="","",N(C941)*N(F941))</f>
        <v/>
      </c>
      <c r="H941">
        <f>IF(B941="","",IFERROR(INDEX(Products!$B:$B,MATCH(B941,Products!$A:$A,0)),"SKU not found"))</f>
        <v/>
      </c>
    </row>
    <row r="942">
      <c r="A942" s="7" t="n"/>
      <c r="B942" s="4" t="n"/>
      <c r="C942" s="4" t="n"/>
      <c r="D942" s="4" t="n"/>
      <c r="E942" s="4" t="n"/>
      <c r="F942" s="6">
        <f>IF(B942="","",IFERROR(INDEX(Products!$E:$E,MATCH(B942,Products!$A:$A,0)),0))</f>
        <v/>
      </c>
      <c r="G942" s="6">
        <f>IF(B942="","",N(C942)*N(F942))</f>
        <v/>
      </c>
      <c r="H942">
        <f>IF(B942="","",IFERROR(INDEX(Products!$B:$B,MATCH(B942,Products!$A:$A,0)),"SKU not found"))</f>
        <v/>
      </c>
    </row>
    <row r="943">
      <c r="A943" s="7" t="n"/>
      <c r="B943" s="4" t="n"/>
      <c r="C943" s="4" t="n"/>
      <c r="D943" s="4" t="n"/>
      <c r="E943" s="4" t="n"/>
      <c r="F943" s="6">
        <f>IF(B943="","",IFERROR(INDEX(Products!$E:$E,MATCH(B943,Products!$A:$A,0)),0))</f>
        <v/>
      </c>
      <c r="G943" s="6">
        <f>IF(B943="","",N(C943)*N(F943))</f>
        <v/>
      </c>
      <c r="H943">
        <f>IF(B943="","",IFERROR(INDEX(Products!$B:$B,MATCH(B943,Products!$A:$A,0)),"SKU not found"))</f>
        <v/>
      </c>
    </row>
    <row r="944">
      <c r="A944" s="7" t="n"/>
      <c r="B944" s="4" t="n"/>
      <c r="C944" s="4" t="n"/>
      <c r="D944" s="4" t="n"/>
      <c r="E944" s="4" t="n"/>
      <c r="F944" s="6">
        <f>IF(B944="","",IFERROR(INDEX(Products!$E:$E,MATCH(B944,Products!$A:$A,0)),0))</f>
        <v/>
      </c>
      <c r="G944" s="6">
        <f>IF(B944="","",N(C944)*N(F944))</f>
        <v/>
      </c>
      <c r="H944">
        <f>IF(B944="","",IFERROR(INDEX(Products!$B:$B,MATCH(B944,Products!$A:$A,0)),"SKU not found"))</f>
        <v/>
      </c>
    </row>
    <row r="945">
      <c r="A945" s="7" t="n"/>
      <c r="B945" s="4" t="n"/>
      <c r="C945" s="4" t="n"/>
      <c r="D945" s="4" t="n"/>
      <c r="E945" s="4" t="n"/>
      <c r="F945" s="6">
        <f>IF(B945="","",IFERROR(INDEX(Products!$E:$E,MATCH(B945,Products!$A:$A,0)),0))</f>
        <v/>
      </c>
      <c r="G945" s="6">
        <f>IF(B945="","",N(C945)*N(F945))</f>
        <v/>
      </c>
      <c r="H945">
        <f>IF(B945="","",IFERROR(INDEX(Products!$B:$B,MATCH(B945,Products!$A:$A,0)),"SKU not found"))</f>
        <v/>
      </c>
    </row>
    <row r="946">
      <c r="A946" s="7" t="n"/>
      <c r="B946" s="4" t="n"/>
      <c r="C946" s="4" t="n"/>
      <c r="D946" s="4" t="n"/>
      <c r="E946" s="4" t="n"/>
      <c r="F946" s="6">
        <f>IF(B946="","",IFERROR(INDEX(Products!$E:$E,MATCH(B946,Products!$A:$A,0)),0))</f>
        <v/>
      </c>
      <c r="G946" s="6">
        <f>IF(B946="","",N(C946)*N(F946))</f>
        <v/>
      </c>
      <c r="H946">
        <f>IF(B946="","",IFERROR(INDEX(Products!$B:$B,MATCH(B946,Products!$A:$A,0)),"SKU not found"))</f>
        <v/>
      </c>
    </row>
    <row r="947">
      <c r="A947" s="7" t="n"/>
      <c r="B947" s="4" t="n"/>
      <c r="C947" s="4" t="n"/>
      <c r="D947" s="4" t="n"/>
      <c r="E947" s="4" t="n"/>
      <c r="F947" s="6">
        <f>IF(B947="","",IFERROR(INDEX(Products!$E:$E,MATCH(B947,Products!$A:$A,0)),0))</f>
        <v/>
      </c>
      <c r="G947" s="6">
        <f>IF(B947="","",N(C947)*N(F947))</f>
        <v/>
      </c>
      <c r="H947">
        <f>IF(B947="","",IFERROR(INDEX(Products!$B:$B,MATCH(B947,Products!$A:$A,0)),"SKU not found"))</f>
        <v/>
      </c>
    </row>
    <row r="948">
      <c r="A948" s="7" t="n"/>
      <c r="B948" s="4" t="n"/>
      <c r="C948" s="4" t="n"/>
      <c r="D948" s="4" t="n"/>
      <c r="E948" s="4" t="n"/>
      <c r="F948" s="6">
        <f>IF(B948="","",IFERROR(INDEX(Products!$E:$E,MATCH(B948,Products!$A:$A,0)),0))</f>
        <v/>
      </c>
      <c r="G948" s="6">
        <f>IF(B948="","",N(C948)*N(F948))</f>
        <v/>
      </c>
      <c r="H948">
        <f>IF(B948="","",IFERROR(INDEX(Products!$B:$B,MATCH(B948,Products!$A:$A,0)),"SKU not found"))</f>
        <v/>
      </c>
    </row>
    <row r="949">
      <c r="A949" s="7" t="n"/>
      <c r="B949" s="4" t="n"/>
      <c r="C949" s="4" t="n"/>
      <c r="D949" s="4" t="n"/>
      <c r="E949" s="4" t="n"/>
      <c r="F949" s="6">
        <f>IF(B949="","",IFERROR(INDEX(Products!$E:$E,MATCH(B949,Products!$A:$A,0)),0))</f>
        <v/>
      </c>
      <c r="G949" s="6">
        <f>IF(B949="","",N(C949)*N(F949))</f>
        <v/>
      </c>
      <c r="H949">
        <f>IF(B949="","",IFERROR(INDEX(Products!$B:$B,MATCH(B949,Products!$A:$A,0)),"SKU not found"))</f>
        <v/>
      </c>
    </row>
    <row r="950">
      <c r="A950" s="7" t="n"/>
      <c r="B950" s="4" t="n"/>
      <c r="C950" s="4" t="n"/>
      <c r="D950" s="4" t="n"/>
      <c r="E950" s="4" t="n"/>
      <c r="F950" s="6">
        <f>IF(B950="","",IFERROR(INDEX(Products!$E:$E,MATCH(B950,Products!$A:$A,0)),0))</f>
        <v/>
      </c>
      <c r="G950" s="6">
        <f>IF(B950="","",N(C950)*N(F950))</f>
        <v/>
      </c>
      <c r="H950">
        <f>IF(B950="","",IFERROR(INDEX(Products!$B:$B,MATCH(B950,Products!$A:$A,0)),"SKU not found"))</f>
        <v/>
      </c>
    </row>
    <row r="951">
      <c r="A951" s="7" t="n"/>
      <c r="B951" s="4" t="n"/>
      <c r="C951" s="4" t="n"/>
      <c r="D951" s="4" t="n"/>
      <c r="E951" s="4" t="n"/>
      <c r="F951" s="6">
        <f>IF(B951="","",IFERROR(INDEX(Products!$E:$E,MATCH(B951,Products!$A:$A,0)),0))</f>
        <v/>
      </c>
      <c r="G951" s="6">
        <f>IF(B951="","",N(C951)*N(F951))</f>
        <v/>
      </c>
      <c r="H951">
        <f>IF(B951="","",IFERROR(INDEX(Products!$B:$B,MATCH(B951,Products!$A:$A,0)),"SKU not found"))</f>
        <v/>
      </c>
    </row>
    <row r="952">
      <c r="A952" s="7" t="n"/>
      <c r="B952" s="4" t="n"/>
      <c r="C952" s="4" t="n"/>
      <c r="D952" s="4" t="n"/>
      <c r="E952" s="4" t="n"/>
      <c r="F952" s="6">
        <f>IF(B952="","",IFERROR(INDEX(Products!$E:$E,MATCH(B952,Products!$A:$A,0)),0))</f>
        <v/>
      </c>
      <c r="G952" s="6">
        <f>IF(B952="","",N(C952)*N(F952))</f>
        <v/>
      </c>
      <c r="H952">
        <f>IF(B952="","",IFERROR(INDEX(Products!$B:$B,MATCH(B952,Products!$A:$A,0)),"SKU not found"))</f>
        <v/>
      </c>
    </row>
    <row r="953">
      <c r="A953" s="7" t="n"/>
      <c r="B953" s="4" t="n"/>
      <c r="C953" s="4" t="n"/>
      <c r="D953" s="4" t="n"/>
      <c r="E953" s="4" t="n"/>
      <c r="F953" s="6">
        <f>IF(B953="","",IFERROR(INDEX(Products!$E:$E,MATCH(B953,Products!$A:$A,0)),0))</f>
        <v/>
      </c>
      <c r="G953" s="6">
        <f>IF(B953="","",N(C953)*N(F953))</f>
        <v/>
      </c>
      <c r="H953">
        <f>IF(B953="","",IFERROR(INDEX(Products!$B:$B,MATCH(B953,Products!$A:$A,0)),"SKU not found"))</f>
        <v/>
      </c>
    </row>
    <row r="954">
      <c r="A954" s="7" t="n"/>
      <c r="B954" s="4" t="n"/>
      <c r="C954" s="4" t="n"/>
      <c r="D954" s="4" t="n"/>
      <c r="E954" s="4" t="n"/>
      <c r="F954" s="6">
        <f>IF(B954="","",IFERROR(INDEX(Products!$E:$E,MATCH(B954,Products!$A:$A,0)),0))</f>
        <v/>
      </c>
      <c r="G954" s="6">
        <f>IF(B954="","",N(C954)*N(F954))</f>
        <v/>
      </c>
      <c r="H954">
        <f>IF(B954="","",IFERROR(INDEX(Products!$B:$B,MATCH(B954,Products!$A:$A,0)),"SKU not found"))</f>
        <v/>
      </c>
    </row>
    <row r="955">
      <c r="A955" s="7" t="n"/>
      <c r="B955" s="4" t="n"/>
      <c r="C955" s="4" t="n"/>
      <c r="D955" s="4" t="n"/>
      <c r="E955" s="4" t="n"/>
      <c r="F955" s="6">
        <f>IF(B955="","",IFERROR(INDEX(Products!$E:$E,MATCH(B955,Products!$A:$A,0)),0))</f>
        <v/>
      </c>
      <c r="G955" s="6">
        <f>IF(B955="","",N(C955)*N(F955))</f>
        <v/>
      </c>
      <c r="H955">
        <f>IF(B955="","",IFERROR(INDEX(Products!$B:$B,MATCH(B955,Products!$A:$A,0)),"SKU not found"))</f>
        <v/>
      </c>
    </row>
    <row r="956">
      <c r="A956" s="7" t="n"/>
      <c r="B956" s="4" t="n"/>
      <c r="C956" s="4" t="n"/>
      <c r="D956" s="4" t="n"/>
      <c r="E956" s="4" t="n"/>
      <c r="F956" s="6">
        <f>IF(B956="","",IFERROR(INDEX(Products!$E:$E,MATCH(B956,Products!$A:$A,0)),0))</f>
        <v/>
      </c>
      <c r="G956" s="6">
        <f>IF(B956="","",N(C956)*N(F956))</f>
        <v/>
      </c>
      <c r="H956">
        <f>IF(B956="","",IFERROR(INDEX(Products!$B:$B,MATCH(B956,Products!$A:$A,0)),"SKU not found"))</f>
        <v/>
      </c>
    </row>
    <row r="957">
      <c r="A957" s="7" t="n"/>
      <c r="B957" s="4" t="n"/>
      <c r="C957" s="4" t="n"/>
      <c r="D957" s="4" t="n"/>
      <c r="E957" s="4" t="n"/>
      <c r="F957" s="6">
        <f>IF(B957="","",IFERROR(INDEX(Products!$E:$E,MATCH(B957,Products!$A:$A,0)),0))</f>
        <v/>
      </c>
      <c r="G957" s="6">
        <f>IF(B957="","",N(C957)*N(F957))</f>
        <v/>
      </c>
      <c r="H957">
        <f>IF(B957="","",IFERROR(INDEX(Products!$B:$B,MATCH(B957,Products!$A:$A,0)),"SKU not found"))</f>
        <v/>
      </c>
    </row>
    <row r="958">
      <c r="A958" s="7" t="n"/>
      <c r="B958" s="4" t="n"/>
      <c r="C958" s="4" t="n"/>
      <c r="D958" s="4" t="n"/>
      <c r="E958" s="4" t="n"/>
      <c r="F958" s="6">
        <f>IF(B958="","",IFERROR(INDEX(Products!$E:$E,MATCH(B958,Products!$A:$A,0)),0))</f>
        <v/>
      </c>
      <c r="G958" s="6">
        <f>IF(B958="","",N(C958)*N(F958))</f>
        <v/>
      </c>
      <c r="H958">
        <f>IF(B958="","",IFERROR(INDEX(Products!$B:$B,MATCH(B958,Products!$A:$A,0)),"SKU not found"))</f>
        <v/>
      </c>
    </row>
    <row r="959">
      <c r="A959" s="7" t="n"/>
      <c r="B959" s="4" t="n"/>
      <c r="C959" s="4" t="n"/>
      <c r="D959" s="4" t="n"/>
      <c r="E959" s="4" t="n"/>
      <c r="F959" s="6">
        <f>IF(B959="","",IFERROR(INDEX(Products!$E:$E,MATCH(B959,Products!$A:$A,0)),0))</f>
        <v/>
      </c>
      <c r="G959" s="6">
        <f>IF(B959="","",N(C959)*N(F959))</f>
        <v/>
      </c>
      <c r="H959">
        <f>IF(B959="","",IFERROR(INDEX(Products!$B:$B,MATCH(B959,Products!$A:$A,0)),"SKU not found"))</f>
        <v/>
      </c>
    </row>
    <row r="960">
      <c r="A960" s="7" t="n"/>
      <c r="B960" s="4" t="n"/>
      <c r="C960" s="4" t="n"/>
      <c r="D960" s="4" t="n"/>
      <c r="E960" s="4" t="n"/>
      <c r="F960" s="6">
        <f>IF(B960="","",IFERROR(INDEX(Products!$E:$E,MATCH(B960,Products!$A:$A,0)),0))</f>
        <v/>
      </c>
      <c r="G960" s="6">
        <f>IF(B960="","",N(C960)*N(F960))</f>
        <v/>
      </c>
      <c r="H960">
        <f>IF(B960="","",IFERROR(INDEX(Products!$B:$B,MATCH(B960,Products!$A:$A,0)),"SKU not found"))</f>
        <v/>
      </c>
    </row>
    <row r="961">
      <c r="A961" s="7" t="n"/>
      <c r="B961" s="4" t="n"/>
      <c r="C961" s="4" t="n"/>
      <c r="D961" s="4" t="n"/>
      <c r="E961" s="4" t="n"/>
      <c r="F961" s="6">
        <f>IF(B961="","",IFERROR(INDEX(Products!$E:$E,MATCH(B961,Products!$A:$A,0)),0))</f>
        <v/>
      </c>
      <c r="G961" s="6">
        <f>IF(B961="","",N(C961)*N(F961))</f>
        <v/>
      </c>
      <c r="H961">
        <f>IF(B961="","",IFERROR(INDEX(Products!$B:$B,MATCH(B961,Products!$A:$A,0)),"SKU not found"))</f>
        <v/>
      </c>
    </row>
    <row r="962">
      <c r="A962" s="7" t="n"/>
      <c r="B962" s="4" t="n"/>
      <c r="C962" s="4" t="n"/>
      <c r="D962" s="4" t="n"/>
      <c r="E962" s="4" t="n"/>
      <c r="F962" s="6">
        <f>IF(B962="","",IFERROR(INDEX(Products!$E:$E,MATCH(B962,Products!$A:$A,0)),0))</f>
        <v/>
      </c>
      <c r="G962" s="6">
        <f>IF(B962="","",N(C962)*N(F962))</f>
        <v/>
      </c>
      <c r="H962">
        <f>IF(B962="","",IFERROR(INDEX(Products!$B:$B,MATCH(B962,Products!$A:$A,0)),"SKU not found"))</f>
        <v/>
      </c>
    </row>
    <row r="963">
      <c r="A963" s="7" t="n"/>
      <c r="B963" s="4" t="n"/>
      <c r="C963" s="4" t="n"/>
      <c r="D963" s="4" t="n"/>
      <c r="E963" s="4" t="n"/>
      <c r="F963" s="6">
        <f>IF(B963="","",IFERROR(INDEX(Products!$E:$E,MATCH(B963,Products!$A:$A,0)),0))</f>
        <v/>
      </c>
      <c r="G963" s="6">
        <f>IF(B963="","",N(C963)*N(F963))</f>
        <v/>
      </c>
      <c r="H963">
        <f>IF(B963="","",IFERROR(INDEX(Products!$B:$B,MATCH(B963,Products!$A:$A,0)),"SKU not found"))</f>
        <v/>
      </c>
    </row>
    <row r="964">
      <c r="A964" s="7" t="n"/>
      <c r="B964" s="4" t="n"/>
      <c r="C964" s="4" t="n"/>
      <c r="D964" s="4" t="n"/>
      <c r="E964" s="4" t="n"/>
      <c r="F964" s="6">
        <f>IF(B964="","",IFERROR(INDEX(Products!$E:$E,MATCH(B964,Products!$A:$A,0)),0))</f>
        <v/>
      </c>
      <c r="G964" s="6">
        <f>IF(B964="","",N(C964)*N(F964))</f>
        <v/>
      </c>
      <c r="H964">
        <f>IF(B964="","",IFERROR(INDEX(Products!$B:$B,MATCH(B964,Products!$A:$A,0)),"SKU not found"))</f>
        <v/>
      </c>
    </row>
    <row r="965">
      <c r="A965" s="7" t="n"/>
      <c r="B965" s="4" t="n"/>
      <c r="C965" s="4" t="n"/>
      <c r="D965" s="4" t="n"/>
      <c r="E965" s="4" t="n"/>
      <c r="F965" s="6">
        <f>IF(B965="","",IFERROR(INDEX(Products!$E:$E,MATCH(B965,Products!$A:$A,0)),0))</f>
        <v/>
      </c>
      <c r="G965" s="6">
        <f>IF(B965="","",N(C965)*N(F965))</f>
        <v/>
      </c>
      <c r="H965">
        <f>IF(B965="","",IFERROR(INDEX(Products!$B:$B,MATCH(B965,Products!$A:$A,0)),"SKU not found"))</f>
        <v/>
      </c>
    </row>
    <row r="966">
      <c r="A966" s="7" t="n"/>
      <c r="B966" s="4" t="n"/>
      <c r="C966" s="4" t="n"/>
      <c r="D966" s="4" t="n"/>
      <c r="E966" s="4" t="n"/>
      <c r="F966" s="6">
        <f>IF(B966="","",IFERROR(INDEX(Products!$E:$E,MATCH(B966,Products!$A:$A,0)),0))</f>
        <v/>
      </c>
      <c r="G966" s="6">
        <f>IF(B966="","",N(C966)*N(F966))</f>
        <v/>
      </c>
      <c r="H966">
        <f>IF(B966="","",IFERROR(INDEX(Products!$B:$B,MATCH(B966,Products!$A:$A,0)),"SKU not found"))</f>
        <v/>
      </c>
    </row>
    <row r="967">
      <c r="A967" s="7" t="n"/>
      <c r="B967" s="4" t="n"/>
      <c r="C967" s="4" t="n"/>
      <c r="D967" s="4" t="n"/>
      <c r="E967" s="4" t="n"/>
      <c r="F967" s="6">
        <f>IF(B967="","",IFERROR(INDEX(Products!$E:$E,MATCH(B967,Products!$A:$A,0)),0))</f>
        <v/>
      </c>
      <c r="G967" s="6">
        <f>IF(B967="","",N(C967)*N(F967))</f>
        <v/>
      </c>
      <c r="H967">
        <f>IF(B967="","",IFERROR(INDEX(Products!$B:$B,MATCH(B967,Products!$A:$A,0)),"SKU not found"))</f>
        <v/>
      </c>
    </row>
    <row r="968">
      <c r="A968" s="7" t="n"/>
      <c r="B968" s="4" t="n"/>
      <c r="C968" s="4" t="n"/>
      <c r="D968" s="4" t="n"/>
      <c r="E968" s="4" t="n"/>
      <c r="F968" s="6">
        <f>IF(B968="","",IFERROR(INDEX(Products!$E:$E,MATCH(B968,Products!$A:$A,0)),0))</f>
        <v/>
      </c>
      <c r="G968" s="6">
        <f>IF(B968="","",N(C968)*N(F968))</f>
        <v/>
      </c>
      <c r="H968">
        <f>IF(B968="","",IFERROR(INDEX(Products!$B:$B,MATCH(B968,Products!$A:$A,0)),"SKU not found"))</f>
        <v/>
      </c>
    </row>
    <row r="969">
      <c r="A969" s="7" t="n"/>
      <c r="B969" s="4" t="n"/>
      <c r="C969" s="4" t="n"/>
      <c r="D969" s="4" t="n"/>
      <c r="E969" s="4" t="n"/>
      <c r="F969" s="6">
        <f>IF(B969="","",IFERROR(INDEX(Products!$E:$E,MATCH(B969,Products!$A:$A,0)),0))</f>
        <v/>
      </c>
      <c r="G969" s="6">
        <f>IF(B969="","",N(C969)*N(F969))</f>
        <v/>
      </c>
      <c r="H969">
        <f>IF(B969="","",IFERROR(INDEX(Products!$B:$B,MATCH(B969,Products!$A:$A,0)),"SKU not found"))</f>
        <v/>
      </c>
    </row>
    <row r="970">
      <c r="A970" s="7" t="n"/>
      <c r="B970" s="4" t="n"/>
      <c r="C970" s="4" t="n"/>
      <c r="D970" s="4" t="n"/>
      <c r="E970" s="4" t="n"/>
      <c r="F970" s="6">
        <f>IF(B970="","",IFERROR(INDEX(Products!$E:$E,MATCH(B970,Products!$A:$A,0)),0))</f>
        <v/>
      </c>
      <c r="G970" s="6">
        <f>IF(B970="","",N(C970)*N(F970))</f>
        <v/>
      </c>
      <c r="H970">
        <f>IF(B970="","",IFERROR(INDEX(Products!$B:$B,MATCH(B970,Products!$A:$A,0)),"SKU not found"))</f>
        <v/>
      </c>
    </row>
    <row r="971">
      <c r="A971" s="7" t="n"/>
      <c r="B971" s="4" t="n"/>
      <c r="C971" s="4" t="n"/>
      <c r="D971" s="4" t="n"/>
      <c r="E971" s="4" t="n"/>
      <c r="F971" s="6">
        <f>IF(B971="","",IFERROR(INDEX(Products!$E:$E,MATCH(B971,Products!$A:$A,0)),0))</f>
        <v/>
      </c>
      <c r="G971" s="6">
        <f>IF(B971="","",N(C971)*N(F971))</f>
        <v/>
      </c>
      <c r="H971">
        <f>IF(B971="","",IFERROR(INDEX(Products!$B:$B,MATCH(B971,Products!$A:$A,0)),"SKU not found"))</f>
        <v/>
      </c>
    </row>
    <row r="972">
      <c r="A972" s="7" t="n"/>
      <c r="B972" s="4" t="n"/>
      <c r="C972" s="4" t="n"/>
      <c r="D972" s="4" t="n"/>
      <c r="E972" s="4" t="n"/>
      <c r="F972" s="6">
        <f>IF(B972="","",IFERROR(INDEX(Products!$E:$E,MATCH(B972,Products!$A:$A,0)),0))</f>
        <v/>
      </c>
      <c r="G972" s="6">
        <f>IF(B972="","",N(C972)*N(F972))</f>
        <v/>
      </c>
      <c r="H972">
        <f>IF(B972="","",IFERROR(INDEX(Products!$B:$B,MATCH(B972,Products!$A:$A,0)),"SKU not found"))</f>
        <v/>
      </c>
    </row>
    <row r="973">
      <c r="A973" s="7" t="n"/>
      <c r="B973" s="4" t="n"/>
      <c r="C973" s="4" t="n"/>
      <c r="D973" s="4" t="n"/>
      <c r="E973" s="4" t="n"/>
      <c r="F973" s="6">
        <f>IF(B973="","",IFERROR(INDEX(Products!$E:$E,MATCH(B973,Products!$A:$A,0)),0))</f>
        <v/>
      </c>
      <c r="G973" s="6">
        <f>IF(B973="","",N(C973)*N(F973))</f>
        <v/>
      </c>
      <c r="H973">
        <f>IF(B973="","",IFERROR(INDEX(Products!$B:$B,MATCH(B973,Products!$A:$A,0)),"SKU not found"))</f>
        <v/>
      </c>
    </row>
    <row r="974">
      <c r="A974" s="7" t="n"/>
      <c r="B974" s="4" t="n"/>
      <c r="C974" s="4" t="n"/>
      <c r="D974" s="4" t="n"/>
      <c r="E974" s="4" t="n"/>
      <c r="F974" s="6">
        <f>IF(B974="","",IFERROR(INDEX(Products!$E:$E,MATCH(B974,Products!$A:$A,0)),0))</f>
        <v/>
      </c>
      <c r="G974" s="6">
        <f>IF(B974="","",N(C974)*N(F974))</f>
        <v/>
      </c>
      <c r="H974">
        <f>IF(B974="","",IFERROR(INDEX(Products!$B:$B,MATCH(B974,Products!$A:$A,0)),"SKU not found"))</f>
        <v/>
      </c>
    </row>
    <row r="975">
      <c r="A975" s="7" t="n"/>
      <c r="B975" s="4" t="n"/>
      <c r="C975" s="4" t="n"/>
      <c r="D975" s="4" t="n"/>
      <c r="E975" s="4" t="n"/>
      <c r="F975" s="6">
        <f>IF(B975="","",IFERROR(INDEX(Products!$E:$E,MATCH(B975,Products!$A:$A,0)),0))</f>
        <v/>
      </c>
      <c r="G975" s="6">
        <f>IF(B975="","",N(C975)*N(F975))</f>
        <v/>
      </c>
      <c r="H975">
        <f>IF(B975="","",IFERROR(INDEX(Products!$B:$B,MATCH(B975,Products!$A:$A,0)),"SKU not found"))</f>
        <v/>
      </c>
    </row>
    <row r="976">
      <c r="A976" s="7" t="n"/>
      <c r="B976" s="4" t="n"/>
      <c r="C976" s="4" t="n"/>
      <c r="D976" s="4" t="n"/>
      <c r="E976" s="4" t="n"/>
      <c r="F976" s="6">
        <f>IF(B976="","",IFERROR(INDEX(Products!$E:$E,MATCH(B976,Products!$A:$A,0)),0))</f>
        <v/>
      </c>
      <c r="G976" s="6">
        <f>IF(B976="","",N(C976)*N(F976))</f>
        <v/>
      </c>
      <c r="H976">
        <f>IF(B976="","",IFERROR(INDEX(Products!$B:$B,MATCH(B976,Products!$A:$A,0)),"SKU not found"))</f>
        <v/>
      </c>
    </row>
    <row r="977">
      <c r="A977" s="7" t="n"/>
      <c r="B977" s="4" t="n"/>
      <c r="C977" s="4" t="n"/>
      <c r="D977" s="4" t="n"/>
      <c r="E977" s="4" t="n"/>
      <c r="F977" s="6">
        <f>IF(B977="","",IFERROR(INDEX(Products!$E:$E,MATCH(B977,Products!$A:$A,0)),0))</f>
        <v/>
      </c>
      <c r="G977" s="6">
        <f>IF(B977="","",N(C977)*N(F977))</f>
        <v/>
      </c>
      <c r="H977">
        <f>IF(B977="","",IFERROR(INDEX(Products!$B:$B,MATCH(B977,Products!$A:$A,0)),"SKU not found"))</f>
        <v/>
      </c>
    </row>
    <row r="978">
      <c r="A978" s="7" t="n"/>
      <c r="B978" s="4" t="n"/>
      <c r="C978" s="4" t="n"/>
      <c r="D978" s="4" t="n"/>
      <c r="E978" s="4" t="n"/>
      <c r="F978" s="6">
        <f>IF(B978="","",IFERROR(INDEX(Products!$E:$E,MATCH(B978,Products!$A:$A,0)),0))</f>
        <v/>
      </c>
      <c r="G978" s="6">
        <f>IF(B978="","",N(C978)*N(F978))</f>
        <v/>
      </c>
      <c r="H978">
        <f>IF(B978="","",IFERROR(INDEX(Products!$B:$B,MATCH(B978,Products!$A:$A,0)),"SKU not found"))</f>
        <v/>
      </c>
    </row>
    <row r="979">
      <c r="A979" s="7" t="n"/>
      <c r="B979" s="4" t="n"/>
      <c r="C979" s="4" t="n"/>
      <c r="D979" s="4" t="n"/>
      <c r="E979" s="4" t="n"/>
      <c r="F979" s="6">
        <f>IF(B979="","",IFERROR(INDEX(Products!$E:$E,MATCH(B979,Products!$A:$A,0)),0))</f>
        <v/>
      </c>
      <c r="G979" s="6">
        <f>IF(B979="","",N(C979)*N(F979))</f>
        <v/>
      </c>
      <c r="H979">
        <f>IF(B979="","",IFERROR(INDEX(Products!$B:$B,MATCH(B979,Products!$A:$A,0)),"SKU not found"))</f>
        <v/>
      </c>
    </row>
    <row r="980">
      <c r="A980" s="7" t="n"/>
      <c r="B980" s="4" t="n"/>
      <c r="C980" s="4" t="n"/>
      <c r="D980" s="4" t="n"/>
      <c r="E980" s="4" t="n"/>
      <c r="F980" s="6">
        <f>IF(B980="","",IFERROR(INDEX(Products!$E:$E,MATCH(B980,Products!$A:$A,0)),0))</f>
        <v/>
      </c>
      <c r="G980" s="6">
        <f>IF(B980="","",N(C980)*N(F980))</f>
        <v/>
      </c>
      <c r="H980">
        <f>IF(B980="","",IFERROR(INDEX(Products!$B:$B,MATCH(B980,Products!$A:$A,0)),"SKU not found"))</f>
        <v/>
      </c>
    </row>
    <row r="981">
      <c r="A981" s="7" t="n"/>
      <c r="B981" s="4" t="n"/>
      <c r="C981" s="4" t="n"/>
      <c r="D981" s="4" t="n"/>
      <c r="E981" s="4" t="n"/>
      <c r="F981" s="6">
        <f>IF(B981="","",IFERROR(INDEX(Products!$E:$E,MATCH(B981,Products!$A:$A,0)),0))</f>
        <v/>
      </c>
      <c r="G981" s="6">
        <f>IF(B981="","",N(C981)*N(F981))</f>
        <v/>
      </c>
      <c r="H981">
        <f>IF(B981="","",IFERROR(INDEX(Products!$B:$B,MATCH(B981,Products!$A:$A,0)),"SKU not found"))</f>
        <v/>
      </c>
    </row>
    <row r="982">
      <c r="A982" s="7" t="n"/>
      <c r="B982" s="4" t="n"/>
      <c r="C982" s="4" t="n"/>
      <c r="D982" s="4" t="n"/>
      <c r="E982" s="4" t="n"/>
      <c r="F982" s="6">
        <f>IF(B982="","",IFERROR(INDEX(Products!$E:$E,MATCH(B982,Products!$A:$A,0)),0))</f>
        <v/>
      </c>
      <c r="G982" s="6">
        <f>IF(B982="","",N(C982)*N(F982))</f>
        <v/>
      </c>
      <c r="H982">
        <f>IF(B982="","",IFERROR(INDEX(Products!$B:$B,MATCH(B982,Products!$A:$A,0)),"SKU not found"))</f>
        <v/>
      </c>
    </row>
    <row r="983">
      <c r="A983" s="7" t="n"/>
      <c r="B983" s="4" t="n"/>
      <c r="C983" s="4" t="n"/>
      <c r="D983" s="4" t="n"/>
      <c r="E983" s="4" t="n"/>
      <c r="F983" s="6">
        <f>IF(B983="","",IFERROR(INDEX(Products!$E:$E,MATCH(B983,Products!$A:$A,0)),0))</f>
        <v/>
      </c>
      <c r="G983" s="6">
        <f>IF(B983="","",N(C983)*N(F983))</f>
        <v/>
      </c>
      <c r="H983">
        <f>IF(B983="","",IFERROR(INDEX(Products!$B:$B,MATCH(B983,Products!$A:$A,0)),"SKU not found"))</f>
        <v/>
      </c>
    </row>
    <row r="984">
      <c r="A984" s="7" t="n"/>
      <c r="B984" s="4" t="n"/>
      <c r="C984" s="4" t="n"/>
      <c r="D984" s="4" t="n"/>
      <c r="E984" s="4" t="n"/>
      <c r="F984" s="6">
        <f>IF(B984="","",IFERROR(INDEX(Products!$E:$E,MATCH(B984,Products!$A:$A,0)),0))</f>
        <v/>
      </c>
      <c r="G984" s="6">
        <f>IF(B984="","",N(C984)*N(F984))</f>
        <v/>
      </c>
      <c r="H984">
        <f>IF(B984="","",IFERROR(INDEX(Products!$B:$B,MATCH(B984,Products!$A:$A,0)),"SKU not found"))</f>
        <v/>
      </c>
    </row>
    <row r="985">
      <c r="A985" s="7" t="n"/>
      <c r="B985" s="4" t="n"/>
      <c r="C985" s="4" t="n"/>
      <c r="D985" s="4" t="n"/>
      <c r="E985" s="4" t="n"/>
      <c r="F985" s="6">
        <f>IF(B985="","",IFERROR(INDEX(Products!$E:$E,MATCH(B985,Products!$A:$A,0)),0))</f>
        <v/>
      </c>
      <c r="G985" s="6">
        <f>IF(B985="","",N(C985)*N(F985))</f>
        <v/>
      </c>
      <c r="H985">
        <f>IF(B985="","",IFERROR(INDEX(Products!$B:$B,MATCH(B985,Products!$A:$A,0)),"SKU not found"))</f>
        <v/>
      </c>
    </row>
    <row r="986">
      <c r="A986" s="7" t="n"/>
      <c r="B986" s="4" t="n"/>
      <c r="C986" s="4" t="n"/>
      <c r="D986" s="4" t="n"/>
      <c r="E986" s="4" t="n"/>
      <c r="F986" s="6">
        <f>IF(B986="","",IFERROR(INDEX(Products!$E:$E,MATCH(B986,Products!$A:$A,0)),0))</f>
        <v/>
      </c>
      <c r="G986" s="6">
        <f>IF(B986="","",N(C986)*N(F986))</f>
        <v/>
      </c>
      <c r="H986">
        <f>IF(B986="","",IFERROR(INDEX(Products!$B:$B,MATCH(B986,Products!$A:$A,0)),"SKU not found"))</f>
        <v/>
      </c>
    </row>
    <row r="987">
      <c r="A987" s="7" t="n"/>
      <c r="B987" s="4" t="n"/>
      <c r="C987" s="4" t="n"/>
      <c r="D987" s="4" t="n"/>
      <c r="E987" s="4" t="n"/>
      <c r="F987" s="6">
        <f>IF(B987="","",IFERROR(INDEX(Products!$E:$E,MATCH(B987,Products!$A:$A,0)),0))</f>
        <v/>
      </c>
      <c r="G987" s="6">
        <f>IF(B987="","",N(C987)*N(F987))</f>
        <v/>
      </c>
      <c r="H987">
        <f>IF(B987="","",IFERROR(INDEX(Products!$B:$B,MATCH(B987,Products!$A:$A,0)),"SKU not found"))</f>
        <v/>
      </c>
    </row>
    <row r="988">
      <c r="A988" s="7" t="n"/>
      <c r="B988" s="4" t="n"/>
      <c r="C988" s="4" t="n"/>
      <c r="D988" s="4" t="n"/>
      <c r="E988" s="4" t="n"/>
      <c r="F988" s="6">
        <f>IF(B988="","",IFERROR(INDEX(Products!$E:$E,MATCH(B988,Products!$A:$A,0)),0))</f>
        <v/>
      </c>
      <c r="G988" s="6">
        <f>IF(B988="","",N(C988)*N(F988))</f>
        <v/>
      </c>
      <c r="H988">
        <f>IF(B988="","",IFERROR(INDEX(Products!$B:$B,MATCH(B988,Products!$A:$A,0)),"SKU not found"))</f>
        <v/>
      </c>
    </row>
    <row r="989">
      <c r="A989" s="7" t="n"/>
      <c r="B989" s="4" t="n"/>
      <c r="C989" s="4" t="n"/>
      <c r="D989" s="4" t="n"/>
      <c r="E989" s="4" t="n"/>
      <c r="F989" s="6">
        <f>IF(B989="","",IFERROR(INDEX(Products!$E:$E,MATCH(B989,Products!$A:$A,0)),0))</f>
        <v/>
      </c>
      <c r="G989" s="6">
        <f>IF(B989="","",N(C989)*N(F989))</f>
        <v/>
      </c>
      <c r="H989">
        <f>IF(B989="","",IFERROR(INDEX(Products!$B:$B,MATCH(B989,Products!$A:$A,0)),"SKU not found"))</f>
        <v/>
      </c>
    </row>
    <row r="990">
      <c r="A990" s="7" t="n"/>
      <c r="B990" s="4" t="n"/>
      <c r="C990" s="4" t="n"/>
      <c r="D990" s="4" t="n"/>
      <c r="E990" s="4" t="n"/>
      <c r="F990" s="6">
        <f>IF(B990="","",IFERROR(INDEX(Products!$E:$E,MATCH(B990,Products!$A:$A,0)),0))</f>
        <v/>
      </c>
      <c r="G990" s="6">
        <f>IF(B990="","",N(C990)*N(F990))</f>
        <v/>
      </c>
      <c r="H990">
        <f>IF(B990="","",IFERROR(INDEX(Products!$B:$B,MATCH(B990,Products!$A:$A,0)),"SKU not found"))</f>
        <v/>
      </c>
    </row>
    <row r="991">
      <c r="A991" s="7" t="n"/>
      <c r="B991" s="4" t="n"/>
      <c r="C991" s="4" t="n"/>
      <c r="D991" s="4" t="n"/>
      <c r="E991" s="4" t="n"/>
      <c r="F991" s="6">
        <f>IF(B991="","",IFERROR(INDEX(Products!$E:$E,MATCH(B991,Products!$A:$A,0)),0))</f>
        <v/>
      </c>
      <c r="G991" s="6">
        <f>IF(B991="","",N(C991)*N(F991))</f>
        <v/>
      </c>
      <c r="H991">
        <f>IF(B991="","",IFERROR(INDEX(Products!$B:$B,MATCH(B991,Products!$A:$A,0)),"SKU not found"))</f>
        <v/>
      </c>
    </row>
    <row r="992">
      <c r="A992" s="7" t="n"/>
      <c r="B992" s="4" t="n"/>
      <c r="C992" s="4" t="n"/>
      <c r="D992" s="4" t="n"/>
      <c r="E992" s="4" t="n"/>
      <c r="F992" s="6">
        <f>IF(B992="","",IFERROR(INDEX(Products!$E:$E,MATCH(B992,Products!$A:$A,0)),0))</f>
        <v/>
      </c>
      <c r="G992" s="6">
        <f>IF(B992="","",N(C992)*N(F992))</f>
        <v/>
      </c>
      <c r="H992">
        <f>IF(B992="","",IFERROR(INDEX(Products!$B:$B,MATCH(B992,Products!$A:$A,0)),"SKU not found"))</f>
        <v/>
      </c>
    </row>
    <row r="993">
      <c r="A993" s="7" t="n"/>
      <c r="B993" s="4" t="n"/>
      <c r="C993" s="4" t="n"/>
      <c r="D993" s="4" t="n"/>
      <c r="E993" s="4" t="n"/>
      <c r="F993" s="6">
        <f>IF(B993="","",IFERROR(INDEX(Products!$E:$E,MATCH(B993,Products!$A:$A,0)),0))</f>
        <v/>
      </c>
      <c r="G993" s="6">
        <f>IF(B993="","",N(C993)*N(F993))</f>
        <v/>
      </c>
      <c r="H993">
        <f>IF(B993="","",IFERROR(INDEX(Products!$B:$B,MATCH(B993,Products!$A:$A,0)),"SKU not found"))</f>
        <v/>
      </c>
    </row>
    <row r="994">
      <c r="A994" s="7" t="n"/>
      <c r="B994" s="4" t="n"/>
      <c r="C994" s="4" t="n"/>
      <c r="D994" s="4" t="n"/>
      <c r="E994" s="4" t="n"/>
      <c r="F994" s="6">
        <f>IF(B994="","",IFERROR(INDEX(Products!$E:$E,MATCH(B994,Products!$A:$A,0)),0))</f>
        <v/>
      </c>
      <c r="G994" s="6">
        <f>IF(B994="","",N(C994)*N(F994))</f>
        <v/>
      </c>
      <c r="H994">
        <f>IF(B994="","",IFERROR(INDEX(Products!$B:$B,MATCH(B994,Products!$A:$A,0)),"SKU not found"))</f>
        <v/>
      </c>
    </row>
    <row r="995">
      <c r="A995" s="7" t="n"/>
      <c r="B995" s="4" t="n"/>
      <c r="C995" s="4" t="n"/>
      <c r="D995" s="4" t="n"/>
      <c r="E995" s="4" t="n"/>
      <c r="F995" s="6">
        <f>IF(B995="","",IFERROR(INDEX(Products!$E:$E,MATCH(B995,Products!$A:$A,0)),0))</f>
        <v/>
      </c>
      <c r="G995" s="6">
        <f>IF(B995="","",N(C995)*N(F995))</f>
        <v/>
      </c>
      <c r="H995">
        <f>IF(B995="","",IFERROR(INDEX(Products!$B:$B,MATCH(B995,Products!$A:$A,0)),"SKU not found"))</f>
        <v/>
      </c>
    </row>
    <row r="996">
      <c r="A996" s="7" t="n"/>
      <c r="B996" s="4" t="n"/>
      <c r="C996" s="4" t="n"/>
      <c r="D996" s="4" t="n"/>
      <c r="E996" s="4" t="n"/>
      <c r="F996" s="6">
        <f>IF(B996="","",IFERROR(INDEX(Products!$E:$E,MATCH(B996,Products!$A:$A,0)),0))</f>
        <v/>
      </c>
      <c r="G996" s="6">
        <f>IF(B996="","",N(C996)*N(F996))</f>
        <v/>
      </c>
      <c r="H996">
        <f>IF(B996="","",IFERROR(INDEX(Products!$B:$B,MATCH(B996,Products!$A:$A,0)),"SKU not found"))</f>
        <v/>
      </c>
    </row>
    <row r="997">
      <c r="A997" s="7" t="n"/>
      <c r="B997" s="4" t="n"/>
      <c r="C997" s="4" t="n"/>
      <c r="D997" s="4" t="n"/>
      <c r="E997" s="4" t="n"/>
      <c r="F997" s="6">
        <f>IF(B997="","",IFERROR(INDEX(Products!$E:$E,MATCH(B997,Products!$A:$A,0)),0))</f>
        <v/>
      </c>
      <c r="G997" s="6">
        <f>IF(B997="","",N(C997)*N(F997))</f>
        <v/>
      </c>
      <c r="H997">
        <f>IF(B997="","",IFERROR(INDEX(Products!$B:$B,MATCH(B997,Products!$A:$A,0)),"SKU not found"))</f>
        <v/>
      </c>
    </row>
    <row r="998">
      <c r="A998" s="7" t="n"/>
      <c r="B998" s="4" t="n"/>
      <c r="C998" s="4" t="n"/>
      <c r="D998" s="4" t="n"/>
      <c r="E998" s="4" t="n"/>
      <c r="F998" s="6">
        <f>IF(B998="","",IFERROR(INDEX(Products!$E:$E,MATCH(B998,Products!$A:$A,0)),0))</f>
        <v/>
      </c>
      <c r="G998" s="6">
        <f>IF(B998="","",N(C998)*N(F998))</f>
        <v/>
      </c>
      <c r="H998">
        <f>IF(B998="","",IFERROR(INDEX(Products!$B:$B,MATCH(B998,Products!$A:$A,0)),"SKU not found"))</f>
        <v/>
      </c>
    </row>
    <row r="999">
      <c r="A999" s="7" t="n"/>
      <c r="B999" s="4" t="n"/>
      <c r="C999" s="4" t="n"/>
      <c r="D999" s="4" t="n"/>
      <c r="E999" s="4" t="n"/>
      <c r="F999" s="6">
        <f>IF(B999="","",IFERROR(INDEX(Products!$E:$E,MATCH(B999,Products!$A:$A,0)),0))</f>
        <v/>
      </c>
      <c r="G999" s="6">
        <f>IF(B999="","",N(C999)*N(F999))</f>
        <v/>
      </c>
      <c r="H999">
        <f>IF(B999="","",IFERROR(INDEX(Products!$B:$B,MATCH(B999,Products!$A:$A,0)),"SKU not found"))</f>
        <v/>
      </c>
    </row>
    <row r="1000">
      <c r="A1000" s="7" t="n"/>
      <c r="B1000" s="4" t="n"/>
      <c r="C1000" s="4" t="n"/>
      <c r="D1000" s="4" t="n"/>
      <c r="E1000" s="4" t="n"/>
      <c r="F1000" s="6">
        <f>IF(B1000="","",IFERROR(INDEX(Products!$E:$E,MATCH(B1000,Products!$A:$A,0)),0))</f>
        <v/>
      </c>
      <c r="G1000" s="6">
        <f>IF(B1000="","",N(C1000)*N(F1000))</f>
        <v/>
      </c>
      <c r="H1000">
        <f>IF(B1000="","",IFERROR(INDEX(Products!$B:$B,MATCH(B1000,Products!$A:$A,0)),"SKU not found"))</f>
        <v/>
      </c>
    </row>
    <row r="1001">
      <c r="A1001" s="7" t="n"/>
      <c r="B1001" s="4" t="n"/>
      <c r="C1001" s="4" t="n"/>
      <c r="D1001" s="4" t="n"/>
      <c r="E1001" s="4" t="n"/>
      <c r="F1001" s="6">
        <f>IF(B1001="","",IFERROR(INDEX(Products!$E:$E,MATCH(B1001,Products!$A:$A,0)),0))</f>
        <v/>
      </c>
      <c r="G1001" s="6">
        <f>IF(B1001="","",N(C1001)*N(F1001))</f>
        <v/>
      </c>
      <c r="H1001">
        <f>IF(B1001="","",IFERROR(INDEX(Products!$B:$B,MATCH(B1001,Products!$A:$A,0)),"SKU not found"))</f>
        <v/>
      </c>
    </row>
    <row r="1002">
      <c r="A1002" s="7" t="n"/>
      <c r="B1002" s="4" t="n"/>
      <c r="C1002" s="4" t="n"/>
      <c r="D1002" s="4" t="n"/>
      <c r="E1002" s="4" t="n"/>
      <c r="F1002" s="6">
        <f>IF(B1002="","",IFERROR(INDEX(Products!$E:$E,MATCH(B1002,Products!$A:$A,0)),0))</f>
        <v/>
      </c>
      <c r="G1002" s="6">
        <f>IF(B1002="","",N(C1002)*N(F1002))</f>
        <v/>
      </c>
      <c r="H1002">
        <f>IF(B1002="","",IFERROR(INDEX(Products!$B:$B,MATCH(B1002,Products!$A:$A,0)),"SKU not found"))</f>
        <v/>
      </c>
    </row>
    <row r="1003">
      <c r="A1003" s="7" t="n"/>
      <c r="B1003" s="4" t="n"/>
      <c r="C1003" s="4" t="n"/>
      <c r="D1003" s="4" t="n"/>
      <c r="E1003" s="4" t="n"/>
      <c r="F1003" s="6">
        <f>IF(B1003="","",IFERROR(INDEX(Products!$E:$E,MATCH(B1003,Products!$A:$A,0)),0))</f>
        <v/>
      </c>
      <c r="G1003" s="6">
        <f>IF(B1003="","",N(C1003)*N(F1003))</f>
        <v/>
      </c>
      <c r="H1003">
        <f>IF(B1003="","",IFERROR(INDEX(Products!$B:$B,MATCH(B1003,Products!$A:$A,0)),"SKU not found"))</f>
        <v/>
      </c>
    </row>
    <row r="1004">
      <c r="A1004" s="7" t="n"/>
      <c r="B1004" s="4" t="n"/>
      <c r="C1004" s="4" t="n"/>
      <c r="D1004" s="4" t="n"/>
      <c r="E1004" s="4" t="n"/>
      <c r="F1004" s="6">
        <f>IF(B1004="","",IFERROR(INDEX(Products!$E:$E,MATCH(B1004,Products!$A:$A,0)),0))</f>
        <v/>
      </c>
      <c r="G1004" s="6">
        <f>IF(B1004="","",N(C1004)*N(F1004))</f>
        <v/>
      </c>
      <c r="H1004">
        <f>IF(B1004="","",IFERROR(INDEX(Products!$B:$B,MATCH(B1004,Products!$A:$A,0)),"SKU not found"))</f>
        <v/>
      </c>
    </row>
    <row r="1005">
      <c r="A1005" s="7" t="n"/>
      <c r="B1005" s="4" t="n"/>
      <c r="C1005" s="4" t="n"/>
      <c r="D1005" s="4" t="n"/>
      <c r="E1005" s="4" t="n"/>
      <c r="F1005" s="6">
        <f>IF(B1005="","",IFERROR(INDEX(Products!$E:$E,MATCH(B1005,Products!$A:$A,0)),0))</f>
        <v/>
      </c>
      <c r="G1005" s="6">
        <f>IF(B1005="","",N(C1005)*N(F1005))</f>
        <v/>
      </c>
      <c r="H1005">
        <f>IF(B1005="","",IFERROR(INDEX(Products!$B:$B,MATCH(B1005,Products!$A:$A,0)),"SKU not found"))</f>
        <v/>
      </c>
    </row>
    <row r="1006">
      <c r="A1006" s="7" t="n"/>
      <c r="B1006" s="4" t="n"/>
      <c r="C1006" s="4" t="n"/>
      <c r="D1006" s="4" t="n"/>
      <c r="E1006" s="4" t="n"/>
      <c r="F1006" s="6">
        <f>IF(B1006="","",IFERROR(INDEX(Products!$E:$E,MATCH(B1006,Products!$A:$A,0)),0))</f>
        <v/>
      </c>
      <c r="G1006" s="6">
        <f>IF(B1006="","",N(C1006)*N(F1006))</f>
        <v/>
      </c>
      <c r="H1006">
        <f>IF(B1006="","",IFERROR(INDEX(Products!$B:$B,MATCH(B1006,Products!$A:$A,0)),"SKU not found"))</f>
        <v/>
      </c>
    </row>
    <row r="1007">
      <c r="A1007" s="7" t="n"/>
      <c r="B1007" s="4" t="n"/>
      <c r="C1007" s="4" t="n"/>
      <c r="D1007" s="4" t="n"/>
      <c r="E1007" s="4" t="n"/>
      <c r="F1007" s="6">
        <f>IF(B1007="","",IFERROR(INDEX(Products!$E:$E,MATCH(B1007,Products!$A:$A,0)),0))</f>
        <v/>
      </c>
      <c r="G1007" s="6">
        <f>IF(B1007="","",N(C1007)*N(F1007))</f>
        <v/>
      </c>
      <c r="H1007">
        <f>IF(B1007="","",IFERROR(INDEX(Products!$B:$B,MATCH(B1007,Products!$A:$A,0)),"SKU not found"))</f>
        <v/>
      </c>
    </row>
    <row r="1008">
      <c r="A1008" s="7" t="n"/>
      <c r="B1008" s="4" t="n"/>
      <c r="C1008" s="4" t="n"/>
      <c r="D1008" s="4" t="n"/>
      <c r="E1008" s="4" t="n"/>
      <c r="F1008" s="6">
        <f>IF(B1008="","",IFERROR(INDEX(Products!$E:$E,MATCH(B1008,Products!$A:$A,0)),0))</f>
        <v/>
      </c>
      <c r="G1008" s="6">
        <f>IF(B1008="","",N(C1008)*N(F1008))</f>
        <v/>
      </c>
      <c r="H1008">
        <f>IF(B1008="","",IFERROR(INDEX(Products!$B:$B,MATCH(B1008,Products!$A:$A,0)),"SKU not found"))</f>
        <v/>
      </c>
    </row>
    <row r="1009">
      <c r="A1009" s="7" t="n"/>
      <c r="B1009" s="4" t="n"/>
      <c r="C1009" s="4" t="n"/>
      <c r="D1009" s="4" t="n"/>
      <c r="E1009" s="4" t="n"/>
      <c r="F1009" s="6">
        <f>IF(B1009="","",IFERROR(INDEX(Products!$E:$E,MATCH(B1009,Products!$A:$A,0)),0))</f>
        <v/>
      </c>
      <c r="G1009" s="6">
        <f>IF(B1009="","",N(C1009)*N(F1009))</f>
        <v/>
      </c>
      <c r="H1009">
        <f>IF(B1009="","",IFERROR(INDEX(Products!$B:$B,MATCH(B1009,Products!$A:$A,0)),"SKU not found"))</f>
        <v/>
      </c>
    </row>
    <row r="1010">
      <c r="A1010" s="7" t="n"/>
      <c r="B1010" s="4" t="n"/>
      <c r="C1010" s="4" t="n"/>
      <c r="D1010" s="4" t="n"/>
      <c r="E1010" s="4" t="n"/>
      <c r="F1010" s="6">
        <f>IF(B1010="","",IFERROR(INDEX(Products!$E:$E,MATCH(B1010,Products!$A:$A,0)),0))</f>
        <v/>
      </c>
      <c r="G1010" s="6">
        <f>IF(B1010="","",N(C1010)*N(F1010))</f>
        <v/>
      </c>
      <c r="H1010">
        <f>IF(B1010="","",IFERROR(INDEX(Products!$B:$B,MATCH(B1010,Products!$A:$A,0)),"SKU not found"))</f>
        <v/>
      </c>
    </row>
    <row r="1011">
      <c r="A1011" s="7" t="n"/>
      <c r="B1011" s="4" t="n"/>
      <c r="C1011" s="4" t="n"/>
      <c r="D1011" s="4" t="n"/>
      <c r="E1011" s="4" t="n"/>
      <c r="F1011" s="6">
        <f>IF(B1011="","",IFERROR(INDEX(Products!$E:$E,MATCH(B1011,Products!$A:$A,0)),0))</f>
        <v/>
      </c>
      <c r="G1011" s="6">
        <f>IF(B1011="","",N(C1011)*N(F1011))</f>
        <v/>
      </c>
      <c r="H1011">
        <f>IF(B1011="","",IFERROR(INDEX(Products!$B:$B,MATCH(B1011,Products!$A:$A,0)),"SKU not found"))</f>
        <v/>
      </c>
    </row>
    <row r="1012">
      <c r="A1012" s="7" t="n"/>
      <c r="B1012" s="4" t="n"/>
      <c r="C1012" s="4" t="n"/>
      <c r="D1012" s="4" t="n"/>
      <c r="E1012" s="4" t="n"/>
      <c r="F1012" s="6">
        <f>IF(B1012="","",IFERROR(INDEX(Products!$E:$E,MATCH(B1012,Products!$A:$A,0)),0))</f>
        <v/>
      </c>
      <c r="G1012" s="6">
        <f>IF(B1012="","",N(C1012)*N(F1012))</f>
        <v/>
      </c>
      <c r="H1012">
        <f>IF(B1012="","",IFERROR(INDEX(Products!$B:$B,MATCH(B1012,Products!$A:$A,0)),"SKU not found"))</f>
        <v/>
      </c>
    </row>
    <row r="1013">
      <c r="A1013" s="7" t="n"/>
      <c r="B1013" s="4" t="n"/>
      <c r="C1013" s="4" t="n"/>
      <c r="D1013" s="4" t="n"/>
      <c r="E1013" s="4" t="n"/>
      <c r="F1013" s="6">
        <f>IF(B1013="","",IFERROR(INDEX(Products!$E:$E,MATCH(B1013,Products!$A:$A,0)),0))</f>
        <v/>
      </c>
      <c r="G1013" s="6">
        <f>IF(B1013="","",N(C1013)*N(F1013))</f>
        <v/>
      </c>
      <c r="H1013">
        <f>IF(B1013="","",IFERROR(INDEX(Products!$B:$B,MATCH(B1013,Products!$A:$A,0)),"SKU not found"))</f>
        <v/>
      </c>
    </row>
    <row r="1014">
      <c r="A1014" s="7" t="n"/>
      <c r="B1014" s="4" t="n"/>
      <c r="C1014" s="4" t="n"/>
      <c r="D1014" s="4" t="n"/>
      <c r="E1014" s="4" t="n"/>
      <c r="F1014" s="6">
        <f>IF(B1014="","",IFERROR(INDEX(Products!$E:$E,MATCH(B1014,Products!$A:$A,0)),0))</f>
        <v/>
      </c>
      <c r="G1014" s="6">
        <f>IF(B1014="","",N(C1014)*N(F1014))</f>
        <v/>
      </c>
      <c r="H1014">
        <f>IF(B1014="","",IFERROR(INDEX(Products!$B:$B,MATCH(B1014,Products!$A:$A,0)),"SKU not found"))</f>
        <v/>
      </c>
    </row>
    <row r="1015">
      <c r="A1015" s="7" t="n"/>
      <c r="B1015" s="4" t="n"/>
      <c r="C1015" s="4" t="n"/>
      <c r="D1015" s="4" t="n"/>
      <c r="E1015" s="4" t="n"/>
      <c r="F1015" s="6">
        <f>IF(B1015="","",IFERROR(INDEX(Products!$E:$E,MATCH(B1015,Products!$A:$A,0)),0))</f>
        <v/>
      </c>
      <c r="G1015" s="6">
        <f>IF(B1015="","",N(C1015)*N(F1015))</f>
        <v/>
      </c>
      <c r="H1015">
        <f>IF(B1015="","",IFERROR(INDEX(Products!$B:$B,MATCH(B1015,Products!$A:$A,0)),"SKU not found"))</f>
        <v/>
      </c>
    </row>
    <row r="1016">
      <c r="A1016" s="7" t="n"/>
      <c r="B1016" s="4" t="n"/>
      <c r="C1016" s="4" t="n"/>
      <c r="D1016" s="4" t="n"/>
      <c r="E1016" s="4" t="n"/>
      <c r="F1016" s="6">
        <f>IF(B1016="","",IFERROR(INDEX(Products!$E:$E,MATCH(B1016,Products!$A:$A,0)),0))</f>
        <v/>
      </c>
      <c r="G1016" s="6">
        <f>IF(B1016="","",N(C1016)*N(F1016))</f>
        <v/>
      </c>
      <c r="H1016">
        <f>IF(B1016="","",IFERROR(INDEX(Products!$B:$B,MATCH(B1016,Products!$A:$A,0)),"SKU not found"))</f>
        <v/>
      </c>
    </row>
    <row r="1017">
      <c r="A1017" s="7" t="n"/>
      <c r="B1017" s="4" t="n"/>
      <c r="C1017" s="4" t="n"/>
      <c r="D1017" s="4" t="n"/>
      <c r="E1017" s="4" t="n"/>
      <c r="F1017" s="6">
        <f>IF(B1017="","",IFERROR(INDEX(Products!$E:$E,MATCH(B1017,Products!$A:$A,0)),0))</f>
        <v/>
      </c>
      <c r="G1017" s="6">
        <f>IF(B1017="","",N(C1017)*N(F1017))</f>
        <v/>
      </c>
      <c r="H1017">
        <f>IF(B1017="","",IFERROR(INDEX(Products!$B:$B,MATCH(B1017,Products!$A:$A,0)),"SKU not found"))</f>
        <v/>
      </c>
    </row>
    <row r="1018">
      <c r="A1018" s="7" t="n"/>
      <c r="B1018" s="4" t="n"/>
      <c r="C1018" s="4" t="n"/>
      <c r="D1018" s="4" t="n"/>
      <c r="E1018" s="4" t="n"/>
      <c r="F1018" s="6">
        <f>IF(B1018="","",IFERROR(INDEX(Products!$E:$E,MATCH(B1018,Products!$A:$A,0)),0))</f>
        <v/>
      </c>
      <c r="G1018" s="6">
        <f>IF(B1018="","",N(C1018)*N(F1018))</f>
        <v/>
      </c>
      <c r="H1018">
        <f>IF(B1018="","",IFERROR(INDEX(Products!$B:$B,MATCH(B1018,Products!$A:$A,0)),"SKU not found"))</f>
        <v/>
      </c>
    </row>
    <row r="1019">
      <c r="A1019" s="7" t="n"/>
      <c r="B1019" s="4" t="n"/>
      <c r="C1019" s="4" t="n"/>
      <c r="D1019" s="4" t="n"/>
      <c r="E1019" s="4" t="n"/>
      <c r="F1019" s="6">
        <f>IF(B1019="","",IFERROR(INDEX(Products!$E:$E,MATCH(B1019,Products!$A:$A,0)),0))</f>
        <v/>
      </c>
      <c r="G1019" s="6">
        <f>IF(B1019="","",N(C1019)*N(F1019))</f>
        <v/>
      </c>
      <c r="H1019">
        <f>IF(B1019="","",IFERROR(INDEX(Products!$B:$B,MATCH(B1019,Products!$A:$A,0)),"SKU not found"))</f>
        <v/>
      </c>
    </row>
    <row r="1020">
      <c r="A1020" s="7" t="n"/>
      <c r="B1020" s="4" t="n"/>
      <c r="C1020" s="4" t="n"/>
      <c r="D1020" s="4" t="n"/>
      <c r="E1020" s="4" t="n"/>
      <c r="F1020" s="6">
        <f>IF(B1020="","",IFERROR(INDEX(Products!$E:$E,MATCH(B1020,Products!$A:$A,0)),0))</f>
        <v/>
      </c>
      <c r="G1020" s="6">
        <f>IF(B1020="","",N(C1020)*N(F1020))</f>
        <v/>
      </c>
      <c r="H1020">
        <f>IF(B1020="","",IFERROR(INDEX(Products!$B:$B,MATCH(B1020,Products!$A:$A,0)),"SKU not found"))</f>
        <v/>
      </c>
    </row>
    <row r="1021">
      <c r="A1021" s="7" t="n"/>
      <c r="B1021" s="4" t="n"/>
      <c r="C1021" s="4" t="n"/>
      <c r="D1021" s="4" t="n"/>
      <c r="E1021" s="4" t="n"/>
      <c r="F1021" s="6">
        <f>IF(B1021="","",IFERROR(INDEX(Products!$E:$E,MATCH(B1021,Products!$A:$A,0)),0))</f>
        <v/>
      </c>
      <c r="G1021" s="6">
        <f>IF(B1021="","",N(C1021)*N(F1021))</f>
        <v/>
      </c>
      <c r="H1021">
        <f>IF(B1021="","",IFERROR(INDEX(Products!$B:$B,MATCH(B1021,Products!$A:$A,0)),"SKU not found"))</f>
        <v/>
      </c>
    </row>
    <row r="1022">
      <c r="A1022" s="7" t="n"/>
      <c r="B1022" s="4" t="n"/>
      <c r="C1022" s="4" t="n"/>
      <c r="D1022" s="4" t="n"/>
      <c r="E1022" s="4" t="n"/>
      <c r="F1022" s="6">
        <f>IF(B1022="","",IFERROR(INDEX(Products!$E:$E,MATCH(B1022,Products!$A:$A,0)),0))</f>
        <v/>
      </c>
      <c r="G1022" s="6">
        <f>IF(B1022="","",N(C1022)*N(F1022))</f>
        <v/>
      </c>
      <c r="H1022">
        <f>IF(B1022="","",IFERROR(INDEX(Products!$B:$B,MATCH(B1022,Products!$A:$A,0)),"SKU not found"))</f>
        <v/>
      </c>
    </row>
    <row r="1023">
      <c r="A1023" s="7" t="n"/>
      <c r="B1023" s="4" t="n"/>
      <c r="C1023" s="4" t="n"/>
      <c r="D1023" s="4" t="n"/>
      <c r="E1023" s="4" t="n"/>
      <c r="F1023" s="6">
        <f>IF(B1023="","",IFERROR(INDEX(Products!$E:$E,MATCH(B1023,Products!$A:$A,0)),0))</f>
        <v/>
      </c>
      <c r="G1023" s="6">
        <f>IF(B1023="","",N(C1023)*N(F1023))</f>
        <v/>
      </c>
      <c r="H1023">
        <f>IF(B1023="","",IFERROR(INDEX(Products!$B:$B,MATCH(B1023,Products!$A:$A,0)),"SKU not found"))</f>
        <v/>
      </c>
    </row>
    <row r="1024">
      <c r="A1024" s="7" t="n"/>
      <c r="B1024" s="4" t="n"/>
      <c r="C1024" s="4" t="n"/>
      <c r="D1024" s="4" t="n"/>
      <c r="E1024" s="4" t="n"/>
      <c r="F1024" s="6">
        <f>IF(B1024="","",IFERROR(INDEX(Products!$E:$E,MATCH(B1024,Products!$A:$A,0)),0))</f>
        <v/>
      </c>
      <c r="G1024" s="6">
        <f>IF(B1024="","",N(C1024)*N(F1024))</f>
        <v/>
      </c>
      <c r="H1024">
        <f>IF(B1024="","",IFERROR(INDEX(Products!$B:$B,MATCH(B1024,Products!$A:$A,0)),"SKU not found"))</f>
        <v/>
      </c>
    </row>
    <row r="1025">
      <c r="A1025" s="7" t="n"/>
      <c r="B1025" s="4" t="n"/>
      <c r="C1025" s="4" t="n"/>
      <c r="D1025" s="4" t="n"/>
      <c r="E1025" s="4" t="n"/>
      <c r="F1025" s="6">
        <f>IF(B1025="","",IFERROR(INDEX(Products!$E:$E,MATCH(B1025,Products!$A:$A,0)),0))</f>
        <v/>
      </c>
      <c r="G1025" s="6">
        <f>IF(B1025="","",N(C1025)*N(F1025))</f>
        <v/>
      </c>
      <c r="H1025">
        <f>IF(B1025="","",IFERROR(INDEX(Products!$B:$B,MATCH(B1025,Products!$A:$A,0)),"SKU not found"))</f>
        <v/>
      </c>
    </row>
    <row r="1026">
      <c r="A1026" s="7" t="n"/>
      <c r="B1026" s="4" t="n"/>
      <c r="C1026" s="4" t="n"/>
      <c r="D1026" s="4" t="n"/>
      <c r="E1026" s="4" t="n"/>
      <c r="F1026" s="6">
        <f>IF(B1026="","",IFERROR(INDEX(Products!$E:$E,MATCH(B1026,Products!$A:$A,0)),0))</f>
        <v/>
      </c>
      <c r="G1026" s="6">
        <f>IF(B1026="","",N(C1026)*N(F1026))</f>
        <v/>
      </c>
      <c r="H1026">
        <f>IF(B1026="","",IFERROR(INDEX(Products!$B:$B,MATCH(B1026,Products!$A:$A,0)),"SKU not found"))</f>
        <v/>
      </c>
    </row>
    <row r="1027">
      <c r="A1027" s="7" t="n"/>
      <c r="B1027" s="4" t="n"/>
      <c r="C1027" s="4" t="n"/>
      <c r="D1027" s="4" t="n"/>
      <c r="E1027" s="4" t="n"/>
      <c r="F1027" s="6">
        <f>IF(B1027="","",IFERROR(INDEX(Products!$E:$E,MATCH(B1027,Products!$A:$A,0)),0))</f>
        <v/>
      </c>
      <c r="G1027" s="6">
        <f>IF(B1027="","",N(C1027)*N(F1027))</f>
        <v/>
      </c>
      <c r="H1027">
        <f>IF(B1027="","",IFERROR(INDEX(Products!$B:$B,MATCH(B1027,Products!$A:$A,0)),"SKU not found"))</f>
        <v/>
      </c>
    </row>
    <row r="1028">
      <c r="A1028" s="7" t="n"/>
      <c r="B1028" s="4" t="n"/>
      <c r="C1028" s="4" t="n"/>
      <c r="D1028" s="4" t="n"/>
      <c r="E1028" s="4" t="n"/>
      <c r="F1028" s="6">
        <f>IF(B1028="","",IFERROR(INDEX(Products!$E:$E,MATCH(B1028,Products!$A:$A,0)),0))</f>
        <v/>
      </c>
      <c r="G1028" s="6">
        <f>IF(B1028="","",N(C1028)*N(F1028))</f>
        <v/>
      </c>
      <c r="H1028">
        <f>IF(B1028="","",IFERROR(INDEX(Products!$B:$B,MATCH(B1028,Products!$A:$A,0)),"SKU not found"))</f>
        <v/>
      </c>
    </row>
    <row r="1029">
      <c r="A1029" s="7" t="n"/>
      <c r="B1029" s="4" t="n"/>
      <c r="C1029" s="4" t="n"/>
      <c r="D1029" s="4" t="n"/>
      <c r="E1029" s="4" t="n"/>
      <c r="F1029" s="6">
        <f>IF(B1029="","",IFERROR(INDEX(Products!$E:$E,MATCH(B1029,Products!$A:$A,0)),0))</f>
        <v/>
      </c>
      <c r="G1029" s="6">
        <f>IF(B1029="","",N(C1029)*N(F1029))</f>
        <v/>
      </c>
      <c r="H1029">
        <f>IF(B1029="","",IFERROR(INDEX(Products!$B:$B,MATCH(B1029,Products!$A:$A,0)),"SKU not found"))</f>
        <v/>
      </c>
    </row>
    <row r="1030">
      <c r="A1030" s="7" t="n"/>
      <c r="B1030" s="4" t="n"/>
      <c r="C1030" s="4" t="n"/>
      <c r="D1030" s="4" t="n"/>
      <c r="E1030" s="4" t="n"/>
      <c r="F1030" s="6">
        <f>IF(B1030="","",IFERROR(INDEX(Products!$E:$E,MATCH(B1030,Products!$A:$A,0)),0))</f>
        <v/>
      </c>
      <c r="G1030" s="6">
        <f>IF(B1030="","",N(C1030)*N(F1030))</f>
        <v/>
      </c>
      <c r="H1030">
        <f>IF(B1030="","",IFERROR(INDEX(Products!$B:$B,MATCH(B1030,Products!$A:$A,0)),"SKU not found"))</f>
        <v/>
      </c>
    </row>
    <row r="1031">
      <c r="A1031" s="7" t="n"/>
      <c r="B1031" s="4" t="n"/>
      <c r="C1031" s="4" t="n"/>
      <c r="D1031" s="4" t="n"/>
      <c r="E1031" s="4" t="n"/>
      <c r="F1031" s="6">
        <f>IF(B1031="","",IFERROR(INDEX(Products!$E:$E,MATCH(B1031,Products!$A:$A,0)),0))</f>
        <v/>
      </c>
      <c r="G1031" s="6">
        <f>IF(B1031="","",N(C1031)*N(F1031))</f>
        <v/>
      </c>
      <c r="H1031">
        <f>IF(B1031="","",IFERROR(INDEX(Products!$B:$B,MATCH(B1031,Products!$A:$A,0)),"SKU not found"))</f>
        <v/>
      </c>
    </row>
    <row r="1032">
      <c r="A1032" s="7" t="n"/>
      <c r="B1032" s="4" t="n"/>
      <c r="C1032" s="4" t="n"/>
      <c r="D1032" s="4" t="n"/>
      <c r="E1032" s="4" t="n"/>
      <c r="F1032" s="6">
        <f>IF(B1032="","",IFERROR(INDEX(Products!$E:$E,MATCH(B1032,Products!$A:$A,0)),0))</f>
        <v/>
      </c>
      <c r="G1032" s="6">
        <f>IF(B1032="","",N(C1032)*N(F1032))</f>
        <v/>
      </c>
      <c r="H1032">
        <f>IF(B1032="","",IFERROR(INDEX(Products!$B:$B,MATCH(B1032,Products!$A:$A,0)),"SKU not found"))</f>
        <v/>
      </c>
    </row>
    <row r="1033">
      <c r="A1033" s="7" t="n"/>
      <c r="B1033" s="4" t="n"/>
      <c r="C1033" s="4" t="n"/>
      <c r="D1033" s="4" t="n"/>
      <c r="E1033" s="4" t="n"/>
      <c r="F1033" s="6">
        <f>IF(B1033="","",IFERROR(INDEX(Products!$E:$E,MATCH(B1033,Products!$A:$A,0)),0))</f>
        <v/>
      </c>
      <c r="G1033" s="6">
        <f>IF(B1033="","",N(C1033)*N(F1033))</f>
        <v/>
      </c>
      <c r="H1033">
        <f>IF(B1033="","",IFERROR(INDEX(Products!$B:$B,MATCH(B1033,Products!$A:$A,0)),"SKU not found"))</f>
        <v/>
      </c>
    </row>
    <row r="1034">
      <c r="A1034" s="7" t="n"/>
      <c r="B1034" s="4" t="n"/>
      <c r="C1034" s="4" t="n"/>
      <c r="D1034" s="4" t="n"/>
      <c r="E1034" s="4" t="n"/>
      <c r="F1034" s="6">
        <f>IF(B1034="","",IFERROR(INDEX(Products!$E:$E,MATCH(B1034,Products!$A:$A,0)),0))</f>
        <v/>
      </c>
      <c r="G1034" s="6">
        <f>IF(B1034="","",N(C1034)*N(F1034))</f>
        <v/>
      </c>
      <c r="H1034">
        <f>IF(B1034="","",IFERROR(INDEX(Products!$B:$B,MATCH(B1034,Products!$A:$A,0)),"SKU not found"))</f>
        <v/>
      </c>
    </row>
    <row r="1035">
      <c r="A1035" s="7" t="n"/>
      <c r="B1035" s="4" t="n"/>
      <c r="C1035" s="4" t="n"/>
      <c r="D1035" s="4" t="n"/>
      <c r="E1035" s="4" t="n"/>
      <c r="F1035" s="6">
        <f>IF(B1035="","",IFERROR(INDEX(Products!$E:$E,MATCH(B1035,Products!$A:$A,0)),0))</f>
        <v/>
      </c>
      <c r="G1035" s="6">
        <f>IF(B1035="","",N(C1035)*N(F1035))</f>
        <v/>
      </c>
      <c r="H1035">
        <f>IF(B1035="","",IFERROR(INDEX(Products!$B:$B,MATCH(B1035,Products!$A:$A,0)),"SKU not found"))</f>
        <v/>
      </c>
    </row>
    <row r="1036">
      <c r="A1036" s="7" t="n"/>
      <c r="B1036" s="4" t="n"/>
      <c r="C1036" s="4" t="n"/>
      <c r="D1036" s="4" t="n"/>
      <c r="E1036" s="4" t="n"/>
      <c r="F1036" s="6">
        <f>IF(B1036="","",IFERROR(INDEX(Products!$E:$E,MATCH(B1036,Products!$A:$A,0)),0))</f>
        <v/>
      </c>
      <c r="G1036" s="6">
        <f>IF(B1036="","",N(C1036)*N(F1036))</f>
        <v/>
      </c>
      <c r="H1036">
        <f>IF(B1036="","",IFERROR(INDEX(Products!$B:$B,MATCH(B1036,Products!$A:$A,0)),"SKU not found"))</f>
        <v/>
      </c>
    </row>
    <row r="1037">
      <c r="A1037" s="7" t="n"/>
      <c r="B1037" s="4" t="n"/>
      <c r="C1037" s="4" t="n"/>
      <c r="D1037" s="4" t="n"/>
      <c r="E1037" s="4" t="n"/>
      <c r="F1037" s="6">
        <f>IF(B1037="","",IFERROR(INDEX(Products!$E:$E,MATCH(B1037,Products!$A:$A,0)),0))</f>
        <v/>
      </c>
      <c r="G1037" s="6">
        <f>IF(B1037="","",N(C1037)*N(F1037))</f>
        <v/>
      </c>
      <c r="H1037">
        <f>IF(B1037="","",IFERROR(INDEX(Products!$B:$B,MATCH(B1037,Products!$A:$A,0)),"SKU not found"))</f>
        <v/>
      </c>
    </row>
    <row r="1038">
      <c r="A1038" s="7" t="n"/>
      <c r="B1038" s="4" t="n"/>
      <c r="C1038" s="4" t="n"/>
      <c r="D1038" s="4" t="n"/>
      <c r="E1038" s="4" t="n"/>
      <c r="F1038" s="6">
        <f>IF(B1038="","",IFERROR(INDEX(Products!$E:$E,MATCH(B1038,Products!$A:$A,0)),0))</f>
        <v/>
      </c>
      <c r="G1038" s="6">
        <f>IF(B1038="","",N(C1038)*N(F1038))</f>
        <v/>
      </c>
      <c r="H1038">
        <f>IF(B1038="","",IFERROR(INDEX(Products!$B:$B,MATCH(B1038,Products!$A:$A,0)),"SKU not found"))</f>
        <v/>
      </c>
    </row>
    <row r="1039">
      <c r="A1039" s="7" t="n"/>
      <c r="B1039" s="4" t="n"/>
      <c r="C1039" s="4" t="n"/>
      <c r="D1039" s="4" t="n"/>
      <c r="E1039" s="4" t="n"/>
      <c r="F1039" s="6">
        <f>IF(B1039="","",IFERROR(INDEX(Products!$E:$E,MATCH(B1039,Products!$A:$A,0)),0))</f>
        <v/>
      </c>
      <c r="G1039" s="6">
        <f>IF(B1039="","",N(C1039)*N(F1039))</f>
        <v/>
      </c>
      <c r="H1039">
        <f>IF(B1039="","",IFERROR(INDEX(Products!$B:$B,MATCH(B1039,Products!$A:$A,0)),"SKU not found"))</f>
        <v/>
      </c>
    </row>
    <row r="1040">
      <c r="A1040" s="7" t="n"/>
      <c r="B1040" s="4" t="n"/>
      <c r="C1040" s="4" t="n"/>
      <c r="D1040" s="4" t="n"/>
      <c r="E1040" s="4" t="n"/>
      <c r="F1040" s="6">
        <f>IF(B1040="","",IFERROR(INDEX(Products!$E:$E,MATCH(B1040,Products!$A:$A,0)),0))</f>
        <v/>
      </c>
      <c r="G1040" s="6">
        <f>IF(B1040="","",N(C1040)*N(F1040))</f>
        <v/>
      </c>
      <c r="H1040">
        <f>IF(B1040="","",IFERROR(INDEX(Products!$B:$B,MATCH(B1040,Products!$A:$A,0)),"SKU not found"))</f>
        <v/>
      </c>
    </row>
    <row r="1041">
      <c r="A1041" s="7" t="n"/>
      <c r="B1041" s="4" t="n"/>
      <c r="C1041" s="4" t="n"/>
      <c r="D1041" s="4" t="n"/>
      <c r="E1041" s="4" t="n"/>
      <c r="F1041" s="6">
        <f>IF(B1041="","",IFERROR(INDEX(Products!$E:$E,MATCH(B1041,Products!$A:$A,0)),0))</f>
        <v/>
      </c>
      <c r="G1041" s="6">
        <f>IF(B1041="","",N(C1041)*N(F1041))</f>
        <v/>
      </c>
      <c r="H1041">
        <f>IF(B1041="","",IFERROR(INDEX(Products!$B:$B,MATCH(B1041,Products!$A:$A,0)),"SKU not found"))</f>
        <v/>
      </c>
    </row>
    <row r="1042">
      <c r="A1042" s="7" t="n"/>
      <c r="B1042" s="4" t="n"/>
      <c r="C1042" s="4" t="n"/>
      <c r="D1042" s="4" t="n"/>
      <c r="E1042" s="4" t="n"/>
      <c r="F1042" s="6">
        <f>IF(B1042="","",IFERROR(INDEX(Products!$E:$E,MATCH(B1042,Products!$A:$A,0)),0))</f>
        <v/>
      </c>
      <c r="G1042" s="6">
        <f>IF(B1042="","",N(C1042)*N(F1042))</f>
        <v/>
      </c>
      <c r="H1042">
        <f>IF(B1042="","",IFERROR(INDEX(Products!$B:$B,MATCH(B1042,Products!$A:$A,0)),"SKU not found"))</f>
        <v/>
      </c>
    </row>
    <row r="1043">
      <c r="A1043" s="7" t="n"/>
      <c r="B1043" s="4" t="n"/>
      <c r="C1043" s="4" t="n"/>
      <c r="D1043" s="4" t="n"/>
      <c r="E1043" s="4" t="n"/>
      <c r="F1043" s="6">
        <f>IF(B1043="","",IFERROR(INDEX(Products!$E:$E,MATCH(B1043,Products!$A:$A,0)),0))</f>
        <v/>
      </c>
      <c r="G1043" s="6">
        <f>IF(B1043="","",N(C1043)*N(F1043))</f>
        <v/>
      </c>
      <c r="H1043">
        <f>IF(B1043="","",IFERROR(INDEX(Products!$B:$B,MATCH(B1043,Products!$A:$A,0)),"SKU not found"))</f>
        <v/>
      </c>
    </row>
    <row r="1044">
      <c r="A1044" s="7" t="n"/>
      <c r="B1044" s="4" t="n"/>
      <c r="C1044" s="4" t="n"/>
      <c r="D1044" s="4" t="n"/>
      <c r="E1044" s="4" t="n"/>
      <c r="F1044" s="6">
        <f>IF(B1044="","",IFERROR(INDEX(Products!$E:$E,MATCH(B1044,Products!$A:$A,0)),0))</f>
        <v/>
      </c>
      <c r="G1044" s="6">
        <f>IF(B1044="","",N(C1044)*N(F1044))</f>
        <v/>
      </c>
      <c r="H1044">
        <f>IF(B1044="","",IFERROR(INDEX(Products!$B:$B,MATCH(B1044,Products!$A:$A,0)),"SKU not found"))</f>
        <v/>
      </c>
    </row>
    <row r="1045">
      <c r="A1045" s="7" t="n"/>
      <c r="B1045" s="4" t="n"/>
      <c r="C1045" s="4" t="n"/>
      <c r="D1045" s="4" t="n"/>
      <c r="E1045" s="4" t="n"/>
      <c r="F1045" s="6">
        <f>IF(B1045="","",IFERROR(INDEX(Products!$E:$E,MATCH(B1045,Products!$A:$A,0)),0))</f>
        <v/>
      </c>
      <c r="G1045" s="6">
        <f>IF(B1045="","",N(C1045)*N(F1045))</f>
        <v/>
      </c>
      <c r="H1045">
        <f>IF(B1045="","",IFERROR(INDEX(Products!$B:$B,MATCH(B1045,Products!$A:$A,0)),"SKU not found"))</f>
        <v/>
      </c>
    </row>
    <row r="1046">
      <c r="A1046" s="7" t="n"/>
      <c r="B1046" s="4" t="n"/>
      <c r="C1046" s="4" t="n"/>
      <c r="D1046" s="4" t="n"/>
      <c r="E1046" s="4" t="n"/>
      <c r="F1046" s="6">
        <f>IF(B1046="","",IFERROR(INDEX(Products!$E:$E,MATCH(B1046,Products!$A:$A,0)),0))</f>
        <v/>
      </c>
      <c r="G1046" s="6">
        <f>IF(B1046="","",N(C1046)*N(F1046))</f>
        <v/>
      </c>
      <c r="H1046">
        <f>IF(B1046="","",IFERROR(INDEX(Products!$B:$B,MATCH(B1046,Products!$A:$A,0)),"SKU not found"))</f>
        <v/>
      </c>
    </row>
    <row r="1047">
      <c r="A1047" s="7" t="n"/>
      <c r="B1047" s="4" t="n"/>
      <c r="C1047" s="4" t="n"/>
      <c r="D1047" s="4" t="n"/>
      <c r="E1047" s="4" t="n"/>
      <c r="F1047" s="6">
        <f>IF(B1047="","",IFERROR(INDEX(Products!$E:$E,MATCH(B1047,Products!$A:$A,0)),0))</f>
        <v/>
      </c>
      <c r="G1047" s="6">
        <f>IF(B1047="","",N(C1047)*N(F1047))</f>
        <v/>
      </c>
      <c r="H1047">
        <f>IF(B1047="","",IFERROR(INDEX(Products!$B:$B,MATCH(B1047,Products!$A:$A,0)),"SKU not found"))</f>
        <v/>
      </c>
    </row>
    <row r="1048">
      <c r="A1048" s="7" t="n"/>
      <c r="B1048" s="4" t="n"/>
      <c r="C1048" s="4" t="n"/>
      <c r="D1048" s="4" t="n"/>
      <c r="E1048" s="4" t="n"/>
      <c r="F1048" s="6">
        <f>IF(B1048="","",IFERROR(INDEX(Products!$E:$E,MATCH(B1048,Products!$A:$A,0)),0))</f>
        <v/>
      </c>
      <c r="G1048" s="6">
        <f>IF(B1048="","",N(C1048)*N(F1048))</f>
        <v/>
      </c>
      <c r="H1048">
        <f>IF(B1048="","",IFERROR(INDEX(Products!$B:$B,MATCH(B1048,Products!$A:$A,0)),"SKU not found"))</f>
        <v/>
      </c>
    </row>
    <row r="1049">
      <c r="A1049" s="7" t="n"/>
      <c r="B1049" s="4" t="n"/>
      <c r="C1049" s="4" t="n"/>
      <c r="D1049" s="4" t="n"/>
      <c r="E1049" s="4" t="n"/>
      <c r="F1049" s="6">
        <f>IF(B1049="","",IFERROR(INDEX(Products!$E:$E,MATCH(B1049,Products!$A:$A,0)),0))</f>
        <v/>
      </c>
      <c r="G1049" s="6">
        <f>IF(B1049="","",N(C1049)*N(F1049))</f>
        <v/>
      </c>
      <c r="H1049">
        <f>IF(B1049="","",IFERROR(INDEX(Products!$B:$B,MATCH(B1049,Products!$A:$A,0)),"SKU not found"))</f>
        <v/>
      </c>
    </row>
    <row r="1050">
      <c r="A1050" s="7" t="n"/>
      <c r="B1050" s="4" t="n"/>
      <c r="C1050" s="4" t="n"/>
      <c r="D1050" s="4" t="n"/>
      <c r="E1050" s="4" t="n"/>
      <c r="F1050" s="6">
        <f>IF(B1050="","",IFERROR(INDEX(Products!$E:$E,MATCH(B1050,Products!$A:$A,0)),0))</f>
        <v/>
      </c>
      <c r="G1050" s="6">
        <f>IF(B1050="","",N(C1050)*N(F1050))</f>
        <v/>
      </c>
      <c r="H1050">
        <f>IF(B1050="","",IFERROR(INDEX(Products!$B:$B,MATCH(B1050,Products!$A:$A,0)),"SKU not found"))</f>
        <v/>
      </c>
    </row>
    <row r="1051">
      <c r="A1051" s="7" t="n"/>
      <c r="B1051" s="4" t="n"/>
      <c r="C1051" s="4" t="n"/>
      <c r="D1051" s="4" t="n"/>
      <c r="E1051" s="4" t="n"/>
      <c r="F1051" s="6">
        <f>IF(B1051="","",IFERROR(INDEX(Products!$E:$E,MATCH(B1051,Products!$A:$A,0)),0))</f>
        <v/>
      </c>
      <c r="G1051" s="6">
        <f>IF(B1051="","",N(C1051)*N(F1051))</f>
        <v/>
      </c>
      <c r="H1051">
        <f>IF(B1051="","",IFERROR(INDEX(Products!$B:$B,MATCH(B1051,Products!$A:$A,0)),"SKU not found"))</f>
        <v/>
      </c>
    </row>
    <row r="1052">
      <c r="A1052" s="7" t="n"/>
      <c r="B1052" s="4" t="n"/>
      <c r="C1052" s="4" t="n"/>
      <c r="D1052" s="4" t="n"/>
      <c r="E1052" s="4" t="n"/>
      <c r="F1052" s="6">
        <f>IF(B1052="","",IFERROR(INDEX(Products!$E:$E,MATCH(B1052,Products!$A:$A,0)),0))</f>
        <v/>
      </c>
      <c r="G1052" s="6">
        <f>IF(B1052="","",N(C1052)*N(F1052))</f>
        <v/>
      </c>
      <c r="H1052">
        <f>IF(B1052="","",IFERROR(INDEX(Products!$B:$B,MATCH(B1052,Products!$A:$A,0)),"SKU not found"))</f>
        <v/>
      </c>
    </row>
    <row r="1053">
      <c r="A1053" s="7" t="n"/>
      <c r="B1053" s="4" t="n"/>
      <c r="C1053" s="4" t="n"/>
      <c r="D1053" s="4" t="n"/>
      <c r="E1053" s="4" t="n"/>
      <c r="F1053" s="6">
        <f>IF(B1053="","",IFERROR(INDEX(Products!$E:$E,MATCH(B1053,Products!$A:$A,0)),0))</f>
        <v/>
      </c>
      <c r="G1053" s="6">
        <f>IF(B1053="","",N(C1053)*N(F1053))</f>
        <v/>
      </c>
      <c r="H1053">
        <f>IF(B1053="","",IFERROR(INDEX(Products!$B:$B,MATCH(B1053,Products!$A:$A,0)),"SKU not found"))</f>
        <v/>
      </c>
    </row>
    <row r="1054">
      <c r="A1054" s="7" t="n"/>
      <c r="B1054" s="4" t="n"/>
      <c r="C1054" s="4" t="n"/>
      <c r="D1054" s="4" t="n"/>
      <c r="E1054" s="4" t="n"/>
      <c r="F1054" s="6">
        <f>IF(B1054="","",IFERROR(INDEX(Products!$E:$E,MATCH(B1054,Products!$A:$A,0)),0))</f>
        <v/>
      </c>
      <c r="G1054" s="6">
        <f>IF(B1054="","",N(C1054)*N(F1054))</f>
        <v/>
      </c>
      <c r="H1054">
        <f>IF(B1054="","",IFERROR(INDEX(Products!$B:$B,MATCH(B1054,Products!$A:$A,0)),"SKU not found"))</f>
        <v/>
      </c>
    </row>
    <row r="1055">
      <c r="A1055" s="7" t="n"/>
      <c r="B1055" s="4" t="n"/>
      <c r="C1055" s="4" t="n"/>
      <c r="D1055" s="4" t="n"/>
      <c r="E1055" s="4" t="n"/>
      <c r="F1055" s="6">
        <f>IF(B1055="","",IFERROR(INDEX(Products!$E:$E,MATCH(B1055,Products!$A:$A,0)),0))</f>
        <v/>
      </c>
      <c r="G1055" s="6">
        <f>IF(B1055="","",N(C1055)*N(F1055))</f>
        <v/>
      </c>
      <c r="H1055">
        <f>IF(B1055="","",IFERROR(INDEX(Products!$B:$B,MATCH(B1055,Products!$A:$A,0)),"SKU not found"))</f>
        <v/>
      </c>
    </row>
    <row r="1056">
      <c r="A1056" s="7" t="n"/>
      <c r="B1056" s="4" t="n"/>
      <c r="C1056" s="4" t="n"/>
      <c r="D1056" s="4" t="n"/>
      <c r="E1056" s="4" t="n"/>
      <c r="F1056" s="6">
        <f>IF(B1056="","",IFERROR(INDEX(Products!$E:$E,MATCH(B1056,Products!$A:$A,0)),0))</f>
        <v/>
      </c>
      <c r="G1056" s="6">
        <f>IF(B1056="","",N(C1056)*N(F1056))</f>
        <v/>
      </c>
      <c r="H1056">
        <f>IF(B1056="","",IFERROR(INDEX(Products!$B:$B,MATCH(B1056,Products!$A:$A,0)),"SKU not found"))</f>
        <v/>
      </c>
    </row>
    <row r="1057">
      <c r="A1057" s="7" t="n"/>
      <c r="B1057" s="4" t="n"/>
      <c r="C1057" s="4" t="n"/>
      <c r="D1057" s="4" t="n"/>
      <c r="E1057" s="4" t="n"/>
      <c r="F1057" s="6">
        <f>IF(B1057="","",IFERROR(INDEX(Products!$E:$E,MATCH(B1057,Products!$A:$A,0)),0))</f>
        <v/>
      </c>
      <c r="G1057" s="6">
        <f>IF(B1057="","",N(C1057)*N(F1057))</f>
        <v/>
      </c>
      <c r="H1057">
        <f>IF(B1057="","",IFERROR(INDEX(Products!$B:$B,MATCH(B1057,Products!$A:$A,0)),"SKU not found"))</f>
        <v/>
      </c>
    </row>
    <row r="1058">
      <c r="A1058" s="7" t="n"/>
      <c r="B1058" s="4" t="n"/>
      <c r="C1058" s="4" t="n"/>
      <c r="D1058" s="4" t="n"/>
      <c r="E1058" s="4" t="n"/>
      <c r="F1058" s="6">
        <f>IF(B1058="","",IFERROR(INDEX(Products!$E:$E,MATCH(B1058,Products!$A:$A,0)),0))</f>
        <v/>
      </c>
      <c r="G1058" s="6">
        <f>IF(B1058="","",N(C1058)*N(F1058))</f>
        <v/>
      </c>
      <c r="H1058">
        <f>IF(B1058="","",IFERROR(INDEX(Products!$B:$B,MATCH(B1058,Products!$A:$A,0)),"SKU not found"))</f>
        <v/>
      </c>
    </row>
    <row r="1059">
      <c r="A1059" s="7" t="n"/>
      <c r="B1059" s="4" t="n"/>
      <c r="C1059" s="4" t="n"/>
      <c r="D1059" s="4" t="n"/>
      <c r="E1059" s="4" t="n"/>
      <c r="F1059" s="6">
        <f>IF(B1059="","",IFERROR(INDEX(Products!$E:$E,MATCH(B1059,Products!$A:$A,0)),0))</f>
        <v/>
      </c>
      <c r="G1059" s="6">
        <f>IF(B1059="","",N(C1059)*N(F1059))</f>
        <v/>
      </c>
      <c r="H1059">
        <f>IF(B1059="","",IFERROR(INDEX(Products!$B:$B,MATCH(B1059,Products!$A:$A,0)),"SKU not found"))</f>
        <v/>
      </c>
    </row>
    <row r="1060">
      <c r="A1060" s="7" t="n"/>
      <c r="B1060" s="4" t="n"/>
      <c r="C1060" s="4" t="n"/>
      <c r="D1060" s="4" t="n"/>
      <c r="E1060" s="4" t="n"/>
      <c r="F1060" s="6">
        <f>IF(B1060="","",IFERROR(INDEX(Products!$E:$E,MATCH(B1060,Products!$A:$A,0)),0))</f>
        <v/>
      </c>
      <c r="G1060" s="6">
        <f>IF(B1060="","",N(C1060)*N(F1060))</f>
        <v/>
      </c>
      <c r="H1060">
        <f>IF(B1060="","",IFERROR(INDEX(Products!$B:$B,MATCH(B1060,Products!$A:$A,0)),"SKU not found"))</f>
        <v/>
      </c>
    </row>
    <row r="1061">
      <c r="A1061" s="7" t="n"/>
      <c r="B1061" s="4" t="n"/>
      <c r="C1061" s="4" t="n"/>
      <c r="D1061" s="4" t="n"/>
      <c r="E1061" s="4" t="n"/>
      <c r="F1061" s="6">
        <f>IF(B1061="","",IFERROR(INDEX(Products!$E:$E,MATCH(B1061,Products!$A:$A,0)),0))</f>
        <v/>
      </c>
      <c r="G1061" s="6">
        <f>IF(B1061="","",N(C1061)*N(F1061))</f>
        <v/>
      </c>
      <c r="H1061">
        <f>IF(B1061="","",IFERROR(INDEX(Products!$B:$B,MATCH(B1061,Products!$A:$A,0)),"SKU not found"))</f>
        <v/>
      </c>
    </row>
    <row r="1062">
      <c r="A1062" s="7" t="n"/>
      <c r="B1062" s="4" t="n"/>
      <c r="C1062" s="4" t="n"/>
      <c r="D1062" s="4" t="n"/>
      <c r="E1062" s="4" t="n"/>
      <c r="F1062" s="6">
        <f>IF(B1062="","",IFERROR(INDEX(Products!$E:$E,MATCH(B1062,Products!$A:$A,0)),0))</f>
        <v/>
      </c>
      <c r="G1062" s="6">
        <f>IF(B1062="","",N(C1062)*N(F1062))</f>
        <v/>
      </c>
      <c r="H1062">
        <f>IF(B1062="","",IFERROR(INDEX(Products!$B:$B,MATCH(B1062,Products!$A:$A,0)),"SKU not found"))</f>
        <v/>
      </c>
    </row>
    <row r="1063">
      <c r="A1063" s="7" t="n"/>
      <c r="B1063" s="4" t="n"/>
      <c r="C1063" s="4" t="n"/>
      <c r="D1063" s="4" t="n"/>
      <c r="E1063" s="4" t="n"/>
      <c r="F1063" s="6">
        <f>IF(B1063="","",IFERROR(INDEX(Products!$E:$E,MATCH(B1063,Products!$A:$A,0)),0))</f>
        <v/>
      </c>
      <c r="G1063" s="6">
        <f>IF(B1063="","",N(C1063)*N(F1063))</f>
        <v/>
      </c>
      <c r="H1063">
        <f>IF(B1063="","",IFERROR(INDEX(Products!$B:$B,MATCH(B1063,Products!$A:$A,0)),"SKU not found"))</f>
        <v/>
      </c>
    </row>
    <row r="1064">
      <c r="A1064" s="7" t="n"/>
      <c r="B1064" s="4" t="n"/>
      <c r="C1064" s="4" t="n"/>
      <c r="D1064" s="4" t="n"/>
      <c r="E1064" s="4" t="n"/>
      <c r="F1064" s="6">
        <f>IF(B1064="","",IFERROR(INDEX(Products!$E:$E,MATCH(B1064,Products!$A:$A,0)),0))</f>
        <v/>
      </c>
      <c r="G1064" s="6">
        <f>IF(B1064="","",N(C1064)*N(F1064))</f>
        <v/>
      </c>
      <c r="H1064">
        <f>IF(B1064="","",IFERROR(INDEX(Products!$B:$B,MATCH(B1064,Products!$A:$A,0)),"SKU not found"))</f>
        <v/>
      </c>
    </row>
    <row r="1065">
      <c r="A1065" s="7" t="n"/>
      <c r="B1065" s="4" t="n"/>
      <c r="C1065" s="4" t="n"/>
      <c r="D1065" s="4" t="n"/>
      <c r="E1065" s="4" t="n"/>
      <c r="F1065" s="6">
        <f>IF(B1065="","",IFERROR(INDEX(Products!$E:$E,MATCH(B1065,Products!$A:$A,0)),0))</f>
        <v/>
      </c>
      <c r="G1065" s="6">
        <f>IF(B1065="","",N(C1065)*N(F1065))</f>
        <v/>
      </c>
      <c r="H1065">
        <f>IF(B1065="","",IFERROR(INDEX(Products!$B:$B,MATCH(B1065,Products!$A:$A,0)),"SKU not found"))</f>
        <v/>
      </c>
    </row>
    <row r="1066">
      <c r="A1066" s="7" t="n"/>
      <c r="B1066" s="4" t="n"/>
      <c r="C1066" s="4" t="n"/>
      <c r="D1066" s="4" t="n"/>
      <c r="E1066" s="4" t="n"/>
      <c r="F1066" s="6">
        <f>IF(B1066="","",IFERROR(INDEX(Products!$E:$E,MATCH(B1066,Products!$A:$A,0)),0))</f>
        <v/>
      </c>
      <c r="G1066" s="6">
        <f>IF(B1066="","",N(C1066)*N(F1066))</f>
        <v/>
      </c>
      <c r="H1066">
        <f>IF(B1066="","",IFERROR(INDEX(Products!$B:$B,MATCH(B1066,Products!$A:$A,0)),"SKU not found"))</f>
        <v/>
      </c>
    </row>
    <row r="1067">
      <c r="A1067" s="7" t="n"/>
      <c r="B1067" s="4" t="n"/>
      <c r="C1067" s="4" t="n"/>
      <c r="D1067" s="4" t="n"/>
      <c r="E1067" s="4" t="n"/>
      <c r="F1067" s="6">
        <f>IF(B1067="","",IFERROR(INDEX(Products!$E:$E,MATCH(B1067,Products!$A:$A,0)),0))</f>
        <v/>
      </c>
      <c r="G1067" s="6">
        <f>IF(B1067="","",N(C1067)*N(F1067))</f>
        <v/>
      </c>
      <c r="H1067">
        <f>IF(B1067="","",IFERROR(INDEX(Products!$B:$B,MATCH(B1067,Products!$A:$A,0)),"SKU not found"))</f>
        <v/>
      </c>
    </row>
    <row r="1068">
      <c r="A1068" s="7" t="n"/>
      <c r="B1068" s="4" t="n"/>
      <c r="C1068" s="4" t="n"/>
      <c r="D1068" s="4" t="n"/>
      <c r="E1068" s="4" t="n"/>
      <c r="F1068" s="6">
        <f>IF(B1068="","",IFERROR(INDEX(Products!$E:$E,MATCH(B1068,Products!$A:$A,0)),0))</f>
        <v/>
      </c>
      <c r="G1068" s="6">
        <f>IF(B1068="","",N(C1068)*N(F1068))</f>
        <v/>
      </c>
      <c r="H1068">
        <f>IF(B1068="","",IFERROR(INDEX(Products!$B:$B,MATCH(B1068,Products!$A:$A,0)),"SKU not found"))</f>
        <v/>
      </c>
    </row>
    <row r="1069">
      <c r="A1069" s="7" t="n"/>
      <c r="B1069" s="4" t="n"/>
      <c r="C1069" s="4" t="n"/>
      <c r="D1069" s="4" t="n"/>
      <c r="E1069" s="4" t="n"/>
      <c r="F1069" s="6">
        <f>IF(B1069="","",IFERROR(INDEX(Products!$E:$E,MATCH(B1069,Products!$A:$A,0)),0))</f>
        <v/>
      </c>
      <c r="G1069" s="6">
        <f>IF(B1069="","",N(C1069)*N(F1069))</f>
        <v/>
      </c>
      <c r="H1069">
        <f>IF(B1069="","",IFERROR(INDEX(Products!$B:$B,MATCH(B1069,Products!$A:$A,0)),"SKU not found"))</f>
        <v/>
      </c>
    </row>
    <row r="1070">
      <c r="A1070" s="7" t="n"/>
      <c r="B1070" s="4" t="n"/>
      <c r="C1070" s="4" t="n"/>
      <c r="D1070" s="4" t="n"/>
      <c r="E1070" s="4" t="n"/>
      <c r="F1070" s="6">
        <f>IF(B1070="","",IFERROR(INDEX(Products!$E:$E,MATCH(B1070,Products!$A:$A,0)),0))</f>
        <v/>
      </c>
      <c r="G1070" s="6">
        <f>IF(B1070="","",N(C1070)*N(F1070))</f>
        <v/>
      </c>
      <c r="H1070">
        <f>IF(B1070="","",IFERROR(INDEX(Products!$B:$B,MATCH(B1070,Products!$A:$A,0)),"SKU not found"))</f>
        <v/>
      </c>
    </row>
    <row r="1071">
      <c r="A1071" s="7" t="n"/>
      <c r="B1071" s="4" t="n"/>
      <c r="C1071" s="4" t="n"/>
      <c r="D1071" s="4" t="n"/>
      <c r="E1071" s="4" t="n"/>
      <c r="F1071" s="6">
        <f>IF(B1071="","",IFERROR(INDEX(Products!$E:$E,MATCH(B1071,Products!$A:$A,0)),0))</f>
        <v/>
      </c>
      <c r="G1071" s="6">
        <f>IF(B1071="","",N(C1071)*N(F1071))</f>
        <v/>
      </c>
      <c r="H1071">
        <f>IF(B1071="","",IFERROR(INDEX(Products!$B:$B,MATCH(B1071,Products!$A:$A,0)),"SKU not found"))</f>
        <v/>
      </c>
    </row>
    <row r="1072">
      <c r="A1072" s="7" t="n"/>
      <c r="B1072" s="4" t="n"/>
      <c r="C1072" s="4" t="n"/>
      <c r="D1072" s="4" t="n"/>
      <c r="E1072" s="4" t="n"/>
      <c r="F1072" s="6">
        <f>IF(B1072="","",IFERROR(INDEX(Products!$E:$E,MATCH(B1072,Products!$A:$A,0)),0))</f>
        <v/>
      </c>
      <c r="G1072" s="6">
        <f>IF(B1072="","",N(C1072)*N(F1072))</f>
        <v/>
      </c>
      <c r="H1072">
        <f>IF(B1072="","",IFERROR(INDEX(Products!$B:$B,MATCH(B1072,Products!$A:$A,0)),"SKU not found"))</f>
        <v/>
      </c>
    </row>
    <row r="1073">
      <c r="A1073" s="7" t="n"/>
      <c r="B1073" s="4" t="n"/>
      <c r="C1073" s="4" t="n"/>
      <c r="D1073" s="4" t="n"/>
      <c r="E1073" s="4" t="n"/>
      <c r="F1073" s="6">
        <f>IF(B1073="","",IFERROR(INDEX(Products!$E:$E,MATCH(B1073,Products!$A:$A,0)),0))</f>
        <v/>
      </c>
      <c r="G1073" s="6">
        <f>IF(B1073="","",N(C1073)*N(F1073))</f>
        <v/>
      </c>
      <c r="H1073">
        <f>IF(B1073="","",IFERROR(INDEX(Products!$B:$B,MATCH(B1073,Products!$A:$A,0)),"SKU not found"))</f>
        <v/>
      </c>
    </row>
    <row r="1074">
      <c r="A1074" s="7" t="n"/>
      <c r="B1074" s="4" t="n"/>
      <c r="C1074" s="4" t="n"/>
      <c r="D1074" s="4" t="n"/>
      <c r="E1074" s="4" t="n"/>
      <c r="F1074" s="6">
        <f>IF(B1074="","",IFERROR(INDEX(Products!$E:$E,MATCH(B1074,Products!$A:$A,0)),0))</f>
        <v/>
      </c>
      <c r="G1074" s="6">
        <f>IF(B1074="","",N(C1074)*N(F1074))</f>
        <v/>
      </c>
      <c r="H1074">
        <f>IF(B1074="","",IFERROR(INDEX(Products!$B:$B,MATCH(B1074,Products!$A:$A,0)),"SKU not found"))</f>
        <v/>
      </c>
    </row>
    <row r="1075">
      <c r="A1075" s="7" t="n"/>
      <c r="B1075" s="4" t="n"/>
      <c r="C1075" s="4" t="n"/>
      <c r="D1075" s="4" t="n"/>
      <c r="E1075" s="4" t="n"/>
      <c r="F1075" s="6">
        <f>IF(B1075="","",IFERROR(INDEX(Products!$E:$E,MATCH(B1075,Products!$A:$A,0)),0))</f>
        <v/>
      </c>
      <c r="G1075" s="6">
        <f>IF(B1075="","",N(C1075)*N(F1075))</f>
        <v/>
      </c>
      <c r="H1075">
        <f>IF(B1075="","",IFERROR(INDEX(Products!$B:$B,MATCH(B1075,Products!$A:$A,0)),"SKU not found"))</f>
        <v/>
      </c>
    </row>
    <row r="1076">
      <c r="A1076" s="7" t="n"/>
      <c r="B1076" s="4" t="n"/>
      <c r="C1076" s="4" t="n"/>
      <c r="D1076" s="4" t="n"/>
      <c r="E1076" s="4" t="n"/>
      <c r="F1076" s="6">
        <f>IF(B1076="","",IFERROR(INDEX(Products!$E:$E,MATCH(B1076,Products!$A:$A,0)),0))</f>
        <v/>
      </c>
      <c r="G1076" s="6">
        <f>IF(B1076="","",N(C1076)*N(F1076))</f>
        <v/>
      </c>
      <c r="H1076">
        <f>IF(B1076="","",IFERROR(INDEX(Products!$B:$B,MATCH(B1076,Products!$A:$A,0)),"SKU not found"))</f>
        <v/>
      </c>
    </row>
    <row r="1077">
      <c r="A1077" s="7" t="n"/>
      <c r="B1077" s="4" t="n"/>
      <c r="C1077" s="4" t="n"/>
      <c r="D1077" s="4" t="n"/>
      <c r="E1077" s="4" t="n"/>
      <c r="F1077" s="6">
        <f>IF(B1077="","",IFERROR(INDEX(Products!$E:$E,MATCH(B1077,Products!$A:$A,0)),0))</f>
        <v/>
      </c>
      <c r="G1077" s="6">
        <f>IF(B1077="","",N(C1077)*N(F1077))</f>
        <v/>
      </c>
      <c r="H1077">
        <f>IF(B1077="","",IFERROR(INDEX(Products!$B:$B,MATCH(B1077,Products!$A:$A,0)),"SKU not found"))</f>
        <v/>
      </c>
    </row>
    <row r="1078">
      <c r="A1078" s="7" t="n"/>
      <c r="B1078" s="4" t="n"/>
      <c r="C1078" s="4" t="n"/>
      <c r="D1078" s="4" t="n"/>
      <c r="E1078" s="4" t="n"/>
      <c r="F1078" s="6">
        <f>IF(B1078="","",IFERROR(INDEX(Products!$E:$E,MATCH(B1078,Products!$A:$A,0)),0))</f>
        <v/>
      </c>
      <c r="G1078" s="6">
        <f>IF(B1078="","",N(C1078)*N(F1078))</f>
        <v/>
      </c>
      <c r="H1078">
        <f>IF(B1078="","",IFERROR(INDEX(Products!$B:$B,MATCH(B1078,Products!$A:$A,0)),"SKU not found"))</f>
        <v/>
      </c>
    </row>
    <row r="1079">
      <c r="A1079" s="7" t="n"/>
      <c r="B1079" s="4" t="n"/>
      <c r="C1079" s="4" t="n"/>
      <c r="D1079" s="4" t="n"/>
      <c r="E1079" s="4" t="n"/>
      <c r="F1079" s="6">
        <f>IF(B1079="","",IFERROR(INDEX(Products!$E:$E,MATCH(B1079,Products!$A:$A,0)),0))</f>
        <v/>
      </c>
      <c r="G1079" s="6">
        <f>IF(B1079="","",N(C1079)*N(F1079))</f>
        <v/>
      </c>
      <c r="H1079">
        <f>IF(B1079="","",IFERROR(INDEX(Products!$B:$B,MATCH(B1079,Products!$A:$A,0)),"SKU not found"))</f>
        <v/>
      </c>
    </row>
    <row r="1080">
      <c r="A1080" s="7" t="n"/>
      <c r="B1080" s="4" t="n"/>
      <c r="C1080" s="4" t="n"/>
      <c r="D1080" s="4" t="n"/>
      <c r="E1080" s="4" t="n"/>
      <c r="F1080" s="6">
        <f>IF(B1080="","",IFERROR(INDEX(Products!$E:$E,MATCH(B1080,Products!$A:$A,0)),0))</f>
        <v/>
      </c>
      <c r="G1080" s="6">
        <f>IF(B1080="","",N(C1080)*N(F1080))</f>
        <v/>
      </c>
      <c r="H1080">
        <f>IF(B1080="","",IFERROR(INDEX(Products!$B:$B,MATCH(B1080,Products!$A:$A,0)),"SKU not found"))</f>
        <v/>
      </c>
    </row>
    <row r="1081">
      <c r="A1081" s="7" t="n"/>
      <c r="B1081" s="4" t="n"/>
      <c r="C1081" s="4" t="n"/>
      <c r="D1081" s="4" t="n"/>
      <c r="E1081" s="4" t="n"/>
      <c r="F1081" s="6">
        <f>IF(B1081="","",IFERROR(INDEX(Products!$E:$E,MATCH(B1081,Products!$A:$A,0)),0))</f>
        <v/>
      </c>
      <c r="G1081" s="6">
        <f>IF(B1081="","",N(C1081)*N(F1081))</f>
        <v/>
      </c>
      <c r="H1081">
        <f>IF(B1081="","",IFERROR(INDEX(Products!$B:$B,MATCH(B1081,Products!$A:$A,0)),"SKU not found"))</f>
        <v/>
      </c>
    </row>
    <row r="1082">
      <c r="A1082" s="7" t="n"/>
      <c r="B1082" s="4" t="n"/>
      <c r="C1082" s="4" t="n"/>
      <c r="D1082" s="4" t="n"/>
      <c r="E1082" s="4" t="n"/>
      <c r="F1082" s="6">
        <f>IF(B1082="","",IFERROR(INDEX(Products!$E:$E,MATCH(B1082,Products!$A:$A,0)),0))</f>
        <v/>
      </c>
      <c r="G1082" s="6">
        <f>IF(B1082="","",N(C1082)*N(F1082))</f>
        <v/>
      </c>
      <c r="H1082">
        <f>IF(B1082="","",IFERROR(INDEX(Products!$B:$B,MATCH(B1082,Products!$A:$A,0)),"SKU not found"))</f>
        <v/>
      </c>
    </row>
    <row r="1083">
      <c r="A1083" s="7" t="n"/>
      <c r="B1083" s="4" t="n"/>
      <c r="C1083" s="4" t="n"/>
      <c r="D1083" s="4" t="n"/>
      <c r="E1083" s="4" t="n"/>
      <c r="F1083" s="6">
        <f>IF(B1083="","",IFERROR(INDEX(Products!$E:$E,MATCH(B1083,Products!$A:$A,0)),0))</f>
        <v/>
      </c>
      <c r="G1083" s="6">
        <f>IF(B1083="","",N(C1083)*N(F1083))</f>
        <v/>
      </c>
      <c r="H1083">
        <f>IF(B1083="","",IFERROR(INDEX(Products!$B:$B,MATCH(B1083,Products!$A:$A,0)),"SKU not found"))</f>
        <v/>
      </c>
    </row>
    <row r="1084">
      <c r="A1084" s="7" t="n"/>
      <c r="B1084" s="4" t="n"/>
      <c r="C1084" s="4" t="n"/>
      <c r="D1084" s="4" t="n"/>
      <c r="E1084" s="4" t="n"/>
      <c r="F1084" s="6">
        <f>IF(B1084="","",IFERROR(INDEX(Products!$E:$E,MATCH(B1084,Products!$A:$A,0)),0))</f>
        <v/>
      </c>
      <c r="G1084" s="6">
        <f>IF(B1084="","",N(C1084)*N(F1084))</f>
        <v/>
      </c>
      <c r="H1084">
        <f>IF(B1084="","",IFERROR(INDEX(Products!$B:$B,MATCH(B1084,Products!$A:$A,0)),"SKU not found"))</f>
        <v/>
      </c>
    </row>
    <row r="1085">
      <c r="A1085" s="7" t="n"/>
      <c r="B1085" s="4" t="n"/>
      <c r="C1085" s="4" t="n"/>
      <c r="D1085" s="4" t="n"/>
      <c r="E1085" s="4" t="n"/>
      <c r="F1085" s="6">
        <f>IF(B1085="","",IFERROR(INDEX(Products!$E:$E,MATCH(B1085,Products!$A:$A,0)),0))</f>
        <v/>
      </c>
      <c r="G1085" s="6">
        <f>IF(B1085="","",N(C1085)*N(F1085))</f>
        <v/>
      </c>
      <c r="H1085">
        <f>IF(B1085="","",IFERROR(INDEX(Products!$B:$B,MATCH(B1085,Products!$A:$A,0)),"SKU not found"))</f>
        <v/>
      </c>
    </row>
    <row r="1086">
      <c r="A1086" s="7" t="n"/>
      <c r="B1086" s="4" t="n"/>
      <c r="C1086" s="4" t="n"/>
      <c r="D1086" s="4" t="n"/>
      <c r="E1086" s="4" t="n"/>
      <c r="F1086" s="6">
        <f>IF(B1086="","",IFERROR(INDEX(Products!$E:$E,MATCH(B1086,Products!$A:$A,0)),0))</f>
        <v/>
      </c>
      <c r="G1086" s="6">
        <f>IF(B1086="","",N(C1086)*N(F1086))</f>
        <v/>
      </c>
      <c r="H1086">
        <f>IF(B1086="","",IFERROR(INDEX(Products!$B:$B,MATCH(B1086,Products!$A:$A,0)),"SKU not found"))</f>
        <v/>
      </c>
    </row>
    <row r="1087">
      <c r="A1087" s="7" t="n"/>
      <c r="B1087" s="4" t="n"/>
      <c r="C1087" s="4" t="n"/>
      <c r="D1087" s="4" t="n"/>
      <c r="E1087" s="4" t="n"/>
      <c r="F1087" s="6">
        <f>IF(B1087="","",IFERROR(INDEX(Products!$E:$E,MATCH(B1087,Products!$A:$A,0)),0))</f>
        <v/>
      </c>
      <c r="G1087" s="6">
        <f>IF(B1087="","",N(C1087)*N(F1087))</f>
        <v/>
      </c>
      <c r="H1087">
        <f>IF(B1087="","",IFERROR(INDEX(Products!$B:$B,MATCH(B1087,Products!$A:$A,0)),"SKU not found"))</f>
        <v/>
      </c>
    </row>
    <row r="1088">
      <c r="A1088" s="7" t="n"/>
      <c r="B1088" s="4" t="n"/>
      <c r="C1088" s="4" t="n"/>
      <c r="D1088" s="4" t="n"/>
      <c r="E1088" s="4" t="n"/>
      <c r="F1088" s="6">
        <f>IF(B1088="","",IFERROR(INDEX(Products!$E:$E,MATCH(B1088,Products!$A:$A,0)),0))</f>
        <v/>
      </c>
      <c r="G1088" s="6">
        <f>IF(B1088="","",N(C1088)*N(F1088))</f>
        <v/>
      </c>
      <c r="H1088">
        <f>IF(B1088="","",IFERROR(INDEX(Products!$B:$B,MATCH(B1088,Products!$A:$A,0)),"SKU not found"))</f>
        <v/>
      </c>
    </row>
    <row r="1089">
      <c r="A1089" s="7" t="n"/>
      <c r="B1089" s="4" t="n"/>
      <c r="C1089" s="4" t="n"/>
      <c r="D1089" s="4" t="n"/>
      <c r="E1089" s="4" t="n"/>
      <c r="F1089" s="6">
        <f>IF(B1089="","",IFERROR(INDEX(Products!$E:$E,MATCH(B1089,Products!$A:$A,0)),0))</f>
        <v/>
      </c>
      <c r="G1089" s="6">
        <f>IF(B1089="","",N(C1089)*N(F1089))</f>
        <v/>
      </c>
      <c r="H1089">
        <f>IF(B1089="","",IFERROR(INDEX(Products!$B:$B,MATCH(B1089,Products!$A:$A,0)),"SKU not found"))</f>
        <v/>
      </c>
    </row>
    <row r="1090">
      <c r="A1090" s="7" t="n"/>
      <c r="B1090" s="4" t="n"/>
      <c r="C1090" s="4" t="n"/>
      <c r="D1090" s="4" t="n"/>
      <c r="E1090" s="4" t="n"/>
      <c r="F1090" s="6">
        <f>IF(B1090="","",IFERROR(INDEX(Products!$E:$E,MATCH(B1090,Products!$A:$A,0)),0))</f>
        <v/>
      </c>
      <c r="G1090" s="6">
        <f>IF(B1090="","",N(C1090)*N(F1090))</f>
        <v/>
      </c>
      <c r="H1090">
        <f>IF(B1090="","",IFERROR(INDEX(Products!$B:$B,MATCH(B1090,Products!$A:$A,0)),"SKU not found"))</f>
        <v/>
      </c>
    </row>
    <row r="1091">
      <c r="A1091" s="7" t="n"/>
      <c r="B1091" s="4" t="n"/>
      <c r="C1091" s="4" t="n"/>
      <c r="D1091" s="4" t="n"/>
      <c r="E1091" s="4" t="n"/>
      <c r="F1091" s="6">
        <f>IF(B1091="","",IFERROR(INDEX(Products!$E:$E,MATCH(B1091,Products!$A:$A,0)),0))</f>
        <v/>
      </c>
      <c r="G1091" s="6">
        <f>IF(B1091="","",N(C1091)*N(F1091))</f>
        <v/>
      </c>
      <c r="H1091">
        <f>IF(B1091="","",IFERROR(INDEX(Products!$B:$B,MATCH(B1091,Products!$A:$A,0)),"SKU not found"))</f>
        <v/>
      </c>
    </row>
    <row r="1092">
      <c r="A1092" s="7" t="n"/>
      <c r="B1092" s="4" t="n"/>
      <c r="C1092" s="4" t="n"/>
      <c r="D1092" s="4" t="n"/>
      <c r="E1092" s="4" t="n"/>
      <c r="F1092" s="6">
        <f>IF(B1092="","",IFERROR(INDEX(Products!$E:$E,MATCH(B1092,Products!$A:$A,0)),0))</f>
        <v/>
      </c>
      <c r="G1092" s="6">
        <f>IF(B1092="","",N(C1092)*N(F1092))</f>
        <v/>
      </c>
      <c r="H1092">
        <f>IF(B1092="","",IFERROR(INDEX(Products!$B:$B,MATCH(B1092,Products!$A:$A,0)),"SKU not found"))</f>
        <v/>
      </c>
    </row>
    <row r="1093">
      <c r="A1093" s="7" t="n"/>
      <c r="B1093" s="4" t="n"/>
      <c r="C1093" s="4" t="n"/>
      <c r="D1093" s="4" t="n"/>
      <c r="E1093" s="4" t="n"/>
      <c r="F1093" s="6">
        <f>IF(B1093="","",IFERROR(INDEX(Products!$E:$E,MATCH(B1093,Products!$A:$A,0)),0))</f>
        <v/>
      </c>
      <c r="G1093" s="6">
        <f>IF(B1093="","",N(C1093)*N(F1093))</f>
        <v/>
      </c>
      <c r="H1093">
        <f>IF(B1093="","",IFERROR(INDEX(Products!$B:$B,MATCH(B1093,Products!$A:$A,0)),"SKU not found"))</f>
        <v/>
      </c>
    </row>
    <row r="1094">
      <c r="A1094" s="7" t="n"/>
      <c r="B1094" s="4" t="n"/>
      <c r="C1094" s="4" t="n"/>
      <c r="D1094" s="4" t="n"/>
      <c r="E1094" s="4" t="n"/>
      <c r="F1094" s="6">
        <f>IF(B1094="","",IFERROR(INDEX(Products!$E:$E,MATCH(B1094,Products!$A:$A,0)),0))</f>
        <v/>
      </c>
      <c r="G1094" s="6">
        <f>IF(B1094="","",N(C1094)*N(F1094))</f>
        <v/>
      </c>
      <c r="H1094">
        <f>IF(B1094="","",IFERROR(INDEX(Products!$B:$B,MATCH(B1094,Products!$A:$A,0)),"SKU not found"))</f>
        <v/>
      </c>
    </row>
    <row r="1095">
      <c r="A1095" s="7" t="n"/>
      <c r="B1095" s="4" t="n"/>
      <c r="C1095" s="4" t="n"/>
      <c r="D1095" s="4" t="n"/>
      <c r="E1095" s="4" t="n"/>
      <c r="F1095" s="6">
        <f>IF(B1095="","",IFERROR(INDEX(Products!$E:$E,MATCH(B1095,Products!$A:$A,0)),0))</f>
        <v/>
      </c>
      <c r="G1095" s="6">
        <f>IF(B1095="","",N(C1095)*N(F1095))</f>
        <v/>
      </c>
      <c r="H1095">
        <f>IF(B1095="","",IFERROR(INDEX(Products!$B:$B,MATCH(B1095,Products!$A:$A,0)),"SKU not found"))</f>
        <v/>
      </c>
    </row>
    <row r="1096">
      <c r="A1096" s="7" t="n"/>
      <c r="B1096" s="4" t="n"/>
      <c r="C1096" s="4" t="n"/>
      <c r="D1096" s="4" t="n"/>
      <c r="E1096" s="4" t="n"/>
      <c r="F1096" s="6">
        <f>IF(B1096="","",IFERROR(INDEX(Products!$E:$E,MATCH(B1096,Products!$A:$A,0)),0))</f>
        <v/>
      </c>
      <c r="G1096" s="6">
        <f>IF(B1096="","",N(C1096)*N(F1096))</f>
        <v/>
      </c>
      <c r="H1096">
        <f>IF(B1096="","",IFERROR(INDEX(Products!$B:$B,MATCH(B1096,Products!$A:$A,0)),"SKU not found"))</f>
        <v/>
      </c>
    </row>
    <row r="1097">
      <c r="A1097" s="7" t="n"/>
      <c r="B1097" s="4" t="n"/>
      <c r="C1097" s="4" t="n"/>
      <c r="D1097" s="4" t="n"/>
      <c r="E1097" s="4" t="n"/>
      <c r="F1097" s="6">
        <f>IF(B1097="","",IFERROR(INDEX(Products!$E:$E,MATCH(B1097,Products!$A:$A,0)),0))</f>
        <v/>
      </c>
      <c r="G1097" s="6">
        <f>IF(B1097="","",N(C1097)*N(F1097))</f>
        <v/>
      </c>
      <c r="H1097">
        <f>IF(B1097="","",IFERROR(INDEX(Products!$B:$B,MATCH(B1097,Products!$A:$A,0)),"SKU not found"))</f>
        <v/>
      </c>
    </row>
    <row r="1098">
      <c r="A1098" s="7" t="n"/>
      <c r="B1098" s="4" t="n"/>
      <c r="C1098" s="4" t="n"/>
      <c r="D1098" s="4" t="n"/>
      <c r="E1098" s="4" t="n"/>
      <c r="F1098" s="6">
        <f>IF(B1098="","",IFERROR(INDEX(Products!$E:$E,MATCH(B1098,Products!$A:$A,0)),0))</f>
        <v/>
      </c>
      <c r="G1098" s="6">
        <f>IF(B1098="","",N(C1098)*N(F1098))</f>
        <v/>
      </c>
      <c r="H1098">
        <f>IF(B1098="","",IFERROR(INDEX(Products!$B:$B,MATCH(B1098,Products!$A:$A,0)),"SKU not found"))</f>
        <v/>
      </c>
    </row>
    <row r="1099">
      <c r="A1099" s="7" t="n"/>
      <c r="B1099" s="4" t="n"/>
      <c r="C1099" s="4" t="n"/>
      <c r="D1099" s="4" t="n"/>
      <c r="E1099" s="4" t="n"/>
      <c r="F1099" s="6">
        <f>IF(B1099="","",IFERROR(INDEX(Products!$E:$E,MATCH(B1099,Products!$A:$A,0)),0))</f>
        <v/>
      </c>
      <c r="G1099" s="6">
        <f>IF(B1099="","",N(C1099)*N(F1099))</f>
        <v/>
      </c>
      <c r="H1099">
        <f>IF(B1099="","",IFERROR(INDEX(Products!$B:$B,MATCH(B1099,Products!$A:$A,0)),"SKU not found"))</f>
        <v/>
      </c>
    </row>
    <row r="1100">
      <c r="A1100" s="7" t="n"/>
      <c r="B1100" s="4" t="n"/>
      <c r="C1100" s="4" t="n"/>
      <c r="D1100" s="4" t="n"/>
      <c r="E1100" s="4" t="n"/>
      <c r="F1100" s="6">
        <f>IF(B1100="","",IFERROR(INDEX(Products!$E:$E,MATCH(B1100,Products!$A:$A,0)),0))</f>
        <v/>
      </c>
      <c r="G1100" s="6">
        <f>IF(B1100="","",N(C1100)*N(F1100))</f>
        <v/>
      </c>
      <c r="H1100">
        <f>IF(B1100="","",IFERROR(INDEX(Products!$B:$B,MATCH(B1100,Products!$A:$A,0)),"SKU not found"))</f>
        <v/>
      </c>
    </row>
    <row r="1101">
      <c r="A1101" s="7" t="n"/>
      <c r="B1101" s="4" t="n"/>
      <c r="C1101" s="4" t="n"/>
      <c r="D1101" s="4" t="n"/>
      <c r="E1101" s="4" t="n"/>
      <c r="F1101" s="6">
        <f>IF(B1101="","",IFERROR(INDEX(Products!$E:$E,MATCH(B1101,Products!$A:$A,0)),0))</f>
        <v/>
      </c>
      <c r="G1101" s="6">
        <f>IF(B1101="","",N(C1101)*N(F1101))</f>
        <v/>
      </c>
      <c r="H1101">
        <f>IF(B1101="","",IFERROR(INDEX(Products!$B:$B,MATCH(B1101,Products!$A:$A,0)),"SKU not found"))</f>
        <v/>
      </c>
    </row>
    <row r="1102">
      <c r="A1102" s="7" t="n"/>
      <c r="B1102" s="4" t="n"/>
      <c r="C1102" s="4" t="n"/>
      <c r="D1102" s="4" t="n"/>
      <c r="E1102" s="4" t="n"/>
      <c r="F1102" s="6">
        <f>IF(B1102="","",IFERROR(INDEX(Products!$E:$E,MATCH(B1102,Products!$A:$A,0)),0))</f>
        <v/>
      </c>
      <c r="G1102" s="6">
        <f>IF(B1102="","",N(C1102)*N(F1102))</f>
        <v/>
      </c>
      <c r="H1102">
        <f>IF(B1102="","",IFERROR(INDEX(Products!$B:$B,MATCH(B1102,Products!$A:$A,0)),"SKU not found"))</f>
        <v/>
      </c>
    </row>
    <row r="1103">
      <c r="A1103" s="7" t="n"/>
      <c r="B1103" s="4" t="n"/>
      <c r="C1103" s="4" t="n"/>
      <c r="D1103" s="4" t="n"/>
      <c r="E1103" s="4" t="n"/>
      <c r="F1103" s="6">
        <f>IF(B1103="","",IFERROR(INDEX(Products!$E:$E,MATCH(B1103,Products!$A:$A,0)),0))</f>
        <v/>
      </c>
      <c r="G1103" s="6">
        <f>IF(B1103="","",N(C1103)*N(F1103))</f>
        <v/>
      </c>
      <c r="H1103">
        <f>IF(B1103="","",IFERROR(INDEX(Products!$B:$B,MATCH(B1103,Products!$A:$A,0)),"SKU not found"))</f>
        <v/>
      </c>
    </row>
    <row r="1104">
      <c r="A1104" s="7" t="n"/>
      <c r="B1104" s="4" t="n"/>
      <c r="C1104" s="4" t="n"/>
      <c r="D1104" s="4" t="n"/>
      <c r="E1104" s="4" t="n"/>
      <c r="F1104" s="6">
        <f>IF(B1104="","",IFERROR(INDEX(Products!$E:$E,MATCH(B1104,Products!$A:$A,0)),0))</f>
        <v/>
      </c>
      <c r="G1104" s="6">
        <f>IF(B1104="","",N(C1104)*N(F1104))</f>
        <v/>
      </c>
      <c r="H1104">
        <f>IF(B1104="","",IFERROR(INDEX(Products!$B:$B,MATCH(B1104,Products!$A:$A,0)),"SKU not found"))</f>
        <v/>
      </c>
    </row>
    <row r="1105">
      <c r="A1105" s="7" t="n"/>
      <c r="B1105" s="4" t="n"/>
      <c r="C1105" s="4" t="n"/>
      <c r="D1105" s="4" t="n"/>
      <c r="E1105" s="4" t="n"/>
      <c r="F1105" s="6">
        <f>IF(B1105="","",IFERROR(INDEX(Products!$E:$E,MATCH(B1105,Products!$A:$A,0)),0))</f>
        <v/>
      </c>
      <c r="G1105" s="6">
        <f>IF(B1105="","",N(C1105)*N(F1105))</f>
        <v/>
      </c>
      <c r="H1105">
        <f>IF(B1105="","",IFERROR(INDEX(Products!$B:$B,MATCH(B1105,Products!$A:$A,0)),"SKU not found"))</f>
        <v/>
      </c>
    </row>
    <row r="1106">
      <c r="A1106" s="7" t="n"/>
      <c r="B1106" s="4" t="n"/>
      <c r="C1106" s="4" t="n"/>
      <c r="D1106" s="4" t="n"/>
      <c r="E1106" s="4" t="n"/>
      <c r="F1106" s="6">
        <f>IF(B1106="","",IFERROR(INDEX(Products!$E:$E,MATCH(B1106,Products!$A:$A,0)),0))</f>
        <v/>
      </c>
      <c r="G1106" s="6">
        <f>IF(B1106="","",N(C1106)*N(F1106))</f>
        <v/>
      </c>
      <c r="H1106">
        <f>IF(B1106="","",IFERROR(INDEX(Products!$B:$B,MATCH(B1106,Products!$A:$A,0)),"SKU not found"))</f>
        <v/>
      </c>
    </row>
    <row r="1107">
      <c r="A1107" s="7" t="n"/>
      <c r="B1107" s="4" t="n"/>
      <c r="C1107" s="4" t="n"/>
      <c r="D1107" s="4" t="n"/>
      <c r="E1107" s="4" t="n"/>
      <c r="F1107" s="6">
        <f>IF(B1107="","",IFERROR(INDEX(Products!$E:$E,MATCH(B1107,Products!$A:$A,0)),0))</f>
        <v/>
      </c>
      <c r="G1107" s="6">
        <f>IF(B1107="","",N(C1107)*N(F1107))</f>
        <v/>
      </c>
      <c r="H1107">
        <f>IF(B1107="","",IFERROR(INDEX(Products!$B:$B,MATCH(B1107,Products!$A:$A,0)),"SKU not found"))</f>
        <v/>
      </c>
    </row>
    <row r="1108">
      <c r="A1108" s="7" t="n"/>
      <c r="B1108" s="4" t="n"/>
      <c r="C1108" s="4" t="n"/>
      <c r="D1108" s="4" t="n"/>
      <c r="E1108" s="4" t="n"/>
      <c r="F1108" s="6">
        <f>IF(B1108="","",IFERROR(INDEX(Products!$E:$E,MATCH(B1108,Products!$A:$A,0)),0))</f>
        <v/>
      </c>
      <c r="G1108" s="6">
        <f>IF(B1108="","",N(C1108)*N(F1108))</f>
        <v/>
      </c>
      <c r="H1108">
        <f>IF(B1108="","",IFERROR(INDEX(Products!$B:$B,MATCH(B1108,Products!$A:$A,0)),"SKU not found"))</f>
        <v/>
      </c>
    </row>
    <row r="1109">
      <c r="A1109" s="7" t="n"/>
      <c r="B1109" s="4" t="n"/>
      <c r="C1109" s="4" t="n"/>
      <c r="D1109" s="4" t="n"/>
      <c r="E1109" s="4" t="n"/>
      <c r="F1109" s="6">
        <f>IF(B1109="","",IFERROR(INDEX(Products!$E:$E,MATCH(B1109,Products!$A:$A,0)),0))</f>
        <v/>
      </c>
      <c r="G1109" s="6">
        <f>IF(B1109="","",N(C1109)*N(F1109))</f>
        <v/>
      </c>
      <c r="H1109">
        <f>IF(B1109="","",IFERROR(INDEX(Products!$B:$B,MATCH(B1109,Products!$A:$A,0)),"SKU not found"))</f>
        <v/>
      </c>
    </row>
    <row r="1110">
      <c r="A1110" s="7" t="n"/>
      <c r="B1110" s="4" t="n"/>
      <c r="C1110" s="4" t="n"/>
      <c r="D1110" s="4" t="n"/>
      <c r="E1110" s="4" t="n"/>
      <c r="F1110" s="6">
        <f>IF(B1110="","",IFERROR(INDEX(Products!$E:$E,MATCH(B1110,Products!$A:$A,0)),0))</f>
        <v/>
      </c>
      <c r="G1110" s="6">
        <f>IF(B1110="","",N(C1110)*N(F1110))</f>
        <v/>
      </c>
      <c r="H1110">
        <f>IF(B1110="","",IFERROR(INDEX(Products!$B:$B,MATCH(B1110,Products!$A:$A,0)),"SKU not found"))</f>
        <v/>
      </c>
    </row>
    <row r="1111">
      <c r="A1111" s="7" t="n"/>
      <c r="B1111" s="4" t="n"/>
      <c r="C1111" s="4" t="n"/>
      <c r="D1111" s="4" t="n"/>
      <c r="E1111" s="4" t="n"/>
      <c r="F1111" s="6">
        <f>IF(B1111="","",IFERROR(INDEX(Products!$E:$E,MATCH(B1111,Products!$A:$A,0)),0))</f>
        <v/>
      </c>
      <c r="G1111" s="6">
        <f>IF(B1111="","",N(C1111)*N(F1111))</f>
        <v/>
      </c>
      <c r="H1111">
        <f>IF(B1111="","",IFERROR(INDEX(Products!$B:$B,MATCH(B1111,Products!$A:$A,0)),"SKU not found"))</f>
        <v/>
      </c>
    </row>
    <row r="1112">
      <c r="A1112" s="7" t="n"/>
      <c r="B1112" s="4" t="n"/>
      <c r="C1112" s="4" t="n"/>
      <c r="D1112" s="4" t="n"/>
      <c r="E1112" s="4" t="n"/>
      <c r="F1112" s="6">
        <f>IF(B1112="","",IFERROR(INDEX(Products!$E:$E,MATCH(B1112,Products!$A:$A,0)),0))</f>
        <v/>
      </c>
      <c r="G1112" s="6">
        <f>IF(B1112="","",N(C1112)*N(F1112))</f>
        <v/>
      </c>
      <c r="H1112">
        <f>IF(B1112="","",IFERROR(INDEX(Products!$B:$B,MATCH(B1112,Products!$A:$A,0)),"SKU not found"))</f>
        <v/>
      </c>
    </row>
    <row r="1113">
      <c r="A1113" s="7" t="n"/>
      <c r="B1113" s="4" t="n"/>
      <c r="C1113" s="4" t="n"/>
      <c r="D1113" s="4" t="n"/>
      <c r="E1113" s="4" t="n"/>
      <c r="F1113" s="6">
        <f>IF(B1113="","",IFERROR(INDEX(Products!$E:$E,MATCH(B1113,Products!$A:$A,0)),0))</f>
        <v/>
      </c>
      <c r="G1113" s="6">
        <f>IF(B1113="","",N(C1113)*N(F1113))</f>
        <v/>
      </c>
      <c r="H1113">
        <f>IF(B1113="","",IFERROR(INDEX(Products!$B:$B,MATCH(B1113,Products!$A:$A,0)),"SKU not found"))</f>
        <v/>
      </c>
    </row>
    <row r="1114">
      <c r="A1114" s="7" t="n"/>
      <c r="B1114" s="4" t="n"/>
      <c r="C1114" s="4" t="n"/>
      <c r="D1114" s="4" t="n"/>
      <c r="E1114" s="4" t="n"/>
      <c r="F1114" s="6">
        <f>IF(B1114="","",IFERROR(INDEX(Products!$E:$E,MATCH(B1114,Products!$A:$A,0)),0))</f>
        <v/>
      </c>
      <c r="G1114" s="6">
        <f>IF(B1114="","",N(C1114)*N(F1114))</f>
        <v/>
      </c>
      <c r="H1114">
        <f>IF(B1114="","",IFERROR(INDEX(Products!$B:$B,MATCH(B1114,Products!$A:$A,0)),"SKU not found"))</f>
        <v/>
      </c>
    </row>
    <row r="1115">
      <c r="A1115" s="7" t="n"/>
      <c r="B1115" s="4" t="n"/>
      <c r="C1115" s="4" t="n"/>
      <c r="D1115" s="4" t="n"/>
      <c r="E1115" s="4" t="n"/>
      <c r="F1115" s="6">
        <f>IF(B1115="","",IFERROR(INDEX(Products!$E:$E,MATCH(B1115,Products!$A:$A,0)),0))</f>
        <v/>
      </c>
      <c r="G1115" s="6">
        <f>IF(B1115="","",N(C1115)*N(F1115))</f>
        <v/>
      </c>
      <c r="H1115">
        <f>IF(B1115="","",IFERROR(INDEX(Products!$B:$B,MATCH(B1115,Products!$A:$A,0)),"SKU not found"))</f>
        <v/>
      </c>
    </row>
    <row r="1116">
      <c r="A1116" s="7" t="n"/>
      <c r="B1116" s="4" t="n"/>
      <c r="C1116" s="4" t="n"/>
      <c r="D1116" s="4" t="n"/>
      <c r="E1116" s="4" t="n"/>
      <c r="F1116" s="6">
        <f>IF(B1116="","",IFERROR(INDEX(Products!$E:$E,MATCH(B1116,Products!$A:$A,0)),0))</f>
        <v/>
      </c>
      <c r="G1116" s="6">
        <f>IF(B1116="","",N(C1116)*N(F1116))</f>
        <v/>
      </c>
      <c r="H1116">
        <f>IF(B1116="","",IFERROR(INDEX(Products!$B:$B,MATCH(B1116,Products!$A:$A,0)),"SKU not found"))</f>
        <v/>
      </c>
    </row>
    <row r="1117">
      <c r="A1117" s="7" t="n"/>
      <c r="B1117" s="4" t="n"/>
      <c r="C1117" s="4" t="n"/>
      <c r="D1117" s="4" t="n"/>
      <c r="E1117" s="4" t="n"/>
      <c r="F1117" s="6">
        <f>IF(B1117="","",IFERROR(INDEX(Products!$E:$E,MATCH(B1117,Products!$A:$A,0)),0))</f>
        <v/>
      </c>
      <c r="G1117" s="6">
        <f>IF(B1117="","",N(C1117)*N(F1117))</f>
        <v/>
      </c>
      <c r="H1117">
        <f>IF(B1117="","",IFERROR(INDEX(Products!$B:$B,MATCH(B1117,Products!$A:$A,0)),"SKU not found"))</f>
        <v/>
      </c>
    </row>
    <row r="1118">
      <c r="A1118" s="7" t="n"/>
      <c r="B1118" s="4" t="n"/>
      <c r="C1118" s="4" t="n"/>
      <c r="D1118" s="4" t="n"/>
      <c r="E1118" s="4" t="n"/>
      <c r="F1118" s="6">
        <f>IF(B1118="","",IFERROR(INDEX(Products!$E:$E,MATCH(B1118,Products!$A:$A,0)),0))</f>
        <v/>
      </c>
      <c r="G1118" s="6">
        <f>IF(B1118="","",N(C1118)*N(F1118))</f>
        <v/>
      </c>
      <c r="H1118">
        <f>IF(B1118="","",IFERROR(INDEX(Products!$B:$B,MATCH(B1118,Products!$A:$A,0)),"SKU not found"))</f>
        <v/>
      </c>
    </row>
    <row r="1119">
      <c r="A1119" s="7" t="n"/>
      <c r="B1119" s="4" t="n"/>
      <c r="C1119" s="4" t="n"/>
      <c r="D1119" s="4" t="n"/>
      <c r="E1119" s="4" t="n"/>
      <c r="F1119" s="6">
        <f>IF(B1119="","",IFERROR(INDEX(Products!$E:$E,MATCH(B1119,Products!$A:$A,0)),0))</f>
        <v/>
      </c>
      <c r="G1119" s="6">
        <f>IF(B1119="","",N(C1119)*N(F1119))</f>
        <v/>
      </c>
      <c r="H1119">
        <f>IF(B1119="","",IFERROR(INDEX(Products!$B:$B,MATCH(B1119,Products!$A:$A,0)),"SKU not found"))</f>
        <v/>
      </c>
    </row>
    <row r="1120">
      <c r="A1120" s="7" t="n"/>
      <c r="B1120" s="4" t="n"/>
      <c r="C1120" s="4" t="n"/>
      <c r="D1120" s="4" t="n"/>
      <c r="E1120" s="4" t="n"/>
      <c r="F1120" s="6">
        <f>IF(B1120="","",IFERROR(INDEX(Products!$E:$E,MATCH(B1120,Products!$A:$A,0)),0))</f>
        <v/>
      </c>
      <c r="G1120" s="6">
        <f>IF(B1120="","",N(C1120)*N(F1120))</f>
        <v/>
      </c>
      <c r="H1120">
        <f>IF(B1120="","",IFERROR(INDEX(Products!$B:$B,MATCH(B1120,Products!$A:$A,0)),"SKU not found"))</f>
        <v/>
      </c>
    </row>
    <row r="1121">
      <c r="A1121" s="7" t="n"/>
      <c r="B1121" s="4" t="n"/>
      <c r="C1121" s="4" t="n"/>
      <c r="D1121" s="4" t="n"/>
      <c r="E1121" s="4" t="n"/>
      <c r="F1121" s="6">
        <f>IF(B1121="","",IFERROR(INDEX(Products!$E:$E,MATCH(B1121,Products!$A:$A,0)),0))</f>
        <v/>
      </c>
      <c r="G1121" s="6">
        <f>IF(B1121="","",N(C1121)*N(F1121))</f>
        <v/>
      </c>
      <c r="H1121">
        <f>IF(B1121="","",IFERROR(INDEX(Products!$B:$B,MATCH(B1121,Products!$A:$A,0)),"SKU not found"))</f>
        <v/>
      </c>
    </row>
    <row r="1122">
      <c r="A1122" s="7" t="n"/>
      <c r="B1122" s="4" t="n"/>
      <c r="C1122" s="4" t="n"/>
      <c r="D1122" s="4" t="n"/>
      <c r="E1122" s="4" t="n"/>
      <c r="F1122" s="6">
        <f>IF(B1122="","",IFERROR(INDEX(Products!$E:$E,MATCH(B1122,Products!$A:$A,0)),0))</f>
        <v/>
      </c>
      <c r="G1122" s="6">
        <f>IF(B1122="","",N(C1122)*N(F1122))</f>
        <v/>
      </c>
      <c r="H1122">
        <f>IF(B1122="","",IFERROR(INDEX(Products!$B:$B,MATCH(B1122,Products!$A:$A,0)),"SKU not found"))</f>
        <v/>
      </c>
    </row>
    <row r="1123">
      <c r="A1123" s="7" t="n"/>
      <c r="B1123" s="4" t="n"/>
      <c r="C1123" s="4" t="n"/>
      <c r="D1123" s="4" t="n"/>
      <c r="E1123" s="4" t="n"/>
      <c r="F1123" s="6">
        <f>IF(B1123="","",IFERROR(INDEX(Products!$E:$E,MATCH(B1123,Products!$A:$A,0)),0))</f>
        <v/>
      </c>
      <c r="G1123" s="6">
        <f>IF(B1123="","",N(C1123)*N(F1123))</f>
        <v/>
      </c>
      <c r="H1123">
        <f>IF(B1123="","",IFERROR(INDEX(Products!$B:$B,MATCH(B1123,Products!$A:$A,0)),"SKU not found"))</f>
        <v/>
      </c>
    </row>
    <row r="1124">
      <c r="A1124" s="7" t="n"/>
      <c r="B1124" s="4" t="n"/>
      <c r="C1124" s="4" t="n"/>
      <c r="D1124" s="4" t="n"/>
      <c r="E1124" s="4" t="n"/>
      <c r="F1124" s="6">
        <f>IF(B1124="","",IFERROR(INDEX(Products!$E:$E,MATCH(B1124,Products!$A:$A,0)),0))</f>
        <v/>
      </c>
      <c r="G1124" s="6">
        <f>IF(B1124="","",N(C1124)*N(F1124))</f>
        <v/>
      </c>
      <c r="H1124">
        <f>IF(B1124="","",IFERROR(INDEX(Products!$B:$B,MATCH(B1124,Products!$A:$A,0)),"SKU not found"))</f>
        <v/>
      </c>
    </row>
    <row r="1125">
      <c r="A1125" s="7" t="n"/>
      <c r="B1125" s="4" t="n"/>
      <c r="C1125" s="4" t="n"/>
      <c r="D1125" s="4" t="n"/>
      <c r="E1125" s="4" t="n"/>
      <c r="F1125" s="6">
        <f>IF(B1125="","",IFERROR(INDEX(Products!$E:$E,MATCH(B1125,Products!$A:$A,0)),0))</f>
        <v/>
      </c>
      <c r="G1125" s="6">
        <f>IF(B1125="","",N(C1125)*N(F1125))</f>
        <v/>
      </c>
      <c r="H1125">
        <f>IF(B1125="","",IFERROR(INDEX(Products!$B:$B,MATCH(B1125,Products!$A:$A,0)),"SKU not found"))</f>
        <v/>
      </c>
    </row>
    <row r="1126">
      <c r="A1126" s="7" t="n"/>
      <c r="B1126" s="4" t="n"/>
      <c r="C1126" s="4" t="n"/>
      <c r="D1126" s="4" t="n"/>
      <c r="E1126" s="4" t="n"/>
      <c r="F1126" s="6">
        <f>IF(B1126="","",IFERROR(INDEX(Products!$E:$E,MATCH(B1126,Products!$A:$A,0)),0))</f>
        <v/>
      </c>
      <c r="G1126" s="6">
        <f>IF(B1126="","",N(C1126)*N(F1126))</f>
        <v/>
      </c>
      <c r="H1126">
        <f>IF(B1126="","",IFERROR(INDEX(Products!$B:$B,MATCH(B1126,Products!$A:$A,0)),"SKU not found"))</f>
        <v/>
      </c>
    </row>
    <row r="1127">
      <c r="A1127" s="7" t="n"/>
      <c r="B1127" s="4" t="n"/>
      <c r="C1127" s="4" t="n"/>
      <c r="D1127" s="4" t="n"/>
      <c r="E1127" s="4" t="n"/>
      <c r="F1127" s="6">
        <f>IF(B1127="","",IFERROR(INDEX(Products!$E:$E,MATCH(B1127,Products!$A:$A,0)),0))</f>
        <v/>
      </c>
      <c r="G1127" s="6">
        <f>IF(B1127="","",N(C1127)*N(F1127))</f>
        <v/>
      </c>
      <c r="H1127">
        <f>IF(B1127="","",IFERROR(INDEX(Products!$B:$B,MATCH(B1127,Products!$A:$A,0)),"SKU not found"))</f>
        <v/>
      </c>
    </row>
    <row r="1128">
      <c r="A1128" s="7" t="n"/>
      <c r="B1128" s="4" t="n"/>
      <c r="C1128" s="4" t="n"/>
      <c r="D1128" s="4" t="n"/>
      <c r="E1128" s="4" t="n"/>
      <c r="F1128" s="6">
        <f>IF(B1128="","",IFERROR(INDEX(Products!$E:$E,MATCH(B1128,Products!$A:$A,0)),0))</f>
        <v/>
      </c>
      <c r="G1128" s="6">
        <f>IF(B1128="","",N(C1128)*N(F1128))</f>
        <v/>
      </c>
      <c r="H1128">
        <f>IF(B1128="","",IFERROR(INDEX(Products!$B:$B,MATCH(B1128,Products!$A:$A,0)),"SKU not found"))</f>
        <v/>
      </c>
    </row>
    <row r="1129">
      <c r="A1129" s="7" t="n"/>
      <c r="B1129" s="4" t="n"/>
      <c r="C1129" s="4" t="n"/>
      <c r="D1129" s="4" t="n"/>
      <c r="E1129" s="4" t="n"/>
      <c r="F1129" s="6">
        <f>IF(B1129="","",IFERROR(INDEX(Products!$E:$E,MATCH(B1129,Products!$A:$A,0)),0))</f>
        <v/>
      </c>
      <c r="G1129" s="6">
        <f>IF(B1129="","",N(C1129)*N(F1129))</f>
        <v/>
      </c>
      <c r="H1129">
        <f>IF(B1129="","",IFERROR(INDEX(Products!$B:$B,MATCH(B1129,Products!$A:$A,0)),"SKU not found"))</f>
        <v/>
      </c>
    </row>
    <row r="1130">
      <c r="A1130" s="7" t="n"/>
      <c r="B1130" s="4" t="n"/>
      <c r="C1130" s="4" t="n"/>
      <c r="D1130" s="4" t="n"/>
      <c r="E1130" s="4" t="n"/>
      <c r="F1130" s="6">
        <f>IF(B1130="","",IFERROR(INDEX(Products!$E:$E,MATCH(B1130,Products!$A:$A,0)),0))</f>
        <v/>
      </c>
      <c r="G1130" s="6">
        <f>IF(B1130="","",N(C1130)*N(F1130))</f>
        <v/>
      </c>
      <c r="H1130">
        <f>IF(B1130="","",IFERROR(INDEX(Products!$B:$B,MATCH(B1130,Products!$A:$A,0)),"SKU not found"))</f>
        <v/>
      </c>
    </row>
    <row r="1131">
      <c r="A1131" s="7" t="n"/>
      <c r="B1131" s="4" t="n"/>
      <c r="C1131" s="4" t="n"/>
      <c r="D1131" s="4" t="n"/>
      <c r="E1131" s="4" t="n"/>
      <c r="F1131" s="6">
        <f>IF(B1131="","",IFERROR(INDEX(Products!$E:$E,MATCH(B1131,Products!$A:$A,0)),0))</f>
        <v/>
      </c>
      <c r="G1131" s="6">
        <f>IF(B1131="","",N(C1131)*N(F1131))</f>
        <v/>
      </c>
      <c r="H1131">
        <f>IF(B1131="","",IFERROR(INDEX(Products!$B:$B,MATCH(B1131,Products!$A:$A,0)),"SKU not found"))</f>
        <v/>
      </c>
    </row>
    <row r="1132">
      <c r="A1132" s="7" t="n"/>
      <c r="B1132" s="4" t="n"/>
      <c r="C1132" s="4" t="n"/>
      <c r="D1132" s="4" t="n"/>
      <c r="E1132" s="4" t="n"/>
      <c r="F1132" s="6">
        <f>IF(B1132="","",IFERROR(INDEX(Products!$E:$E,MATCH(B1132,Products!$A:$A,0)),0))</f>
        <v/>
      </c>
      <c r="G1132" s="6">
        <f>IF(B1132="","",N(C1132)*N(F1132))</f>
        <v/>
      </c>
      <c r="H1132">
        <f>IF(B1132="","",IFERROR(INDEX(Products!$B:$B,MATCH(B1132,Products!$A:$A,0)),"SKU not found"))</f>
        <v/>
      </c>
    </row>
    <row r="1133">
      <c r="A1133" s="7" t="n"/>
      <c r="B1133" s="4" t="n"/>
      <c r="C1133" s="4" t="n"/>
      <c r="D1133" s="4" t="n"/>
      <c r="E1133" s="4" t="n"/>
      <c r="F1133" s="6">
        <f>IF(B1133="","",IFERROR(INDEX(Products!$E:$E,MATCH(B1133,Products!$A:$A,0)),0))</f>
        <v/>
      </c>
      <c r="G1133" s="6">
        <f>IF(B1133="","",N(C1133)*N(F1133))</f>
        <v/>
      </c>
      <c r="H1133">
        <f>IF(B1133="","",IFERROR(INDEX(Products!$B:$B,MATCH(B1133,Products!$A:$A,0)),"SKU not found"))</f>
        <v/>
      </c>
    </row>
    <row r="1134">
      <c r="A1134" s="7" t="n"/>
      <c r="B1134" s="4" t="n"/>
      <c r="C1134" s="4" t="n"/>
      <c r="D1134" s="4" t="n"/>
      <c r="E1134" s="4" t="n"/>
      <c r="F1134" s="6">
        <f>IF(B1134="","",IFERROR(INDEX(Products!$E:$E,MATCH(B1134,Products!$A:$A,0)),0))</f>
        <v/>
      </c>
      <c r="G1134" s="6">
        <f>IF(B1134="","",N(C1134)*N(F1134))</f>
        <v/>
      </c>
      <c r="H1134">
        <f>IF(B1134="","",IFERROR(INDEX(Products!$B:$B,MATCH(B1134,Products!$A:$A,0)),"SKU not found"))</f>
        <v/>
      </c>
    </row>
    <row r="1135">
      <c r="A1135" s="7" t="n"/>
      <c r="B1135" s="4" t="n"/>
      <c r="C1135" s="4" t="n"/>
      <c r="D1135" s="4" t="n"/>
      <c r="E1135" s="4" t="n"/>
      <c r="F1135" s="6">
        <f>IF(B1135="","",IFERROR(INDEX(Products!$E:$E,MATCH(B1135,Products!$A:$A,0)),0))</f>
        <v/>
      </c>
      <c r="G1135" s="6">
        <f>IF(B1135="","",N(C1135)*N(F1135))</f>
        <v/>
      </c>
      <c r="H1135">
        <f>IF(B1135="","",IFERROR(INDEX(Products!$B:$B,MATCH(B1135,Products!$A:$A,0)),"SKU not found"))</f>
        <v/>
      </c>
    </row>
    <row r="1136">
      <c r="A1136" s="7" t="n"/>
      <c r="B1136" s="4" t="n"/>
      <c r="C1136" s="4" t="n"/>
      <c r="D1136" s="4" t="n"/>
      <c r="E1136" s="4" t="n"/>
      <c r="F1136" s="6">
        <f>IF(B1136="","",IFERROR(INDEX(Products!$E:$E,MATCH(B1136,Products!$A:$A,0)),0))</f>
        <v/>
      </c>
      <c r="G1136" s="6">
        <f>IF(B1136="","",N(C1136)*N(F1136))</f>
        <v/>
      </c>
      <c r="H1136">
        <f>IF(B1136="","",IFERROR(INDEX(Products!$B:$B,MATCH(B1136,Products!$A:$A,0)),"SKU not found"))</f>
        <v/>
      </c>
    </row>
    <row r="1137">
      <c r="A1137" s="7" t="n"/>
      <c r="B1137" s="4" t="n"/>
      <c r="C1137" s="4" t="n"/>
      <c r="D1137" s="4" t="n"/>
      <c r="E1137" s="4" t="n"/>
      <c r="F1137" s="6">
        <f>IF(B1137="","",IFERROR(INDEX(Products!$E:$E,MATCH(B1137,Products!$A:$A,0)),0))</f>
        <v/>
      </c>
      <c r="G1137" s="6">
        <f>IF(B1137="","",N(C1137)*N(F1137))</f>
        <v/>
      </c>
      <c r="H1137">
        <f>IF(B1137="","",IFERROR(INDEX(Products!$B:$B,MATCH(B1137,Products!$A:$A,0)),"SKU not found"))</f>
        <v/>
      </c>
    </row>
    <row r="1138">
      <c r="A1138" s="7" t="n"/>
      <c r="B1138" s="4" t="n"/>
      <c r="C1138" s="4" t="n"/>
      <c r="D1138" s="4" t="n"/>
      <c r="E1138" s="4" t="n"/>
      <c r="F1138" s="6">
        <f>IF(B1138="","",IFERROR(INDEX(Products!$E:$E,MATCH(B1138,Products!$A:$A,0)),0))</f>
        <v/>
      </c>
      <c r="G1138" s="6">
        <f>IF(B1138="","",N(C1138)*N(F1138))</f>
        <v/>
      </c>
      <c r="H1138">
        <f>IF(B1138="","",IFERROR(INDEX(Products!$B:$B,MATCH(B1138,Products!$A:$A,0)),"SKU not found"))</f>
        <v/>
      </c>
    </row>
    <row r="1139">
      <c r="A1139" s="7" t="n"/>
      <c r="B1139" s="4" t="n"/>
      <c r="C1139" s="4" t="n"/>
      <c r="D1139" s="4" t="n"/>
      <c r="E1139" s="4" t="n"/>
      <c r="F1139" s="6">
        <f>IF(B1139="","",IFERROR(INDEX(Products!$E:$E,MATCH(B1139,Products!$A:$A,0)),0))</f>
        <v/>
      </c>
      <c r="G1139" s="6">
        <f>IF(B1139="","",N(C1139)*N(F1139))</f>
        <v/>
      </c>
      <c r="H1139">
        <f>IF(B1139="","",IFERROR(INDEX(Products!$B:$B,MATCH(B1139,Products!$A:$A,0)),"SKU not found"))</f>
        <v/>
      </c>
    </row>
    <row r="1140">
      <c r="A1140" s="7" t="n"/>
      <c r="B1140" s="4" t="n"/>
      <c r="C1140" s="4" t="n"/>
      <c r="D1140" s="4" t="n"/>
      <c r="E1140" s="4" t="n"/>
      <c r="F1140" s="6">
        <f>IF(B1140="","",IFERROR(INDEX(Products!$E:$E,MATCH(B1140,Products!$A:$A,0)),0))</f>
        <v/>
      </c>
      <c r="G1140" s="6">
        <f>IF(B1140="","",N(C1140)*N(F1140))</f>
        <v/>
      </c>
      <c r="H1140">
        <f>IF(B1140="","",IFERROR(INDEX(Products!$B:$B,MATCH(B1140,Products!$A:$A,0)),"SKU not found"))</f>
        <v/>
      </c>
    </row>
    <row r="1141">
      <c r="A1141" s="7" t="n"/>
      <c r="B1141" s="4" t="n"/>
      <c r="C1141" s="4" t="n"/>
      <c r="D1141" s="4" t="n"/>
      <c r="E1141" s="4" t="n"/>
      <c r="F1141" s="6">
        <f>IF(B1141="","",IFERROR(INDEX(Products!$E:$E,MATCH(B1141,Products!$A:$A,0)),0))</f>
        <v/>
      </c>
      <c r="G1141" s="6">
        <f>IF(B1141="","",N(C1141)*N(F1141))</f>
        <v/>
      </c>
      <c r="H1141">
        <f>IF(B1141="","",IFERROR(INDEX(Products!$B:$B,MATCH(B1141,Products!$A:$A,0)),"SKU not found"))</f>
        <v/>
      </c>
    </row>
    <row r="1142">
      <c r="A1142" s="7" t="n"/>
      <c r="B1142" s="4" t="n"/>
      <c r="C1142" s="4" t="n"/>
      <c r="D1142" s="4" t="n"/>
      <c r="E1142" s="4" t="n"/>
      <c r="F1142" s="6">
        <f>IF(B1142="","",IFERROR(INDEX(Products!$E:$E,MATCH(B1142,Products!$A:$A,0)),0))</f>
        <v/>
      </c>
      <c r="G1142" s="6">
        <f>IF(B1142="","",N(C1142)*N(F1142))</f>
        <v/>
      </c>
      <c r="H1142">
        <f>IF(B1142="","",IFERROR(INDEX(Products!$B:$B,MATCH(B1142,Products!$A:$A,0)),"SKU not found"))</f>
        <v/>
      </c>
    </row>
    <row r="1143">
      <c r="A1143" s="7" t="n"/>
      <c r="B1143" s="4" t="n"/>
      <c r="C1143" s="4" t="n"/>
      <c r="D1143" s="4" t="n"/>
      <c r="E1143" s="4" t="n"/>
      <c r="F1143" s="6">
        <f>IF(B1143="","",IFERROR(INDEX(Products!$E:$E,MATCH(B1143,Products!$A:$A,0)),0))</f>
        <v/>
      </c>
      <c r="G1143" s="6">
        <f>IF(B1143="","",N(C1143)*N(F1143))</f>
        <v/>
      </c>
      <c r="H1143">
        <f>IF(B1143="","",IFERROR(INDEX(Products!$B:$B,MATCH(B1143,Products!$A:$A,0)),"SKU not found"))</f>
        <v/>
      </c>
    </row>
    <row r="1144">
      <c r="A1144" s="7" t="n"/>
      <c r="B1144" s="4" t="n"/>
      <c r="C1144" s="4" t="n"/>
      <c r="D1144" s="4" t="n"/>
      <c r="E1144" s="4" t="n"/>
      <c r="F1144" s="6">
        <f>IF(B1144="","",IFERROR(INDEX(Products!$E:$E,MATCH(B1144,Products!$A:$A,0)),0))</f>
        <v/>
      </c>
      <c r="G1144" s="6">
        <f>IF(B1144="","",N(C1144)*N(F1144))</f>
        <v/>
      </c>
      <c r="H1144">
        <f>IF(B1144="","",IFERROR(INDEX(Products!$B:$B,MATCH(B1144,Products!$A:$A,0)),"SKU not found"))</f>
        <v/>
      </c>
    </row>
    <row r="1145">
      <c r="A1145" s="7" t="n"/>
      <c r="B1145" s="4" t="n"/>
      <c r="C1145" s="4" t="n"/>
      <c r="D1145" s="4" t="n"/>
      <c r="E1145" s="4" t="n"/>
      <c r="F1145" s="6">
        <f>IF(B1145="","",IFERROR(INDEX(Products!$E:$E,MATCH(B1145,Products!$A:$A,0)),0))</f>
        <v/>
      </c>
      <c r="G1145" s="6">
        <f>IF(B1145="","",N(C1145)*N(F1145))</f>
        <v/>
      </c>
      <c r="H1145">
        <f>IF(B1145="","",IFERROR(INDEX(Products!$B:$B,MATCH(B1145,Products!$A:$A,0)),"SKU not found"))</f>
        <v/>
      </c>
    </row>
    <row r="1146">
      <c r="A1146" s="7" t="n"/>
      <c r="B1146" s="4" t="n"/>
      <c r="C1146" s="4" t="n"/>
      <c r="D1146" s="4" t="n"/>
      <c r="E1146" s="4" t="n"/>
      <c r="F1146" s="6">
        <f>IF(B1146="","",IFERROR(INDEX(Products!$E:$E,MATCH(B1146,Products!$A:$A,0)),0))</f>
        <v/>
      </c>
      <c r="G1146" s="6">
        <f>IF(B1146="","",N(C1146)*N(F1146))</f>
        <v/>
      </c>
      <c r="H1146">
        <f>IF(B1146="","",IFERROR(INDEX(Products!$B:$B,MATCH(B1146,Products!$A:$A,0)),"SKU not found"))</f>
        <v/>
      </c>
    </row>
    <row r="1147">
      <c r="A1147" s="7" t="n"/>
      <c r="B1147" s="4" t="n"/>
      <c r="C1147" s="4" t="n"/>
      <c r="D1147" s="4" t="n"/>
      <c r="E1147" s="4" t="n"/>
      <c r="F1147" s="6">
        <f>IF(B1147="","",IFERROR(INDEX(Products!$E:$E,MATCH(B1147,Products!$A:$A,0)),0))</f>
        <v/>
      </c>
      <c r="G1147" s="6">
        <f>IF(B1147="","",N(C1147)*N(F1147))</f>
        <v/>
      </c>
      <c r="H1147">
        <f>IF(B1147="","",IFERROR(INDEX(Products!$B:$B,MATCH(B1147,Products!$A:$A,0)),"SKU not found"))</f>
        <v/>
      </c>
    </row>
    <row r="1148">
      <c r="A1148" s="7" t="n"/>
      <c r="B1148" s="4" t="n"/>
      <c r="C1148" s="4" t="n"/>
      <c r="D1148" s="4" t="n"/>
      <c r="E1148" s="4" t="n"/>
      <c r="F1148" s="6">
        <f>IF(B1148="","",IFERROR(INDEX(Products!$E:$E,MATCH(B1148,Products!$A:$A,0)),0))</f>
        <v/>
      </c>
      <c r="G1148" s="6">
        <f>IF(B1148="","",N(C1148)*N(F1148))</f>
        <v/>
      </c>
      <c r="H1148">
        <f>IF(B1148="","",IFERROR(INDEX(Products!$B:$B,MATCH(B1148,Products!$A:$A,0)),"SKU not found"))</f>
        <v/>
      </c>
    </row>
    <row r="1149">
      <c r="A1149" s="7" t="n"/>
      <c r="B1149" s="4" t="n"/>
      <c r="C1149" s="4" t="n"/>
      <c r="D1149" s="4" t="n"/>
      <c r="E1149" s="4" t="n"/>
      <c r="F1149" s="6">
        <f>IF(B1149="","",IFERROR(INDEX(Products!$E:$E,MATCH(B1149,Products!$A:$A,0)),0))</f>
        <v/>
      </c>
      <c r="G1149" s="6">
        <f>IF(B1149="","",N(C1149)*N(F1149))</f>
        <v/>
      </c>
      <c r="H1149">
        <f>IF(B1149="","",IFERROR(INDEX(Products!$B:$B,MATCH(B1149,Products!$A:$A,0)),"SKU not found"))</f>
        <v/>
      </c>
    </row>
    <row r="1150">
      <c r="A1150" s="7" t="n"/>
      <c r="B1150" s="4" t="n"/>
      <c r="C1150" s="4" t="n"/>
      <c r="D1150" s="4" t="n"/>
      <c r="E1150" s="4" t="n"/>
      <c r="F1150" s="6">
        <f>IF(B1150="","",IFERROR(INDEX(Products!$E:$E,MATCH(B1150,Products!$A:$A,0)),0))</f>
        <v/>
      </c>
      <c r="G1150" s="6">
        <f>IF(B1150="","",N(C1150)*N(F1150))</f>
        <v/>
      </c>
      <c r="H1150">
        <f>IF(B1150="","",IFERROR(INDEX(Products!$B:$B,MATCH(B1150,Products!$A:$A,0)),"SKU not found"))</f>
        <v/>
      </c>
    </row>
    <row r="1151">
      <c r="A1151" s="7" t="n"/>
      <c r="B1151" s="4" t="n"/>
      <c r="C1151" s="4" t="n"/>
      <c r="D1151" s="4" t="n"/>
      <c r="E1151" s="4" t="n"/>
      <c r="F1151" s="6">
        <f>IF(B1151="","",IFERROR(INDEX(Products!$E:$E,MATCH(B1151,Products!$A:$A,0)),0))</f>
        <v/>
      </c>
      <c r="G1151" s="6">
        <f>IF(B1151="","",N(C1151)*N(F1151))</f>
        <v/>
      </c>
      <c r="H1151">
        <f>IF(B1151="","",IFERROR(INDEX(Products!$B:$B,MATCH(B1151,Products!$A:$A,0)),"SKU not found"))</f>
        <v/>
      </c>
    </row>
    <row r="1152">
      <c r="A1152" s="7" t="n"/>
      <c r="B1152" s="4" t="n"/>
      <c r="C1152" s="4" t="n"/>
      <c r="D1152" s="4" t="n"/>
      <c r="E1152" s="4" t="n"/>
      <c r="F1152" s="6">
        <f>IF(B1152="","",IFERROR(INDEX(Products!$E:$E,MATCH(B1152,Products!$A:$A,0)),0))</f>
        <v/>
      </c>
      <c r="G1152" s="6">
        <f>IF(B1152="","",N(C1152)*N(F1152))</f>
        <v/>
      </c>
      <c r="H1152">
        <f>IF(B1152="","",IFERROR(INDEX(Products!$B:$B,MATCH(B1152,Products!$A:$A,0)),"SKU not found"))</f>
        <v/>
      </c>
    </row>
    <row r="1153">
      <c r="A1153" s="7" t="n"/>
      <c r="B1153" s="4" t="n"/>
      <c r="C1153" s="4" t="n"/>
      <c r="D1153" s="4" t="n"/>
      <c r="E1153" s="4" t="n"/>
      <c r="F1153" s="6">
        <f>IF(B1153="","",IFERROR(INDEX(Products!$E:$E,MATCH(B1153,Products!$A:$A,0)),0))</f>
        <v/>
      </c>
      <c r="G1153" s="6">
        <f>IF(B1153="","",N(C1153)*N(F1153))</f>
        <v/>
      </c>
      <c r="H1153">
        <f>IF(B1153="","",IFERROR(INDEX(Products!$B:$B,MATCH(B1153,Products!$A:$A,0)),"SKU not found"))</f>
        <v/>
      </c>
    </row>
    <row r="1154">
      <c r="A1154" s="7" t="n"/>
      <c r="B1154" s="4" t="n"/>
      <c r="C1154" s="4" t="n"/>
      <c r="D1154" s="4" t="n"/>
      <c r="E1154" s="4" t="n"/>
      <c r="F1154" s="6">
        <f>IF(B1154="","",IFERROR(INDEX(Products!$E:$E,MATCH(B1154,Products!$A:$A,0)),0))</f>
        <v/>
      </c>
      <c r="G1154" s="6">
        <f>IF(B1154="","",N(C1154)*N(F1154))</f>
        <v/>
      </c>
      <c r="H1154">
        <f>IF(B1154="","",IFERROR(INDEX(Products!$B:$B,MATCH(B1154,Products!$A:$A,0)),"SKU not found"))</f>
        <v/>
      </c>
    </row>
    <row r="1155">
      <c r="A1155" s="7" t="n"/>
      <c r="B1155" s="4" t="n"/>
      <c r="C1155" s="4" t="n"/>
      <c r="D1155" s="4" t="n"/>
      <c r="E1155" s="4" t="n"/>
      <c r="F1155" s="6">
        <f>IF(B1155="","",IFERROR(INDEX(Products!$E:$E,MATCH(B1155,Products!$A:$A,0)),0))</f>
        <v/>
      </c>
      <c r="G1155" s="6">
        <f>IF(B1155="","",N(C1155)*N(F1155))</f>
        <v/>
      </c>
      <c r="H1155">
        <f>IF(B1155="","",IFERROR(INDEX(Products!$B:$B,MATCH(B1155,Products!$A:$A,0)),"SKU not found"))</f>
        <v/>
      </c>
    </row>
    <row r="1156">
      <c r="A1156" s="7" t="n"/>
      <c r="B1156" s="4" t="n"/>
      <c r="C1156" s="4" t="n"/>
      <c r="D1156" s="4" t="n"/>
      <c r="E1156" s="4" t="n"/>
      <c r="F1156" s="6">
        <f>IF(B1156="","",IFERROR(INDEX(Products!$E:$E,MATCH(B1156,Products!$A:$A,0)),0))</f>
        <v/>
      </c>
      <c r="G1156" s="6">
        <f>IF(B1156="","",N(C1156)*N(F1156))</f>
        <v/>
      </c>
      <c r="H1156">
        <f>IF(B1156="","",IFERROR(INDEX(Products!$B:$B,MATCH(B1156,Products!$A:$A,0)),"SKU not found"))</f>
        <v/>
      </c>
    </row>
    <row r="1157">
      <c r="A1157" s="7" t="n"/>
      <c r="B1157" s="4" t="n"/>
      <c r="C1157" s="4" t="n"/>
      <c r="D1157" s="4" t="n"/>
      <c r="E1157" s="4" t="n"/>
      <c r="F1157" s="6">
        <f>IF(B1157="","",IFERROR(INDEX(Products!$E:$E,MATCH(B1157,Products!$A:$A,0)),0))</f>
        <v/>
      </c>
      <c r="G1157" s="6">
        <f>IF(B1157="","",N(C1157)*N(F1157))</f>
        <v/>
      </c>
      <c r="H1157">
        <f>IF(B1157="","",IFERROR(INDEX(Products!$B:$B,MATCH(B1157,Products!$A:$A,0)),"SKU not found"))</f>
        <v/>
      </c>
    </row>
    <row r="1158">
      <c r="A1158" s="7" t="n"/>
      <c r="B1158" s="4" t="n"/>
      <c r="C1158" s="4" t="n"/>
      <c r="D1158" s="4" t="n"/>
      <c r="E1158" s="4" t="n"/>
      <c r="F1158" s="6">
        <f>IF(B1158="","",IFERROR(INDEX(Products!$E:$E,MATCH(B1158,Products!$A:$A,0)),0))</f>
        <v/>
      </c>
      <c r="G1158" s="6">
        <f>IF(B1158="","",N(C1158)*N(F1158))</f>
        <v/>
      </c>
      <c r="H1158">
        <f>IF(B1158="","",IFERROR(INDEX(Products!$B:$B,MATCH(B1158,Products!$A:$A,0)),"SKU not found"))</f>
        <v/>
      </c>
    </row>
    <row r="1159">
      <c r="A1159" s="7" t="n"/>
      <c r="B1159" s="4" t="n"/>
      <c r="C1159" s="4" t="n"/>
      <c r="D1159" s="4" t="n"/>
      <c r="E1159" s="4" t="n"/>
      <c r="F1159" s="6">
        <f>IF(B1159="","",IFERROR(INDEX(Products!$E:$E,MATCH(B1159,Products!$A:$A,0)),0))</f>
        <v/>
      </c>
      <c r="G1159" s="6">
        <f>IF(B1159="","",N(C1159)*N(F1159))</f>
        <v/>
      </c>
      <c r="H1159">
        <f>IF(B1159="","",IFERROR(INDEX(Products!$B:$B,MATCH(B1159,Products!$A:$A,0)),"SKU not found"))</f>
        <v/>
      </c>
    </row>
    <row r="1160">
      <c r="A1160" s="7" t="n"/>
      <c r="B1160" s="4" t="n"/>
      <c r="C1160" s="4" t="n"/>
      <c r="D1160" s="4" t="n"/>
      <c r="E1160" s="4" t="n"/>
      <c r="F1160" s="6">
        <f>IF(B1160="","",IFERROR(INDEX(Products!$E:$E,MATCH(B1160,Products!$A:$A,0)),0))</f>
        <v/>
      </c>
      <c r="G1160" s="6">
        <f>IF(B1160="","",N(C1160)*N(F1160))</f>
        <v/>
      </c>
      <c r="H1160">
        <f>IF(B1160="","",IFERROR(INDEX(Products!$B:$B,MATCH(B1160,Products!$A:$A,0)),"SKU not found"))</f>
        <v/>
      </c>
    </row>
    <row r="1161">
      <c r="A1161" s="7" t="n"/>
      <c r="B1161" s="4" t="n"/>
      <c r="C1161" s="4" t="n"/>
      <c r="D1161" s="4" t="n"/>
      <c r="E1161" s="4" t="n"/>
      <c r="F1161" s="6">
        <f>IF(B1161="","",IFERROR(INDEX(Products!$E:$E,MATCH(B1161,Products!$A:$A,0)),0))</f>
        <v/>
      </c>
      <c r="G1161" s="6">
        <f>IF(B1161="","",N(C1161)*N(F1161))</f>
        <v/>
      </c>
      <c r="H1161">
        <f>IF(B1161="","",IFERROR(INDEX(Products!$B:$B,MATCH(B1161,Products!$A:$A,0)),"SKU not found"))</f>
        <v/>
      </c>
    </row>
    <row r="1162">
      <c r="A1162" s="7" t="n"/>
      <c r="B1162" s="4" t="n"/>
      <c r="C1162" s="4" t="n"/>
      <c r="D1162" s="4" t="n"/>
      <c r="E1162" s="4" t="n"/>
      <c r="F1162" s="6">
        <f>IF(B1162="","",IFERROR(INDEX(Products!$E:$E,MATCH(B1162,Products!$A:$A,0)),0))</f>
        <v/>
      </c>
      <c r="G1162" s="6">
        <f>IF(B1162="","",N(C1162)*N(F1162))</f>
        <v/>
      </c>
      <c r="H1162">
        <f>IF(B1162="","",IFERROR(INDEX(Products!$B:$B,MATCH(B1162,Products!$A:$A,0)),"SKU not found"))</f>
        <v/>
      </c>
    </row>
    <row r="1163">
      <c r="A1163" s="7" t="n"/>
      <c r="B1163" s="4" t="n"/>
      <c r="C1163" s="4" t="n"/>
      <c r="D1163" s="4" t="n"/>
      <c r="E1163" s="4" t="n"/>
      <c r="F1163" s="6">
        <f>IF(B1163="","",IFERROR(INDEX(Products!$E:$E,MATCH(B1163,Products!$A:$A,0)),0))</f>
        <v/>
      </c>
      <c r="G1163" s="6">
        <f>IF(B1163="","",N(C1163)*N(F1163))</f>
        <v/>
      </c>
      <c r="H1163">
        <f>IF(B1163="","",IFERROR(INDEX(Products!$B:$B,MATCH(B1163,Products!$A:$A,0)),"SKU not found"))</f>
        <v/>
      </c>
    </row>
    <row r="1164">
      <c r="A1164" s="7" t="n"/>
      <c r="B1164" s="4" t="n"/>
      <c r="C1164" s="4" t="n"/>
      <c r="D1164" s="4" t="n"/>
      <c r="E1164" s="4" t="n"/>
      <c r="F1164" s="6">
        <f>IF(B1164="","",IFERROR(INDEX(Products!$E:$E,MATCH(B1164,Products!$A:$A,0)),0))</f>
        <v/>
      </c>
      <c r="G1164" s="6">
        <f>IF(B1164="","",N(C1164)*N(F1164))</f>
        <v/>
      </c>
      <c r="H1164">
        <f>IF(B1164="","",IFERROR(INDEX(Products!$B:$B,MATCH(B1164,Products!$A:$A,0)),"SKU not found"))</f>
        <v/>
      </c>
    </row>
    <row r="1165">
      <c r="A1165" s="7" t="n"/>
      <c r="B1165" s="4" t="n"/>
      <c r="C1165" s="4" t="n"/>
      <c r="D1165" s="4" t="n"/>
      <c r="E1165" s="4" t="n"/>
      <c r="F1165" s="6">
        <f>IF(B1165="","",IFERROR(INDEX(Products!$E:$E,MATCH(B1165,Products!$A:$A,0)),0))</f>
        <v/>
      </c>
      <c r="G1165" s="6">
        <f>IF(B1165="","",N(C1165)*N(F1165))</f>
        <v/>
      </c>
      <c r="H1165">
        <f>IF(B1165="","",IFERROR(INDEX(Products!$B:$B,MATCH(B1165,Products!$A:$A,0)),"SKU not found"))</f>
        <v/>
      </c>
    </row>
    <row r="1166">
      <c r="A1166" s="7" t="n"/>
      <c r="B1166" s="4" t="n"/>
      <c r="C1166" s="4" t="n"/>
      <c r="D1166" s="4" t="n"/>
      <c r="E1166" s="4" t="n"/>
      <c r="F1166" s="6">
        <f>IF(B1166="","",IFERROR(INDEX(Products!$E:$E,MATCH(B1166,Products!$A:$A,0)),0))</f>
        <v/>
      </c>
      <c r="G1166" s="6">
        <f>IF(B1166="","",N(C1166)*N(F1166))</f>
        <v/>
      </c>
      <c r="H1166">
        <f>IF(B1166="","",IFERROR(INDEX(Products!$B:$B,MATCH(B1166,Products!$A:$A,0)),"SKU not found"))</f>
        <v/>
      </c>
    </row>
    <row r="1167">
      <c r="A1167" s="7" t="n"/>
      <c r="B1167" s="4" t="n"/>
      <c r="C1167" s="4" t="n"/>
      <c r="D1167" s="4" t="n"/>
      <c r="E1167" s="4" t="n"/>
      <c r="F1167" s="6">
        <f>IF(B1167="","",IFERROR(INDEX(Products!$E:$E,MATCH(B1167,Products!$A:$A,0)),0))</f>
        <v/>
      </c>
      <c r="G1167" s="6">
        <f>IF(B1167="","",N(C1167)*N(F1167))</f>
        <v/>
      </c>
      <c r="H1167">
        <f>IF(B1167="","",IFERROR(INDEX(Products!$B:$B,MATCH(B1167,Products!$A:$A,0)),"SKU not found"))</f>
        <v/>
      </c>
    </row>
    <row r="1168">
      <c r="A1168" s="7" t="n"/>
      <c r="B1168" s="4" t="n"/>
      <c r="C1168" s="4" t="n"/>
      <c r="D1168" s="4" t="n"/>
      <c r="E1168" s="4" t="n"/>
      <c r="F1168" s="6">
        <f>IF(B1168="","",IFERROR(INDEX(Products!$E:$E,MATCH(B1168,Products!$A:$A,0)),0))</f>
        <v/>
      </c>
      <c r="G1168" s="6">
        <f>IF(B1168="","",N(C1168)*N(F1168))</f>
        <v/>
      </c>
      <c r="H1168">
        <f>IF(B1168="","",IFERROR(INDEX(Products!$B:$B,MATCH(B1168,Products!$A:$A,0)),"SKU not found"))</f>
        <v/>
      </c>
    </row>
    <row r="1169">
      <c r="A1169" s="7" t="n"/>
      <c r="B1169" s="4" t="n"/>
      <c r="C1169" s="4" t="n"/>
      <c r="D1169" s="4" t="n"/>
      <c r="E1169" s="4" t="n"/>
      <c r="F1169" s="6">
        <f>IF(B1169="","",IFERROR(INDEX(Products!$E:$E,MATCH(B1169,Products!$A:$A,0)),0))</f>
        <v/>
      </c>
      <c r="G1169" s="6">
        <f>IF(B1169="","",N(C1169)*N(F1169))</f>
        <v/>
      </c>
      <c r="H1169">
        <f>IF(B1169="","",IFERROR(INDEX(Products!$B:$B,MATCH(B1169,Products!$A:$A,0)),"SKU not found"))</f>
        <v/>
      </c>
    </row>
    <row r="1170">
      <c r="A1170" s="7" t="n"/>
      <c r="B1170" s="4" t="n"/>
      <c r="C1170" s="4" t="n"/>
      <c r="D1170" s="4" t="n"/>
      <c r="E1170" s="4" t="n"/>
      <c r="F1170" s="6">
        <f>IF(B1170="","",IFERROR(INDEX(Products!$E:$E,MATCH(B1170,Products!$A:$A,0)),0))</f>
        <v/>
      </c>
      <c r="G1170" s="6">
        <f>IF(B1170="","",N(C1170)*N(F1170))</f>
        <v/>
      </c>
      <c r="H1170">
        <f>IF(B1170="","",IFERROR(INDEX(Products!$B:$B,MATCH(B1170,Products!$A:$A,0)),"SKU not found"))</f>
        <v/>
      </c>
    </row>
    <row r="1171">
      <c r="A1171" s="7" t="n"/>
      <c r="B1171" s="4" t="n"/>
      <c r="C1171" s="4" t="n"/>
      <c r="D1171" s="4" t="n"/>
      <c r="E1171" s="4" t="n"/>
      <c r="F1171" s="6">
        <f>IF(B1171="","",IFERROR(INDEX(Products!$E:$E,MATCH(B1171,Products!$A:$A,0)),0))</f>
        <v/>
      </c>
      <c r="G1171" s="6">
        <f>IF(B1171="","",N(C1171)*N(F1171))</f>
        <v/>
      </c>
      <c r="H1171">
        <f>IF(B1171="","",IFERROR(INDEX(Products!$B:$B,MATCH(B1171,Products!$A:$A,0)),"SKU not found"))</f>
        <v/>
      </c>
    </row>
    <row r="1172">
      <c r="A1172" s="7" t="n"/>
      <c r="B1172" s="4" t="n"/>
      <c r="C1172" s="4" t="n"/>
      <c r="D1172" s="4" t="n"/>
      <c r="E1172" s="4" t="n"/>
      <c r="F1172" s="6">
        <f>IF(B1172="","",IFERROR(INDEX(Products!$E:$E,MATCH(B1172,Products!$A:$A,0)),0))</f>
        <v/>
      </c>
      <c r="G1172" s="6">
        <f>IF(B1172="","",N(C1172)*N(F1172))</f>
        <v/>
      </c>
      <c r="H1172">
        <f>IF(B1172="","",IFERROR(INDEX(Products!$B:$B,MATCH(B1172,Products!$A:$A,0)),"SKU not found"))</f>
        <v/>
      </c>
    </row>
    <row r="1173">
      <c r="A1173" s="7" t="n"/>
      <c r="B1173" s="4" t="n"/>
      <c r="C1173" s="4" t="n"/>
      <c r="D1173" s="4" t="n"/>
      <c r="E1173" s="4" t="n"/>
      <c r="F1173" s="6">
        <f>IF(B1173="","",IFERROR(INDEX(Products!$E:$E,MATCH(B1173,Products!$A:$A,0)),0))</f>
        <v/>
      </c>
      <c r="G1173" s="6">
        <f>IF(B1173="","",N(C1173)*N(F1173))</f>
        <v/>
      </c>
      <c r="H1173">
        <f>IF(B1173="","",IFERROR(INDEX(Products!$B:$B,MATCH(B1173,Products!$A:$A,0)),"SKU not found"))</f>
        <v/>
      </c>
    </row>
    <row r="1174">
      <c r="A1174" s="7" t="n"/>
      <c r="B1174" s="4" t="n"/>
      <c r="C1174" s="4" t="n"/>
      <c r="D1174" s="4" t="n"/>
      <c r="E1174" s="4" t="n"/>
      <c r="F1174" s="6">
        <f>IF(B1174="","",IFERROR(INDEX(Products!$E:$E,MATCH(B1174,Products!$A:$A,0)),0))</f>
        <v/>
      </c>
      <c r="G1174" s="6">
        <f>IF(B1174="","",N(C1174)*N(F1174))</f>
        <v/>
      </c>
      <c r="H1174">
        <f>IF(B1174="","",IFERROR(INDEX(Products!$B:$B,MATCH(B1174,Products!$A:$A,0)),"SKU not found"))</f>
        <v/>
      </c>
    </row>
    <row r="1175">
      <c r="A1175" s="7" t="n"/>
      <c r="B1175" s="4" t="n"/>
      <c r="C1175" s="4" t="n"/>
      <c r="D1175" s="4" t="n"/>
      <c r="E1175" s="4" t="n"/>
      <c r="F1175" s="6">
        <f>IF(B1175="","",IFERROR(INDEX(Products!$E:$E,MATCH(B1175,Products!$A:$A,0)),0))</f>
        <v/>
      </c>
      <c r="G1175" s="6">
        <f>IF(B1175="","",N(C1175)*N(F1175))</f>
        <v/>
      </c>
      <c r="H1175">
        <f>IF(B1175="","",IFERROR(INDEX(Products!$B:$B,MATCH(B1175,Products!$A:$A,0)),"SKU not found"))</f>
        <v/>
      </c>
    </row>
    <row r="1176">
      <c r="A1176" s="7" t="n"/>
      <c r="B1176" s="4" t="n"/>
      <c r="C1176" s="4" t="n"/>
      <c r="D1176" s="4" t="n"/>
      <c r="E1176" s="4" t="n"/>
      <c r="F1176" s="6">
        <f>IF(B1176="","",IFERROR(INDEX(Products!$E:$E,MATCH(B1176,Products!$A:$A,0)),0))</f>
        <v/>
      </c>
      <c r="G1176" s="6">
        <f>IF(B1176="","",N(C1176)*N(F1176))</f>
        <v/>
      </c>
      <c r="H1176">
        <f>IF(B1176="","",IFERROR(INDEX(Products!$B:$B,MATCH(B1176,Products!$A:$A,0)),"SKU not found"))</f>
        <v/>
      </c>
    </row>
    <row r="1177">
      <c r="A1177" s="7" t="n"/>
      <c r="B1177" s="4" t="n"/>
      <c r="C1177" s="4" t="n"/>
      <c r="D1177" s="4" t="n"/>
      <c r="E1177" s="4" t="n"/>
      <c r="F1177" s="6">
        <f>IF(B1177="","",IFERROR(INDEX(Products!$E:$E,MATCH(B1177,Products!$A:$A,0)),0))</f>
        <v/>
      </c>
      <c r="G1177" s="6">
        <f>IF(B1177="","",N(C1177)*N(F1177))</f>
        <v/>
      </c>
      <c r="H1177">
        <f>IF(B1177="","",IFERROR(INDEX(Products!$B:$B,MATCH(B1177,Products!$A:$A,0)),"SKU not found"))</f>
        <v/>
      </c>
    </row>
    <row r="1178">
      <c r="A1178" s="7" t="n"/>
      <c r="B1178" s="4" t="n"/>
      <c r="C1178" s="4" t="n"/>
      <c r="D1178" s="4" t="n"/>
      <c r="E1178" s="4" t="n"/>
      <c r="F1178" s="6">
        <f>IF(B1178="","",IFERROR(INDEX(Products!$E:$E,MATCH(B1178,Products!$A:$A,0)),0))</f>
        <v/>
      </c>
      <c r="G1178" s="6">
        <f>IF(B1178="","",N(C1178)*N(F1178))</f>
        <v/>
      </c>
      <c r="H1178">
        <f>IF(B1178="","",IFERROR(INDEX(Products!$B:$B,MATCH(B1178,Products!$A:$A,0)),"SKU not found"))</f>
        <v/>
      </c>
    </row>
    <row r="1179">
      <c r="A1179" s="7" t="n"/>
      <c r="B1179" s="4" t="n"/>
      <c r="C1179" s="4" t="n"/>
      <c r="D1179" s="4" t="n"/>
      <c r="E1179" s="4" t="n"/>
      <c r="F1179" s="6">
        <f>IF(B1179="","",IFERROR(INDEX(Products!$E:$E,MATCH(B1179,Products!$A:$A,0)),0))</f>
        <v/>
      </c>
      <c r="G1179" s="6">
        <f>IF(B1179="","",N(C1179)*N(F1179))</f>
        <v/>
      </c>
      <c r="H1179">
        <f>IF(B1179="","",IFERROR(INDEX(Products!$B:$B,MATCH(B1179,Products!$A:$A,0)),"SKU not found"))</f>
        <v/>
      </c>
    </row>
    <row r="1180">
      <c r="A1180" s="7" t="n"/>
      <c r="B1180" s="4" t="n"/>
      <c r="C1180" s="4" t="n"/>
      <c r="D1180" s="4" t="n"/>
      <c r="E1180" s="4" t="n"/>
      <c r="F1180" s="6">
        <f>IF(B1180="","",IFERROR(INDEX(Products!$E:$E,MATCH(B1180,Products!$A:$A,0)),0))</f>
        <v/>
      </c>
      <c r="G1180" s="6">
        <f>IF(B1180="","",N(C1180)*N(F1180))</f>
        <v/>
      </c>
      <c r="H1180">
        <f>IF(B1180="","",IFERROR(INDEX(Products!$B:$B,MATCH(B1180,Products!$A:$A,0)),"SKU not found"))</f>
        <v/>
      </c>
    </row>
    <row r="1181">
      <c r="A1181" s="7" t="n"/>
      <c r="B1181" s="4" t="n"/>
      <c r="C1181" s="4" t="n"/>
      <c r="D1181" s="4" t="n"/>
      <c r="E1181" s="4" t="n"/>
      <c r="F1181" s="6">
        <f>IF(B1181="","",IFERROR(INDEX(Products!$E:$E,MATCH(B1181,Products!$A:$A,0)),0))</f>
        <v/>
      </c>
      <c r="G1181" s="6">
        <f>IF(B1181="","",N(C1181)*N(F1181))</f>
        <v/>
      </c>
      <c r="H1181">
        <f>IF(B1181="","",IFERROR(INDEX(Products!$B:$B,MATCH(B1181,Products!$A:$A,0)),"SKU not found"))</f>
        <v/>
      </c>
    </row>
    <row r="1182">
      <c r="A1182" s="7" t="n"/>
      <c r="B1182" s="4" t="n"/>
      <c r="C1182" s="4" t="n"/>
      <c r="D1182" s="4" t="n"/>
      <c r="E1182" s="4" t="n"/>
      <c r="F1182" s="6">
        <f>IF(B1182="","",IFERROR(INDEX(Products!$E:$E,MATCH(B1182,Products!$A:$A,0)),0))</f>
        <v/>
      </c>
      <c r="G1182" s="6">
        <f>IF(B1182="","",N(C1182)*N(F1182))</f>
        <v/>
      </c>
      <c r="H1182">
        <f>IF(B1182="","",IFERROR(INDEX(Products!$B:$B,MATCH(B1182,Products!$A:$A,0)),"SKU not found"))</f>
        <v/>
      </c>
    </row>
    <row r="1183">
      <c r="A1183" s="7" t="n"/>
      <c r="B1183" s="4" t="n"/>
      <c r="C1183" s="4" t="n"/>
      <c r="D1183" s="4" t="n"/>
      <c r="E1183" s="4" t="n"/>
      <c r="F1183" s="6">
        <f>IF(B1183="","",IFERROR(INDEX(Products!$E:$E,MATCH(B1183,Products!$A:$A,0)),0))</f>
        <v/>
      </c>
      <c r="G1183" s="6">
        <f>IF(B1183="","",N(C1183)*N(F1183))</f>
        <v/>
      </c>
      <c r="H1183">
        <f>IF(B1183="","",IFERROR(INDEX(Products!$B:$B,MATCH(B1183,Products!$A:$A,0)),"SKU not found"))</f>
        <v/>
      </c>
    </row>
    <row r="1184">
      <c r="A1184" s="7" t="n"/>
      <c r="B1184" s="4" t="n"/>
      <c r="C1184" s="4" t="n"/>
      <c r="D1184" s="4" t="n"/>
      <c r="E1184" s="4" t="n"/>
      <c r="F1184" s="6">
        <f>IF(B1184="","",IFERROR(INDEX(Products!$E:$E,MATCH(B1184,Products!$A:$A,0)),0))</f>
        <v/>
      </c>
      <c r="G1184" s="6">
        <f>IF(B1184="","",N(C1184)*N(F1184))</f>
        <v/>
      </c>
      <c r="H1184">
        <f>IF(B1184="","",IFERROR(INDEX(Products!$B:$B,MATCH(B1184,Products!$A:$A,0)),"SKU not found"))</f>
        <v/>
      </c>
    </row>
    <row r="1185">
      <c r="A1185" s="7" t="n"/>
      <c r="B1185" s="4" t="n"/>
      <c r="C1185" s="4" t="n"/>
      <c r="D1185" s="4" t="n"/>
      <c r="E1185" s="4" t="n"/>
      <c r="F1185" s="6">
        <f>IF(B1185="","",IFERROR(INDEX(Products!$E:$E,MATCH(B1185,Products!$A:$A,0)),0))</f>
        <v/>
      </c>
      <c r="G1185" s="6">
        <f>IF(B1185="","",N(C1185)*N(F1185))</f>
        <v/>
      </c>
      <c r="H1185">
        <f>IF(B1185="","",IFERROR(INDEX(Products!$B:$B,MATCH(B1185,Products!$A:$A,0)),"SKU not found"))</f>
        <v/>
      </c>
    </row>
    <row r="1186">
      <c r="A1186" s="7" t="n"/>
      <c r="B1186" s="4" t="n"/>
      <c r="C1186" s="4" t="n"/>
      <c r="D1186" s="4" t="n"/>
      <c r="E1186" s="4" t="n"/>
      <c r="F1186" s="6">
        <f>IF(B1186="","",IFERROR(INDEX(Products!$E:$E,MATCH(B1186,Products!$A:$A,0)),0))</f>
        <v/>
      </c>
      <c r="G1186" s="6">
        <f>IF(B1186="","",N(C1186)*N(F1186))</f>
        <v/>
      </c>
      <c r="H1186">
        <f>IF(B1186="","",IFERROR(INDEX(Products!$B:$B,MATCH(B1186,Products!$A:$A,0)),"SKU not found"))</f>
        <v/>
      </c>
    </row>
    <row r="1187">
      <c r="A1187" s="7" t="n"/>
      <c r="B1187" s="4" t="n"/>
      <c r="C1187" s="4" t="n"/>
      <c r="D1187" s="4" t="n"/>
      <c r="E1187" s="4" t="n"/>
      <c r="F1187" s="6">
        <f>IF(B1187="","",IFERROR(INDEX(Products!$E:$E,MATCH(B1187,Products!$A:$A,0)),0))</f>
        <v/>
      </c>
      <c r="G1187" s="6">
        <f>IF(B1187="","",N(C1187)*N(F1187))</f>
        <v/>
      </c>
      <c r="H1187">
        <f>IF(B1187="","",IFERROR(INDEX(Products!$B:$B,MATCH(B1187,Products!$A:$A,0)),"SKU not found"))</f>
        <v/>
      </c>
    </row>
    <row r="1188">
      <c r="A1188" s="7" t="n"/>
      <c r="B1188" s="4" t="n"/>
      <c r="C1188" s="4" t="n"/>
      <c r="D1188" s="4" t="n"/>
      <c r="E1188" s="4" t="n"/>
      <c r="F1188" s="6">
        <f>IF(B1188="","",IFERROR(INDEX(Products!$E:$E,MATCH(B1188,Products!$A:$A,0)),0))</f>
        <v/>
      </c>
      <c r="G1188" s="6">
        <f>IF(B1188="","",N(C1188)*N(F1188))</f>
        <v/>
      </c>
      <c r="H1188">
        <f>IF(B1188="","",IFERROR(INDEX(Products!$B:$B,MATCH(B1188,Products!$A:$A,0)),"SKU not found"))</f>
        <v/>
      </c>
    </row>
    <row r="1189">
      <c r="A1189" s="7" t="n"/>
      <c r="B1189" s="4" t="n"/>
      <c r="C1189" s="4" t="n"/>
      <c r="D1189" s="4" t="n"/>
      <c r="E1189" s="4" t="n"/>
      <c r="F1189" s="6">
        <f>IF(B1189="","",IFERROR(INDEX(Products!$E:$E,MATCH(B1189,Products!$A:$A,0)),0))</f>
        <v/>
      </c>
      <c r="G1189" s="6">
        <f>IF(B1189="","",N(C1189)*N(F1189))</f>
        <v/>
      </c>
      <c r="H1189">
        <f>IF(B1189="","",IFERROR(INDEX(Products!$B:$B,MATCH(B1189,Products!$A:$A,0)),"SKU not found"))</f>
        <v/>
      </c>
    </row>
    <row r="1190">
      <c r="A1190" s="7" t="n"/>
      <c r="B1190" s="4" t="n"/>
      <c r="C1190" s="4" t="n"/>
      <c r="D1190" s="4" t="n"/>
      <c r="E1190" s="4" t="n"/>
      <c r="F1190" s="6">
        <f>IF(B1190="","",IFERROR(INDEX(Products!$E:$E,MATCH(B1190,Products!$A:$A,0)),0))</f>
        <v/>
      </c>
      <c r="G1190" s="6">
        <f>IF(B1190="","",N(C1190)*N(F1190))</f>
        <v/>
      </c>
      <c r="H1190">
        <f>IF(B1190="","",IFERROR(INDEX(Products!$B:$B,MATCH(B1190,Products!$A:$A,0)),"SKU not found"))</f>
        <v/>
      </c>
    </row>
    <row r="1191">
      <c r="A1191" s="7" t="n"/>
      <c r="B1191" s="4" t="n"/>
      <c r="C1191" s="4" t="n"/>
      <c r="D1191" s="4" t="n"/>
      <c r="E1191" s="4" t="n"/>
      <c r="F1191" s="6">
        <f>IF(B1191="","",IFERROR(INDEX(Products!$E:$E,MATCH(B1191,Products!$A:$A,0)),0))</f>
        <v/>
      </c>
      <c r="G1191" s="6">
        <f>IF(B1191="","",N(C1191)*N(F1191))</f>
        <v/>
      </c>
      <c r="H1191">
        <f>IF(B1191="","",IFERROR(INDEX(Products!$B:$B,MATCH(B1191,Products!$A:$A,0)),"SKU not found"))</f>
        <v/>
      </c>
    </row>
    <row r="1192">
      <c r="A1192" s="7" t="n"/>
      <c r="B1192" s="4" t="n"/>
      <c r="C1192" s="4" t="n"/>
      <c r="D1192" s="4" t="n"/>
      <c r="E1192" s="4" t="n"/>
      <c r="F1192" s="6">
        <f>IF(B1192="","",IFERROR(INDEX(Products!$E:$E,MATCH(B1192,Products!$A:$A,0)),0))</f>
        <v/>
      </c>
      <c r="G1192" s="6">
        <f>IF(B1192="","",N(C1192)*N(F1192))</f>
        <v/>
      </c>
      <c r="H1192">
        <f>IF(B1192="","",IFERROR(INDEX(Products!$B:$B,MATCH(B1192,Products!$A:$A,0)),"SKU not found"))</f>
        <v/>
      </c>
    </row>
    <row r="1193">
      <c r="A1193" s="7" t="n"/>
      <c r="B1193" s="4" t="n"/>
      <c r="C1193" s="4" t="n"/>
      <c r="D1193" s="4" t="n"/>
      <c r="E1193" s="4" t="n"/>
      <c r="F1193" s="6">
        <f>IF(B1193="","",IFERROR(INDEX(Products!$E:$E,MATCH(B1193,Products!$A:$A,0)),0))</f>
        <v/>
      </c>
      <c r="G1193" s="6">
        <f>IF(B1193="","",N(C1193)*N(F1193))</f>
        <v/>
      </c>
      <c r="H1193">
        <f>IF(B1193="","",IFERROR(INDEX(Products!$B:$B,MATCH(B1193,Products!$A:$A,0)),"SKU not found"))</f>
        <v/>
      </c>
    </row>
    <row r="1194">
      <c r="A1194" s="7" t="n"/>
      <c r="B1194" s="4" t="n"/>
      <c r="C1194" s="4" t="n"/>
      <c r="D1194" s="4" t="n"/>
      <c r="E1194" s="4" t="n"/>
      <c r="F1194" s="6">
        <f>IF(B1194="","",IFERROR(INDEX(Products!$E:$E,MATCH(B1194,Products!$A:$A,0)),0))</f>
        <v/>
      </c>
      <c r="G1194" s="6">
        <f>IF(B1194="","",N(C1194)*N(F1194))</f>
        <v/>
      </c>
      <c r="H1194">
        <f>IF(B1194="","",IFERROR(INDEX(Products!$B:$B,MATCH(B1194,Products!$A:$A,0)),"SKU not found"))</f>
        <v/>
      </c>
    </row>
    <row r="1195">
      <c r="A1195" s="7" t="n"/>
      <c r="B1195" s="4" t="n"/>
      <c r="C1195" s="4" t="n"/>
      <c r="D1195" s="4" t="n"/>
      <c r="E1195" s="4" t="n"/>
      <c r="F1195" s="6">
        <f>IF(B1195="","",IFERROR(INDEX(Products!$E:$E,MATCH(B1195,Products!$A:$A,0)),0))</f>
        <v/>
      </c>
      <c r="G1195" s="6">
        <f>IF(B1195="","",N(C1195)*N(F1195))</f>
        <v/>
      </c>
      <c r="H1195">
        <f>IF(B1195="","",IFERROR(INDEX(Products!$B:$B,MATCH(B1195,Products!$A:$A,0)),"SKU not found"))</f>
        <v/>
      </c>
    </row>
    <row r="1196">
      <c r="A1196" s="7" t="n"/>
      <c r="B1196" s="4" t="n"/>
      <c r="C1196" s="4" t="n"/>
      <c r="D1196" s="4" t="n"/>
      <c r="E1196" s="4" t="n"/>
      <c r="F1196" s="6">
        <f>IF(B1196="","",IFERROR(INDEX(Products!$E:$E,MATCH(B1196,Products!$A:$A,0)),0))</f>
        <v/>
      </c>
      <c r="G1196" s="6">
        <f>IF(B1196="","",N(C1196)*N(F1196))</f>
        <v/>
      </c>
      <c r="H1196">
        <f>IF(B1196="","",IFERROR(INDEX(Products!$B:$B,MATCH(B1196,Products!$A:$A,0)),"SKU not found"))</f>
        <v/>
      </c>
    </row>
    <row r="1197">
      <c r="A1197" s="7" t="n"/>
      <c r="B1197" s="4" t="n"/>
      <c r="C1197" s="4" t="n"/>
      <c r="D1197" s="4" t="n"/>
      <c r="E1197" s="4" t="n"/>
      <c r="F1197" s="6">
        <f>IF(B1197="","",IFERROR(INDEX(Products!$E:$E,MATCH(B1197,Products!$A:$A,0)),0))</f>
        <v/>
      </c>
      <c r="G1197" s="6">
        <f>IF(B1197="","",N(C1197)*N(F1197))</f>
        <v/>
      </c>
      <c r="H1197">
        <f>IF(B1197="","",IFERROR(INDEX(Products!$B:$B,MATCH(B1197,Products!$A:$A,0)),"SKU not found"))</f>
        <v/>
      </c>
    </row>
    <row r="1198">
      <c r="A1198" s="7" t="n"/>
      <c r="B1198" s="4" t="n"/>
      <c r="C1198" s="4" t="n"/>
      <c r="D1198" s="4" t="n"/>
      <c r="E1198" s="4" t="n"/>
      <c r="F1198" s="6">
        <f>IF(B1198="","",IFERROR(INDEX(Products!$E:$E,MATCH(B1198,Products!$A:$A,0)),0))</f>
        <v/>
      </c>
      <c r="G1198" s="6">
        <f>IF(B1198="","",N(C1198)*N(F1198))</f>
        <v/>
      </c>
      <c r="H1198">
        <f>IF(B1198="","",IFERROR(INDEX(Products!$B:$B,MATCH(B1198,Products!$A:$A,0)),"SKU not found"))</f>
        <v/>
      </c>
    </row>
    <row r="1199">
      <c r="A1199" s="7" t="n"/>
      <c r="B1199" s="4" t="n"/>
      <c r="C1199" s="4" t="n"/>
      <c r="D1199" s="4" t="n"/>
      <c r="E1199" s="4" t="n"/>
      <c r="F1199" s="6">
        <f>IF(B1199="","",IFERROR(INDEX(Products!$E:$E,MATCH(B1199,Products!$A:$A,0)),0))</f>
        <v/>
      </c>
      <c r="G1199" s="6">
        <f>IF(B1199="","",N(C1199)*N(F1199))</f>
        <v/>
      </c>
      <c r="H1199">
        <f>IF(B1199="","",IFERROR(INDEX(Products!$B:$B,MATCH(B1199,Products!$A:$A,0)),"SKU not found"))</f>
        <v/>
      </c>
    </row>
    <row r="1200">
      <c r="A1200" s="7" t="n"/>
      <c r="B1200" s="4" t="n"/>
      <c r="C1200" s="4" t="n"/>
      <c r="D1200" s="4" t="n"/>
      <c r="E1200" s="4" t="n"/>
      <c r="F1200" s="6">
        <f>IF(B1200="","",IFERROR(INDEX(Products!$E:$E,MATCH(B1200,Products!$A:$A,0)),0))</f>
        <v/>
      </c>
      <c r="G1200" s="6">
        <f>IF(B1200="","",N(C1200)*N(F1200))</f>
        <v/>
      </c>
      <c r="H1200">
        <f>IF(B1200="","",IFERROR(INDEX(Products!$B:$B,MATCH(B1200,Products!$A:$A,0)),"SKU not found"))</f>
        <v/>
      </c>
    </row>
    <row r="1201">
      <c r="A1201" s="7" t="n"/>
      <c r="B1201" s="4" t="n"/>
      <c r="C1201" s="4" t="n"/>
      <c r="D1201" s="4" t="n"/>
      <c r="E1201" s="4" t="n"/>
      <c r="F1201" s="6">
        <f>IF(B1201="","",IFERROR(INDEX(Products!$E:$E,MATCH(B1201,Products!$A:$A,0)),0))</f>
        <v/>
      </c>
      <c r="G1201" s="6">
        <f>IF(B1201="","",N(C1201)*N(F1201))</f>
        <v/>
      </c>
      <c r="H1201">
        <f>IF(B1201="","",IFERROR(INDEX(Products!$B:$B,MATCH(B1201,Products!$A:$A,0)),"SKU not found"))</f>
        <v/>
      </c>
    </row>
    <row r="1202">
      <c r="A1202" s="7" t="n"/>
      <c r="B1202" s="4" t="n"/>
      <c r="C1202" s="4" t="n"/>
      <c r="D1202" s="4" t="n"/>
      <c r="E1202" s="4" t="n"/>
      <c r="F1202" s="6">
        <f>IF(B1202="","",IFERROR(INDEX(Products!$E:$E,MATCH(B1202,Products!$A:$A,0)),0))</f>
        <v/>
      </c>
      <c r="G1202" s="6">
        <f>IF(B1202="","",N(C1202)*N(F1202))</f>
        <v/>
      </c>
      <c r="H1202">
        <f>IF(B1202="","",IFERROR(INDEX(Products!$B:$B,MATCH(B1202,Products!$A:$A,0)),"SKU not found"))</f>
        <v/>
      </c>
    </row>
    <row r="1203">
      <c r="A1203" s="7" t="n"/>
      <c r="B1203" s="4" t="n"/>
      <c r="C1203" s="4" t="n"/>
      <c r="D1203" s="4" t="n"/>
      <c r="E1203" s="4" t="n"/>
      <c r="F1203" s="6">
        <f>IF(B1203="","",IFERROR(INDEX(Products!$E:$E,MATCH(B1203,Products!$A:$A,0)),0))</f>
        <v/>
      </c>
      <c r="G1203" s="6">
        <f>IF(B1203="","",N(C1203)*N(F1203))</f>
        <v/>
      </c>
      <c r="H1203">
        <f>IF(B1203="","",IFERROR(INDEX(Products!$B:$B,MATCH(B1203,Products!$A:$A,0)),"SKU not found"))</f>
        <v/>
      </c>
    </row>
    <row r="1204">
      <c r="A1204" s="7" t="n"/>
      <c r="B1204" s="4" t="n"/>
      <c r="C1204" s="4" t="n"/>
      <c r="D1204" s="4" t="n"/>
      <c r="E1204" s="4" t="n"/>
      <c r="F1204" s="6">
        <f>IF(B1204="","",IFERROR(INDEX(Products!$E:$E,MATCH(B1204,Products!$A:$A,0)),0))</f>
        <v/>
      </c>
      <c r="G1204" s="6">
        <f>IF(B1204="","",N(C1204)*N(F1204))</f>
        <v/>
      </c>
      <c r="H1204">
        <f>IF(B1204="","",IFERROR(INDEX(Products!$B:$B,MATCH(B1204,Products!$A:$A,0)),"SKU not found"))</f>
        <v/>
      </c>
    </row>
    <row r="1205">
      <c r="A1205" s="7" t="n"/>
      <c r="B1205" s="4" t="n"/>
      <c r="C1205" s="4" t="n"/>
      <c r="D1205" s="4" t="n"/>
      <c r="E1205" s="4" t="n"/>
      <c r="F1205" s="6">
        <f>IF(B1205="","",IFERROR(INDEX(Products!$E:$E,MATCH(B1205,Products!$A:$A,0)),0))</f>
        <v/>
      </c>
      <c r="G1205" s="6">
        <f>IF(B1205="","",N(C1205)*N(F1205))</f>
        <v/>
      </c>
      <c r="H1205">
        <f>IF(B1205="","",IFERROR(INDEX(Products!$B:$B,MATCH(B1205,Products!$A:$A,0)),"SKU not found"))</f>
        <v/>
      </c>
    </row>
    <row r="1206">
      <c r="A1206" s="7" t="n"/>
      <c r="B1206" s="4" t="n"/>
      <c r="C1206" s="4" t="n"/>
      <c r="D1206" s="4" t="n"/>
      <c r="E1206" s="4" t="n"/>
      <c r="F1206" s="6">
        <f>IF(B1206="","",IFERROR(INDEX(Products!$E:$E,MATCH(B1206,Products!$A:$A,0)),0))</f>
        <v/>
      </c>
      <c r="G1206" s="6">
        <f>IF(B1206="","",N(C1206)*N(F1206))</f>
        <v/>
      </c>
      <c r="H1206">
        <f>IF(B1206="","",IFERROR(INDEX(Products!$B:$B,MATCH(B1206,Products!$A:$A,0)),"SKU not found"))</f>
        <v/>
      </c>
    </row>
    <row r="1207">
      <c r="A1207" s="7" t="n"/>
      <c r="B1207" s="4" t="n"/>
      <c r="C1207" s="4" t="n"/>
      <c r="D1207" s="4" t="n"/>
      <c r="E1207" s="4" t="n"/>
      <c r="F1207" s="6">
        <f>IF(B1207="","",IFERROR(INDEX(Products!$E:$E,MATCH(B1207,Products!$A:$A,0)),0))</f>
        <v/>
      </c>
      <c r="G1207" s="6">
        <f>IF(B1207="","",N(C1207)*N(F1207))</f>
        <v/>
      </c>
      <c r="H1207">
        <f>IF(B1207="","",IFERROR(INDEX(Products!$B:$B,MATCH(B1207,Products!$A:$A,0)),"SKU not found"))</f>
        <v/>
      </c>
    </row>
    <row r="1208">
      <c r="A1208" s="7" t="n"/>
      <c r="B1208" s="4" t="n"/>
      <c r="C1208" s="4" t="n"/>
      <c r="D1208" s="4" t="n"/>
      <c r="E1208" s="4" t="n"/>
      <c r="F1208" s="6">
        <f>IF(B1208="","",IFERROR(INDEX(Products!$E:$E,MATCH(B1208,Products!$A:$A,0)),0))</f>
        <v/>
      </c>
      <c r="G1208" s="6">
        <f>IF(B1208="","",N(C1208)*N(F1208))</f>
        <v/>
      </c>
      <c r="H1208">
        <f>IF(B1208="","",IFERROR(INDEX(Products!$B:$B,MATCH(B1208,Products!$A:$A,0)),"SKU not found"))</f>
        <v/>
      </c>
    </row>
    <row r="1209">
      <c r="A1209" s="7" t="n"/>
      <c r="B1209" s="4" t="n"/>
      <c r="C1209" s="4" t="n"/>
      <c r="D1209" s="4" t="n"/>
      <c r="E1209" s="4" t="n"/>
      <c r="F1209" s="6">
        <f>IF(B1209="","",IFERROR(INDEX(Products!$E:$E,MATCH(B1209,Products!$A:$A,0)),0))</f>
        <v/>
      </c>
      <c r="G1209" s="6">
        <f>IF(B1209="","",N(C1209)*N(F1209))</f>
        <v/>
      </c>
      <c r="H1209">
        <f>IF(B1209="","",IFERROR(INDEX(Products!$B:$B,MATCH(B1209,Products!$A:$A,0)),"SKU not found"))</f>
        <v/>
      </c>
    </row>
    <row r="1210">
      <c r="A1210" s="7" t="n"/>
      <c r="B1210" s="4" t="n"/>
      <c r="C1210" s="4" t="n"/>
      <c r="D1210" s="4" t="n"/>
      <c r="E1210" s="4" t="n"/>
      <c r="F1210" s="6">
        <f>IF(B1210="","",IFERROR(INDEX(Products!$E:$E,MATCH(B1210,Products!$A:$A,0)),0))</f>
        <v/>
      </c>
      <c r="G1210" s="6">
        <f>IF(B1210="","",N(C1210)*N(F1210))</f>
        <v/>
      </c>
      <c r="H1210">
        <f>IF(B1210="","",IFERROR(INDEX(Products!$B:$B,MATCH(B1210,Products!$A:$A,0)),"SKU not found"))</f>
        <v/>
      </c>
    </row>
    <row r="1211">
      <c r="A1211" s="7" t="n"/>
      <c r="B1211" s="4" t="n"/>
      <c r="C1211" s="4" t="n"/>
      <c r="D1211" s="4" t="n"/>
      <c r="E1211" s="4" t="n"/>
      <c r="F1211" s="6">
        <f>IF(B1211="","",IFERROR(INDEX(Products!$E:$E,MATCH(B1211,Products!$A:$A,0)),0))</f>
        <v/>
      </c>
      <c r="G1211" s="6">
        <f>IF(B1211="","",N(C1211)*N(F1211))</f>
        <v/>
      </c>
      <c r="H1211">
        <f>IF(B1211="","",IFERROR(INDEX(Products!$B:$B,MATCH(B1211,Products!$A:$A,0)),"SKU not found"))</f>
        <v/>
      </c>
    </row>
    <row r="1212">
      <c r="A1212" s="7" t="n"/>
      <c r="B1212" s="4" t="n"/>
      <c r="C1212" s="4" t="n"/>
      <c r="D1212" s="4" t="n"/>
      <c r="E1212" s="4" t="n"/>
      <c r="F1212" s="6">
        <f>IF(B1212="","",IFERROR(INDEX(Products!$E:$E,MATCH(B1212,Products!$A:$A,0)),0))</f>
        <v/>
      </c>
      <c r="G1212" s="6">
        <f>IF(B1212="","",N(C1212)*N(F1212))</f>
        <v/>
      </c>
      <c r="H1212">
        <f>IF(B1212="","",IFERROR(INDEX(Products!$B:$B,MATCH(B1212,Products!$A:$A,0)),"SKU not found"))</f>
        <v/>
      </c>
    </row>
    <row r="1213">
      <c r="A1213" s="7" t="n"/>
      <c r="B1213" s="4" t="n"/>
      <c r="C1213" s="4" t="n"/>
      <c r="D1213" s="4" t="n"/>
      <c r="E1213" s="4" t="n"/>
      <c r="F1213" s="6">
        <f>IF(B1213="","",IFERROR(INDEX(Products!$E:$E,MATCH(B1213,Products!$A:$A,0)),0))</f>
        <v/>
      </c>
      <c r="G1213" s="6">
        <f>IF(B1213="","",N(C1213)*N(F1213))</f>
        <v/>
      </c>
      <c r="H1213">
        <f>IF(B1213="","",IFERROR(INDEX(Products!$B:$B,MATCH(B1213,Products!$A:$A,0)),"SKU not found"))</f>
        <v/>
      </c>
    </row>
    <row r="1214">
      <c r="A1214" s="7" t="n"/>
      <c r="B1214" s="4" t="n"/>
      <c r="C1214" s="4" t="n"/>
      <c r="D1214" s="4" t="n"/>
      <c r="E1214" s="4" t="n"/>
      <c r="F1214" s="6">
        <f>IF(B1214="","",IFERROR(INDEX(Products!$E:$E,MATCH(B1214,Products!$A:$A,0)),0))</f>
        <v/>
      </c>
      <c r="G1214" s="6">
        <f>IF(B1214="","",N(C1214)*N(F1214))</f>
        <v/>
      </c>
      <c r="H1214">
        <f>IF(B1214="","",IFERROR(INDEX(Products!$B:$B,MATCH(B1214,Products!$A:$A,0)),"SKU not found"))</f>
        <v/>
      </c>
    </row>
    <row r="1215">
      <c r="A1215" s="7" t="n"/>
      <c r="B1215" s="4" t="n"/>
      <c r="C1215" s="4" t="n"/>
      <c r="D1215" s="4" t="n"/>
      <c r="E1215" s="4" t="n"/>
      <c r="F1215" s="6">
        <f>IF(B1215="","",IFERROR(INDEX(Products!$E:$E,MATCH(B1215,Products!$A:$A,0)),0))</f>
        <v/>
      </c>
      <c r="G1215" s="6">
        <f>IF(B1215="","",N(C1215)*N(F1215))</f>
        <v/>
      </c>
      <c r="H1215">
        <f>IF(B1215="","",IFERROR(INDEX(Products!$B:$B,MATCH(B1215,Products!$A:$A,0)),"SKU not found"))</f>
        <v/>
      </c>
    </row>
    <row r="1216">
      <c r="A1216" s="7" t="n"/>
      <c r="B1216" s="4" t="n"/>
      <c r="C1216" s="4" t="n"/>
      <c r="D1216" s="4" t="n"/>
      <c r="E1216" s="4" t="n"/>
      <c r="F1216" s="6">
        <f>IF(B1216="","",IFERROR(INDEX(Products!$E:$E,MATCH(B1216,Products!$A:$A,0)),0))</f>
        <v/>
      </c>
      <c r="G1216" s="6">
        <f>IF(B1216="","",N(C1216)*N(F1216))</f>
        <v/>
      </c>
      <c r="H1216">
        <f>IF(B1216="","",IFERROR(INDEX(Products!$B:$B,MATCH(B1216,Products!$A:$A,0)),"SKU not found"))</f>
        <v/>
      </c>
    </row>
    <row r="1217">
      <c r="A1217" s="7" t="n"/>
      <c r="B1217" s="4" t="n"/>
      <c r="C1217" s="4" t="n"/>
      <c r="D1217" s="4" t="n"/>
      <c r="E1217" s="4" t="n"/>
      <c r="F1217" s="6">
        <f>IF(B1217="","",IFERROR(INDEX(Products!$E:$E,MATCH(B1217,Products!$A:$A,0)),0))</f>
        <v/>
      </c>
      <c r="G1217" s="6">
        <f>IF(B1217="","",N(C1217)*N(F1217))</f>
        <v/>
      </c>
      <c r="H1217">
        <f>IF(B1217="","",IFERROR(INDEX(Products!$B:$B,MATCH(B1217,Products!$A:$A,0)),"SKU not found"))</f>
        <v/>
      </c>
    </row>
    <row r="1218">
      <c r="A1218" s="7" t="n"/>
      <c r="B1218" s="4" t="n"/>
      <c r="C1218" s="4" t="n"/>
      <c r="D1218" s="4" t="n"/>
      <c r="E1218" s="4" t="n"/>
      <c r="F1218" s="6">
        <f>IF(B1218="","",IFERROR(INDEX(Products!$E:$E,MATCH(B1218,Products!$A:$A,0)),0))</f>
        <v/>
      </c>
      <c r="G1218" s="6">
        <f>IF(B1218="","",N(C1218)*N(F1218))</f>
        <v/>
      </c>
      <c r="H1218">
        <f>IF(B1218="","",IFERROR(INDEX(Products!$B:$B,MATCH(B1218,Products!$A:$A,0)),"SKU not found"))</f>
        <v/>
      </c>
    </row>
    <row r="1219">
      <c r="A1219" s="7" t="n"/>
      <c r="B1219" s="4" t="n"/>
      <c r="C1219" s="4" t="n"/>
      <c r="D1219" s="4" t="n"/>
      <c r="E1219" s="4" t="n"/>
      <c r="F1219" s="6">
        <f>IF(B1219="","",IFERROR(INDEX(Products!$E:$E,MATCH(B1219,Products!$A:$A,0)),0))</f>
        <v/>
      </c>
      <c r="G1219" s="6">
        <f>IF(B1219="","",N(C1219)*N(F1219))</f>
        <v/>
      </c>
      <c r="H1219">
        <f>IF(B1219="","",IFERROR(INDEX(Products!$B:$B,MATCH(B1219,Products!$A:$A,0)),"SKU not found"))</f>
        <v/>
      </c>
    </row>
    <row r="1220">
      <c r="A1220" s="7" t="n"/>
      <c r="B1220" s="4" t="n"/>
      <c r="C1220" s="4" t="n"/>
      <c r="D1220" s="4" t="n"/>
      <c r="E1220" s="4" t="n"/>
      <c r="F1220" s="6">
        <f>IF(B1220="","",IFERROR(INDEX(Products!$E:$E,MATCH(B1220,Products!$A:$A,0)),0))</f>
        <v/>
      </c>
      <c r="G1220" s="6">
        <f>IF(B1220="","",N(C1220)*N(F1220))</f>
        <v/>
      </c>
      <c r="H1220">
        <f>IF(B1220="","",IFERROR(INDEX(Products!$B:$B,MATCH(B1220,Products!$A:$A,0)),"SKU not found"))</f>
        <v/>
      </c>
    </row>
    <row r="1221">
      <c r="A1221" s="7" t="n"/>
      <c r="B1221" s="4" t="n"/>
      <c r="C1221" s="4" t="n"/>
      <c r="D1221" s="4" t="n"/>
      <c r="E1221" s="4" t="n"/>
      <c r="F1221" s="6">
        <f>IF(B1221="","",IFERROR(INDEX(Products!$E:$E,MATCH(B1221,Products!$A:$A,0)),0))</f>
        <v/>
      </c>
      <c r="G1221" s="6">
        <f>IF(B1221="","",N(C1221)*N(F1221))</f>
        <v/>
      </c>
      <c r="H1221">
        <f>IF(B1221="","",IFERROR(INDEX(Products!$B:$B,MATCH(B1221,Products!$A:$A,0)),"SKU not found"))</f>
        <v/>
      </c>
    </row>
    <row r="1222">
      <c r="A1222" s="7" t="n"/>
      <c r="B1222" s="4" t="n"/>
      <c r="C1222" s="4" t="n"/>
      <c r="D1222" s="4" t="n"/>
      <c r="E1222" s="4" t="n"/>
      <c r="F1222" s="6">
        <f>IF(B1222="","",IFERROR(INDEX(Products!$E:$E,MATCH(B1222,Products!$A:$A,0)),0))</f>
        <v/>
      </c>
      <c r="G1222" s="6">
        <f>IF(B1222="","",N(C1222)*N(F1222))</f>
        <v/>
      </c>
      <c r="H1222">
        <f>IF(B1222="","",IFERROR(INDEX(Products!$B:$B,MATCH(B1222,Products!$A:$A,0)),"SKU not found"))</f>
        <v/>
      </c>
    </row>
    <row r="1223">
      <c r="A1223" s="7" t="n"/>
      <c r="B1223" s="4" t="n"/>
      <c r="C1223" s="4" t="n"/>
      <c r="D1223" s="4" t="n"/>
      <c r="E1223" s="4" t="n"/>
      <c r="F1223" s="6">
        <f>IF(B1223="","",IFERROR(INDEX(Products!$E:$E,MATCH(B1223,Products!$A:$A,0)),0))</f>
        <v/>
      </c>
      <c r="G1223" s="6">
        <f>IF(B1223="","",N(C1223)*N(F1223))</f>
        <v/>
      </c>
      <c r="H1223">
        <f>IF(B1223="","",IFERROR(INDEX(Products!$B:$B,MATCH(B1223,Products!$A:$A,0)),"SKU not found"))</f>
        <v/>
      </c>
    </row>
    <row r="1224">
      <c r="A1224" s="7" t="n"/>
      <c r="B1224" s="4" t="n"/>
      <c r="C1224" s="4" t="n"/>
      <c r="D1224" s="4" t="n"/>
      <c r="E1224" s="4" t="n"/>
      <c r="F1224" s="6">
        <f>IF(B1224="","",IFERROR(INDEX(Products!$E:$E,MATCH(B1224,Products!$A:$A,0)),0))</f>
        <v/>
      </c>
      <c r="G1224" s="6">
        <f>IF(B1224="","",N(C1224)*N(F1224))</f>
        <v/>
      </c>
      <c r="H1224">
        <f>IF(B1224="","",IFERROR(INDEX(Products!$B:$B,MATCH(B1224,Products!$A:$A,0)),"SKU not found"))</f>
        <v/>
      </c>
    </row>
    <row r="1225">
      <c r="A1225" s="7" t="n"/>
      <c r="B1225" s="4" t="n"/>
      <c r="C1225" s="4" t="n"/>
      <c r="D1225" s="4" t="n"/>
      <c r="E1225" s="4" t="n"/>
      <c r="F1225" s="6">
        <f>IF(B1225="","",IFERROR(INDEX(Products!$E:$E,MATCH(B1225,Products!$A:$A,0)),0))</f>
        <v/>
      </c>
      <c r="G1225" s="6">
        <f>IF(B1225="","",N(C1225)*N(F1225))</f>
        <v/>
      </c>
      <c r="H1225">
        <f>IF(B1225="","",IFERROR(INDEX(Products!$B:$B,MATCH(B1225,Products!$A:$A,0)),"SKU not found"))</f>
        <v/>
      </c>
    </row>
    <row r="1226">
      <c r="A1226" s="7" t="n"/>
      <c r="B1226" s="4" t="n"/>
      <c r="C1226" s="4" t="n"/>
      <c r="D1226" s="4" t="n"/>
      <c r="E1226" s="4" t="n"/>
      <c r="F1226" s="6">
        <f>IF(B1226="","",IFERROR(INDEX(Products!$E:$E,MATCH(B1226,Products!$A:$A,0)),0))</f>
        <v/>
      </c>
      <c r="G1226" s="6">
        <f>IF(B1226="","",N(C1226)*N(F1226))</f>
        <v/>
      </c>
      <c r="H1226">
        <f>IF(B1226="","",IFERROR(INDEX(Products!$B:$B,MATCH(B1226,Products!$A:$A,0)),"SKU not found"))</f>
        <v/>
      </c>
    </row>
    <row r="1227">
      <c r="A1227" s="7" t="n"/>
      <c r="B1227" s="4" t="n"/>
      <c r="C1227" s="4" t="n"/>
      <c r="D1227" s="4" t="n"/>
      <c r="E1227" s="4" t="n"/>
      <c r="F1227" s="6">
        <f>IF(B1227="","",IFERROR(INDEX(Products!$E:$E,MATCH(B1227,Products!$A:$A,0)),0))</f>
        <v/>
      </c>
      <c r="G1227" s="6">
        <f>IF(B1227="","",N(C1227)*N(F1227))</f>
        <v/>
      </c>
      <c r="H1227">
        <f>IF(B1227="","",IFERROR(INDEX(Products!$B:$B,MATCH(B1227,Products!$A:$A,0)),"SKU not found"))</f>
        <v/>
      </c>
    </row>
    <row r="1228">
      <c r="A1228" s="7" t="n"/>
      <c r="B1228" s="4" t="n"/>
      <c r="C1228" s="4" t="n"/>
      <c r="D1228" s="4" t="n"/>
      <c r="E1228" s="4" t="n"/>
      <c r="F1228" s="6">
        <f>IF(B1228="","",IFERROR(INDEX(Products!$E:$E,MATCH(B1228,Products!$A:$A,0)),0))</f>
        <v/>
      </c>
      <c r="G1228" s="6">
        <f>IF(B1228="","",N(C1228)*N(F1228))</f>
        <v/>
      </c>
      <c r="H1228">
        <f>IF(B1228="","",IFERROR(INDEX(Products!$B:$B,MATCH(B1228,Products!$A:$A,0)),"SKU not found"))</f>
        <v/>
      </c>
    </row>
    <row r="1229">
      <c r="A1229" s="7" t="n"/>
      <c r="B1229" s="4" t="n"/>
      <c r="C1229" s="4" t="n"/>
      <c r="D1229" s="4" t="n"/>
      <c r="E1229" s="4" t="n"/>
      <c r="F1229" s="6">
        <f>IF(B1229="","",IFERROR(INDEX(Products!$E:$E,MATCH(B1229,Products!$A:$A,0)),0))</f>
        <v/>
      </c>
      <c r="G1229" s="6">
        <f>IF(B1229="","",N(C1229)*N(F1229))</f>
        <v/>
      </c>
      <c r="H1229">
        <f>IF(B1229="","",IFERROR(INDEX(Products!$B:$B,MATCH(B1229,Products!$A:$A,0)),"SKU not found"))</f>
        <v/>
      </c>
    </row>
    <row r="1230">
      <c r="A1230" s="7" t="n"/>
      <c r="B1230" s="4" t="n"/>
      <c r="C1230" s="4" t="n"/>
      <c r="D1230" s="4" t="n"/>
      <c r="E1230" s="4" t="n"/>
      <c r="F1230" s="6">
        <f>IF(B1230="","",IFERROR(INDEX(Products!$E:$E,MATCH(B1230,Products!$A:$A,0)),0))</f>
        <v/>
      </c>
      <c r="G1230" s="6">
        <f>IF(B1230="","",N(C1230)*N(F1230))</f>
        <v/>
      </c>
      <c r="H1230">
        <f>IF(B1230="","",IFERROR(INDEX(Products!$B:$B,MATCH(B1230,Products!$A:$A,0)),"SKU not found"))</f>
        <v/>
      </c>
    </row>
    <row r="1231">
      <c r="A1231" s="7" t="n"/>
      <c r="B1231" s="4" t="n"/>
      <c r="C1231" s="4" t="n"/>
      <c r="D1231" s="4" t="n"/>
      <c r="E1231" s="4" t="n"/>
      <c r="F1231" s="6">
        <f>IF(B1231="","",IFERROR(INDEX(Products!$E:$E,MATCH(B1231,Products!$A:$A,0)),0))</f>
        <v/>
      </c>
      <c r="G1231" s="6">
        <f>IF(B1231="","",N(C1231)*N(F1231))</f>
        <v/>
      </c>
      <c r="H1231">
        <f>IF(B1231="","",IFERROR(INDEX(Products!$B:$B,MATCH(B1231,Products!$A:$A,0)),"SKU not found"))</f>
        <v/>
      </c>
    </row>
    <row r="1232">
      <c r="A1232" s="7" t="n"/>
      <c r="B1232" s="4" t="n"/>
      <c r="C1232" s="4" t="n"/>
      <c r="D1232" s="4" t="n"/>
      <c r="E1232" s="4" t="n"/>
      <c r="F1232" s="6">
        <f>IF(B1232="","",IFERROR(INDEX(Products!$E:$E,MATCH(B1232,Products!$A:$A,0)),0))</f>
        <v/>
      </c>
      <c r="G1232" s="6">
        <f>IF(B1232="","",N(C1232)*N(F1232))</f>
        <v/>
      </c>
      <c r="H1232">
        <f>IF(B1232="","",IFERROR(INDEX(Products!$B:$B,MATCH(B1232,Products!$A:$A,0)),"SKU not found"))</f>
        <v/>
      </c>
    </row>
    <row r="1233">
      <c r="A1233" s="7" t="n"/>
      <c r="B1233" s="4" t="n"/>
      <c r="C1233" s="4" t="n"/>
      <c r="D1233" s="4" t="n"/>
      <c r="E1233" s="4" t="n"/>
      <c r="F1233" s="6">
        <f>IF(B1233="","",IFERROR(INDEX(Products!$E:$E,MATCH(B1233,Products!$A:$A,0)),0))</f>
        <v/>
      </c>
      <c r="G1233" s="6">
        <f>IF(B1233="","",N(C1233)*N(F1233))</f>
        <v/>
      </c>
      <c r="H1233">
        <f>IF(B1233="","",IFERROR(INDEX(Products!$B:$B,MATCH(B1233,Products!$A:$A,0)),"SKU not found"))</f>
        <v/>
      </c>
    </row>
    <row r="1234">
      <c r="A1234" s="7" t="n"/>
      <c r="B1234" s="4" t="n"/>
      <c r="C1234" s="4" t="n"/>
      <c r="D1234" s="4" t="n"/>
      <c r="E1234" s="4" t="n"/>
      <c r="F1234" s="6">
        <f>IF(B1234="","",IFERROR(INDEX(Products!$E:$E,MATCH(B1234,Products!$A:$A,0)),0))</f>
        <v/>
      </c>
      <c r="G1234" s="6">
        <f>IF(B1234="","",N(C1234)*N(F1234))</f>
        <v/>
      </c>
      <c r="H1234">
        <f>IF(B1234="","",IFERROR(INDEX(Products!$B:$B,MATCH(B1234,Products!$A:$A,0)),"SKU not found"))</f>
        <v/>
      </c>
    </row>
    <row r="1235">
      <c r="A1235" s="7" t="n"/>
      <c r="B1235" s="4" t="n"/>
      <c r="C1235" s="4" t="n"/>
      <c r="D1235" s="4" t="n"/>
      <c r="E1235" s="4" t="n"/>
      <c r="F1235" s="6">
        <f>IF(B1235="","",IFERROR(INDEX(Products!$E:$E,MATCH(B1235,Products!$A:$A,0)),0))</f>
        <v/>
      </c>
      <c r="G1235" s="6">
        <f>IF(B1235="","",N(C1235)*N(F1235))</f>
        <v/>
      </c>
      <c r="H1235">
        <f>IF(B1235="","",IFERROR(INDEX(Products!$B:$B,MATCH(B1235,Products!$A:$A,0)),"SKU not found"))</f>
        <v/>
      </c>
    </row>
    <row r="1236">
      <c r="A1236" s="7" t="n"/>
      <c r="B1236" s="4" t="n"/>
      <c r="C1236" s="4" t="n"/>
      <c r="D1236" s="4" t="n"/>
      <c r="E1236" s="4" t="n"/>
      <c r="F1236" s="6">
        <f>IF(B1236="","",IFERROR(INDEX(Products!$E:$E,MATCH(B1236,Products!$A:$A,0)),0))</f>
        <v/>
      </c>
      <c r="G1236" s="6">
        <f>IF(B1236="","",N(C1236)*N(F1236))</f>
        <v/>
      </c>
      <c r="H1236">
        <f>IF(B1236="","",IFERROR(INDEX(Products!$B:$B,MATCH(B1236,Products!$A:$A,0)),"SKU not found"))</f>
        <v/>
      </c>
    </row>
    <row r="1237">
      <c r="A1237" s="7" t="n"/>
      <c r="B1237" s="4" t="n"/>
      <c r="C1237" s="4" t="n"/>
      <c r="D1237" s="4" t="n"/>
      <c r="E1237" s="4" t="n"/>
      <c r="F1237" s="6">
        <f>IF(B1237="","",IFERROR(INDEX(Products!$E:$E,MATCH(B1237,Products!$A:$A,0)),0))</f>
        <v/>
      </c>
      <c r="G1237" s="6">
        <f>IF(B1237="","",N(C1237)*N(F1237))</f>
        <v/>
      </c>
      <c r="H1237">
        <f>IF(B1237="","",IFERROR(INDEX(Products!$B:$B,MATCH(B1237,Products!$A:$A,0)),"SKU not found"))</f>
        <v/>
      </c>
    </row>
    <row r="1238">
      <c r="A1238" s="7" t="n"/>
      <c r="B1238" s="4" t="n"/>
      <c r="C1238" s="4" t="n"/>
      <c r="D1238" s="4" t="n"/>
      <c r="E1238" s="4" t="n"/>
      <c r="F1238" s="6">
        <f>IF(B1238="","",IFERROR(INDEX(Products!$E:$E,MATCH(B1238,Products!$A:$A,0)),0))</f>
        <v/>
      </c>
      <c r="G1238" s="6">
        <f>IF(B1238="","",N(C1238)*N(F1238))</f>
        <v/>
      </c>
      <c r="H1238">
        <f>IF(B1238="","",IFERROR(INDEX(Products!$B:$B,MATCH(B1238,Products!$A:$A,0)),"SKU not found"))</f>
        <v/>
      </c>
    </row>
    <row r="1239">
      <c r="A1239" s="7" t="n"/>
      <c r="B1239" s="4" t="n"/>
      <c r="C1239" s="4" t="n"/>
      <c r="D1239" s="4" t="n"/>
      <c r="E1239" s="4" t="n"/>
      <c r="F1239" s="6">
        <f>IF(B1239="","",IFERROR(INDEX(Products!$E:$E,MATCH(B1239,Products!$A:$A,0)),0))</f>
        <v/>
      </c>
      <c r="G1239" s="6">
        <f>IF(B1239="","",N(C1239)*N(F1239))</f>
        <v/>
      </c>
      <c r="H1239">
        <f>IF(B1239="","",IFERROR(INDEX(Products!$B:$B,MATCH(B1239,Products!$A:$A,0)),"SKU not found"))</f>
        <v/>
      </c>
    </row>
    <row r="1240">
      <c r="A1240" s="7" t="n"/>
      <c r="B1240" s="4" t="n"/>
      <c r="C1240" s="4" t="n"/>
      <c r="D1240" s="4" t="n"/>
      <c r="E1240" s="4" t="n"/>
      <c r="F1240" s="6">
        <f>IF(B1240="","",IFERROR(INDEX(Products!$E:$E,MATCH(B1240,Products!$A:$A,0)),0))</f>
        <v/>
      </c>
      <c r="G1240" s="6">
        <f>IF(B1240="","",N(C1240)*N(F1240))</f>
        <v/>
      </c>
      <c r="H1240">
        <f>IF(B1240="","",IFERROR(INDEX(Products!$B:$B,MATCH(B1240,Products!$A:$A,0)),"SKU not found"))</f>
        <v/>
      </c>
    </row>
    <row r="1241">
      <c r="A1241" s="7" t="n"/>
      <c r="B1241" s="4" t="n"/>
      <c r="C1241" s="4" t="n"/>
      <c r="D1241" s="4" t="n"/>
      <c r="E1241" s="4" t="n"/>
      <c r="F1241" s="6">
        <f>IF(B1241="","",IFERROR(INDEX(Products!$E:$E,MATCH(B1241,Products!$A:$A,0)),0))</f>
        <v/>
      </c>
      <c r="G1241" s="6">
        <f>IF(B1241="","",N(C1241)*N(F1241))</f>
        <v/>
      </c>
      <c r="H1241">
        <f>IF(B1241="","",IFERROR(INDEX(Products!$B:$B,MATCH(B1241,Products!$A:$A,0)),"SKU not found"))</f>
        <v/>
      </c>
    </row>
    <row r="1242">
      <c r="A1242" s="7" t="n"/>
      <c r="B1242" s="4" t="n"/>
      <c r="C1242" s="4" t="n"/>
      <c r="D1242" s="4" t="n"/>
      <c r="E1242" s="4" t="n"/>
      <c r="F1242" s="6">
        <f>IF(B1242="","",IFERROR(INDEX(Products!$E:$E,MATCH(B1242,Products!$A:$A,0)),0))</f>
        <v/>
      </c>
      <c r="G1242" s="6">
        <f>IF(B1242="","",N(C1242)*N(F1242))</f>
        <v/>
      </c>
      <c r="H1242">
        <f>IF(B1242="","",IFERROR(INDEX(Products!$B:$B,MATCH(B1242,Products!$A:$A,0)),"SKU not found"))</f>
        <v/>
      </c>
    </row>
    <row r="1243">
      <c r="A1243" s="7" t="n"/>
      <c r="B1243" s="4" t="n"/>
      <c r="C1243" s="4" t="n"/>
      <c r="D1243" s="4" t="n"/>
      <c r="E1243" s="4" t="n"/>
      <c r="F1243" s="6">
        <f>IF(B1243="","",IFERROR(INDEX(Products!$E:$E,MATCH(B1243,Products!$A:$A,0)),0))</f>
        <v/>
      </c>
      <c r="G1243" s="6">
        <f>IF(B1243="","",N(C1243)*N(F1243))</f>
        <v/>
      </c>
      <c r="H1243">
        <f>IF(B1243="","",IFERROR(INDEX(Products!$B:$B,MATCH(B1243,Products!$A:$A,0)),"SKU not found"))</f>
        <v/>
      </c>
    </row>
    <row r="1244">
      <c r="A1244" s="7" t="n"/>
      <c r="B1244" s="4" t="n"/>
      <c r="C1244" s="4" t="n"/>
      <c r="D1244" s="4" t="n"/>
      <c r="E1244" s="4" t="n"/>
      <c r="F1244" s="6">
        <f>IF(B1244="","",IFERROR(INDEX(Products!$E:$E,MATCH(B1244,Products!$A:$A,0)),0))</f>
        <v/>
      </c>
      <c r="G1244" s="6">
        <f>IF(B1244="","",N(C1244)*N(F1244))</f>
        <v/>
      </c>
      <c r="H1244">
        <f>IF(B1244="","",IFERROR(INDEX(Products!$B:$B,MATCH(B1244,Products!$A:$A,0)),"SKU not found"))</f>
        <v/>
      </c>
    </row>
    <row r="1245">
      <c r="A1245" s="7" t="n"/>
      <c r="B1245" s="4" t="n"/>
      <c r="C1245" s="4" t="n"/>
      <c r="D1245" s="4" t="n"/>
      <c r="E1245" s="4" t="n"/>
      <c r="F1245" s="6">
        <f>IF(B1245="","",IFERROR(INDEX(Products!$E:$E,MATCH(B1245,Products!$A:$A,0)),0))</f>
        <v/>
      </c>
      <c r="G1245" s="6">
        <f>IF(B1245="","",N(C1245)*N(F1245))</f>
        <v/>
      </c>
      <c r="H1245">
        <f>IF(B1245="","",IFERROR(INDEX(Products!$B:$B,MATCH(B1245,Products!$A:$A,0)),"SKU not found"))</f>
        <v/>
      </c>
    </row>
    <row r="1246">
      <c r="A1246" s="7" t="n"/>
      <c r="B1246" s="4" t="n"/>
      <c r="C1246" s="4" t="n"/>
      <c r="D1246" s="4" t="n"/>
      <c r="E1246" s="4" t="n"/>
      <c r="F1246" s="6">
        <f>IF(B1246="","",IFERROR(INDEX(Products!$E:$E,MATCH(B1246,Products!$A:$A,0)),0))</f>
        <v/>
      </c>
      <c r="G1246" s="6">
        <f>IF(B1246="","",N(C1246)*N(F1246))</f>
        <v/>
      </c>
      <c r="H1246">
        <f>IF(B1246="","",IFERROR(INDEX(Products!$B:$B,MATCH(B1246,Products!$A:$A,0)),"SKU not found"))</f>
        <v/>
      </c>
    </row>
    <row r="1247">
      <c r="A1247" s="7" t="n"/>
      <c r="B1247" s="4" t="n"/>
      <c r="C1247" s="4" t="n"/>
      <c r="D1247" s="4" t="n"/>
      <c r="E1247" s="4" t="n"/>
      <c r="F1247" s="6">
        <f>IF(B1247="","",IFERROR(INDEX(Products!$E:$E,MATCH(B1247,Products!$A:$A,0)),0))</f>
        <v/>
      </c>
      <c r="G1247" s="6">
        <f>IF(B1247="","",N(C1247)*N(F1247))</f>
        <v/>
      </c>
      <c r="H1247">
        <f>IF(B1247="","",IFERROR(INDEX(Products!$B:$B,MATCH(B1247,Products!$A:$A,0)),"SKU not found"))</f>
        <v/>
      </c>
    </row>
    <row r="1248">
      <c r="A1248" s="7" t="n"/>
      <c r="B1248" s="4" t="n"/>
      <c r="C1248" s="4" t="n"/>
      <c r="D1248" s="4" t="n"/>
      <c r="E1248" s="4" t="n"/>
      <c r="F1248" s="6">
        <f>IF(B1248="","",IFERROR(INDEX(Products!$E:$E,MATCH(B1248,Products!$A:$A,0)),0))</f>
        <v/>
      </c>
      <c r="G1248" s="6">
        <f>IF(B1248="","",N(C1248)*N(F1248))</f>
        <v/>
      </c>
      <c r="H1248">
        <f>IF(B1248="","",IFERROR(INDEX(Products!$B:$B,MATCH(B1248,Products!$A:$A,0)),"SKU not found"))</f>
        <v/>
      </c>
    </row>
    <row r="1249">
      <c r="A1249" s="7" t="n"/>
      <c r="B1249" s="4" t="n"/>
      <c r="C1249" s="4" t="n"/>
      <c r="D1249" s="4" t="n"/>
      <c r="E1249" s="4" t="n"/>
      <c r="F1249" s="6">
        <f>IF(B1249="","",IFERROR(INDEX(Products!$E:$E,MATCH(B1249,Products!$A:$A,0)),0))</f>
        <v/>
      </c>
      <c r="G1249" s="6">
        <f>IF(B1249="","",N(C1249)*N(F1249))</f>
        <v/>
      </c>
      <c r="H1249">
        <f>IF(B1249="","",IFERROR(INDEX(Products!$B:$B,MATCH(B1249,Products!$A:$A,0)),"SKU not found"))</f>
        <v/>
      </c>
    </row>
    <row r="1250">
      <c r="A1250" s="7" t="n"/>
      <c r="B1250" s="4" t="n"/>
      <c r="C1250" s="4" t="n"/>
      <c r="D1250" s="4" t="n"/>
      <c r="E1250" s="4" t="n"/>
      <c r="F1250" s="6">
        <f>IF(B1250="","",IFERROR(INDEX(Products!$E:$E,MATCH(B1250,Products!$A:$A,0)),0))</f>
        <v/>
      </c>
      <c r="G1250" s="6">
        <f>IF(B1250="","",N(C1250)*N(F1250))</f>
        <v/>
      </c>
      <c r="H1250">
        <f>IF(B1250="","",IFERROR(INDEX(Products!$B:$B,MATCH(B1250,Products!$A:$A,0)),"SKU not found"))</f>
        <v/>
      </c>
    </row>
    <row r="1251">
      <c r="A1251" s="7" t="n"/>
      <c r="B1251" s="4" t="n"/>
      <c r="C1251" s="4" t="n"/>
      <c r="D1251" s="4" t="n"/>
      <c r="E1251" s="4" t="n"/>
      <c r="F1251" s="6">
        <f>IF(B1251="","",IFERROR(INDEX(Products!$E:$E,MATCH(B1251,Products!$A:$A,0)),0))</f>
        <v/>
      </c>
      <c r="G1251" s="6">
        <f>IF(B1251="","",N(C1251)*N(F1251))</f>
        <v/>
      </c>
      <c r="H1251">
        <f>IF(B1251="","",IFERROR(INDEX(Products!$B:$B,MATCH(B1251,Products!$A:$A,0)),"SKU not found"))</f>
        <v/>
      </c>
    </row>
    <row r="1252">
      <c r="A1252" s="7" t="n"/>
      <c r="B1252" s="4" t="n"/>
      <c r="C1252" s="4" t="n"/>
      <c r="D1252" s="4" t="n"/>
      <c r="E1252" s="4" t="n"/>
      <c r="F1252" s="6">
        <f>IF(B1252="","",IFERROR(INDEX(Products!$E:$E,MATCH(B1252,Products!$A:$A,0)),0))</f>
        <v/>
      </c>
      <c r="G1252" s="6">
        <f>IF(B1252="","",N(C1252)*N(F1252))</f>
        <v/>
      </c>
      <c r="H1252">
        <f>IF(B1252="","",IFERROR(INDEX(Products!$B:$B,MATCH(B1252,Products!$A:$A,0)),"SKU not found"))</f>
        <v/>
      </c>
    </row>
    <row r="1253">
      <c r="A1253" s="7" t="n"/>
      <c r="B1253" s="4" t="n"/>
      <c r="C1253" s="4" t="n"/>
      <c r="D1253" s="4" t="n"/>
      <c r="E1253" s="4" t="n"/>
      <c r="F1253" s="6">
        <f>IF(B1253="","",IFERROR(INDEX(Products!$E:$E,MATCH(B1253,Products!$A:$A,0)),0))</f>
        <v/>
      </c>
      <c r="G1253" s="6">
        <f>IF(B1253="","",N(C1253)*N(F1253))</f>
        <v/>
      </c>
      <c r="H1253">
        <f>IF(B1253="","",IFERROR(INDEX(Products!$B:$B,MATCH(B1253,Products!$A:$A,0)),"SKU not found"))</f>
        <v/>
      </c>
    </row>
    <row r="1254">
      <c r="A1254" s="7" t="n"/>
      <c r="B1254" s="4" t="n"/>
      <c r="C1254" s="4" t="n"/>
      <c r="D1254" s="4" t="n"/>
      <c r="E1254" s="4" t="n"/>
      <c r="F1254" s="6">
        <f>IF(B1254="","",IFERROR(INDEX(Products!$E:$E,MATCH(B1254,Products!$A:$A,0)),0))</f>
        <v/>
      </c>
      <c r="G1254" s="6">
        <f>IF(B1254="","",N(C1254)*N(F1254))</f>
        <v/>
      </c>
      <c r="H1254">
        <f>IF(B1254="","",IFERROR(INDEX(Products!$B:$B,MATCH(B1254,Products!$A:$A,0)),"SKU not found"))</f>
        <v/>
      </c>
    </row>
    <row r="1255">
      <c r="A1255" s="7" t="n"/>
      <c r="B1255" s="4" t="n"/>
      <c r="C1255" s="4" t="n"/>
      <c r="D1255" s="4" t="n"/>
      <c r="E1255" s="4" t="n"/>
      <c r="F1255" s="6">
        <f>IF(B1255="","",IFERROR(INDEX(Products!$E:$E,MATCH(B1255,Products!$A:$A,0)),0))</f>
        <v/>
      </c>
      <c r="G1255" s="6">
        <f>IF(B1255="","",N(C1255)*N(F1255))</f>
        <v/>
      </c>
      <c r="H1255">
        <f>IF(B1255="","",IFERROR(INDEX(Products!$B:$B,MATCH(B1255,Products!$A:$A,0)),"SKU not found"))</f>
        <v/>
      </c>
    </row>
    <row r="1256">
      <c r="A1256" s="7" t="n"/>
      <c r="B1256" s="4" t="n"/>
      <c r="C1256" s="4" t="n"/>
      <c r="D1256" s="4" t="n"/>
      <c r="E1256" s="4" t="n"/>
      <c r="F1256" s="6">
        <f>IF(B1256="","",IFERROR(INDEX(Products!$E:$E,MATCH(B1256,Products!$A:$A,0)),0))</f>
        <v/>
      </c>
      <c r="G1256" s="6">
        <f>IF(B1256="","",N(C1256)*N(F1256))</f>
        <v/>
      </c>
      <c r="H1256">
        <f>IF(B1256="","",IFERROR(INDEX(Products!$B:$B,MATCH(B1256,Products!$A:$A,0)),"SKU not found"))</f>
        <v/>
      </c>
    </row>
    <row r="1257">
      <c r="A1257" s="7" t="n"/>
      <c r="B1257" s="4" t="n"/>
      <c r="C1257" s="4" t="n"/>
      <c r="D1257" s="4" t="n"/>
      <c r="E1257" s="4" t="n"/>
      <c r="F1257" s="6">
        <f>IF(B1257="","",IFERROR(INDEX(Products!$E:$E,MATCH(B1257,Products!$A:$A,0)),0))</f>
        <v/>
      </c>
      <c r="G1257" s="6">
        <f>IF(B1257="","",N(C1257)*N(F1257))</f>
        <v/>
      </c>
      <c r="H1257">
        <f>IF(B1257="","",IFERROR(INDEX(Products!$B:$B,MATCH(B1257,Products!$A:$A,0)),"SKU not found"))</f>
        <v/>
      </c>
    </row>
    <row r="1258">
      <c r="A1258" s="7" t="n"/>
      <c r="B1258" s="4" t="n"/>
      <c r="C1258" s="4" t="n"/>
      <c r="D1258" s="4" t="n"/>
      <c r="E1258" s="4" t="n"/>
      <c r="F1258" s="6">
        <f>IF(B1258="","",IFERROR(INDEX(Products!$E:$E,MATCH(B1258,Products!$A:$A,0)),0))</f>
        <v/>
      </c>
      <c r="G1258" s="6">
        <f>IF(B1258="","",N(C1258)*N(F1258))</f>
        <v/>
      </c>
      <c r="H1258">
        <f>IF(B1258="","",IFERROR(INDEX(Products!$B:$B,MATCH(B1258,Products!$A:$A,0)),"SKU not found"))</f>
        <v/>
      </c>
    </row>
    <row r="1259">
      <c r="A1259" s="7" t="n"/>
      <c r="B1259" s="4" t="n"/>
      <c r="C1259" s="4" t="n"/>
      <c r="D1259" s="4" t="n"/>
      <c r="E1259" s="4" t="n"/>
      <c r="F1259" s="6">
        <f>IF(B1259="","",IFERROR(INDEX(Products!$E:$E,MATCH(B1259,Products!$A:$A,0)),0))</f>
        <v/>
      </c>
      <c r="G1259" s="6">
        <f>IF(B1259="","",N(C1259)*N(F1259))</f>
        <v/>
      </c>
      <c r="H1259">
        <f>IF(B1259="","",IFERROR(INDEX(Products!$B:$B,MATCH(B1259,Products!$A:$A,0)),"SKU not found"))</f>
        <v/>
      </c>
    </row>
    <row r="1260">
      <c r="A1260" s="7" t="n"/>
      <c r="B1260" s="4" t="n"/>
      <c r="C1260" s="4" t="n"/>
      <c r="D1260" s="4" t="n"/>
      <c r="E1260" s="4" t="n"/>
      <c r="F1260" s="6">
        <f>IF(B1260="","",IFERROR(INDEX(Products!$E:$E,MATCH(B1260,Products!$A:$A,0)),0))</f>
        <v/>
      </c>
      <c r="G1260" s="6">
        <f>IF(B1260="","",N(C1260)*N(F1260))</f>
        <v/>
      </c>
      <c r="H1260">
        <f>IF(B1260="","",IFERROR(INDEX(Products!$B:$B,MATCH(B1260,Products!$A:$A,0)),"SKU not found"))</f>
        <v/>
      </c>
    </row>
    <row r="1261">
      <c r="A1261" s="7" t="n"/>
      <c r="B1261" s="4" t="n"/>
      <c r="C1261" s="4" t="n"/>
      <c r="D1261" s="4" t="n"/>
      <c r="E1261" s="4" t="n"/>
      <c r="F1261" s="6">
        <f>IF(B1261="","",IFERROR(INDEX(Products!$E:$E,MATCH(B1261,Products!$A:$A,0)),0))</f>
        <v/>
      </c>
      <c r="G1261" s="6">
        <f>IF(B1261="","",N(C1261)*N(F1261))</f>
        <v/>
      </c>
      <c r="H1261">
        <f>IF(B1261="","",IFERROR(INDEX(Products!$B:$B,MATCH(B1261,Products!$A:$A,0)),"SKU not found"))</f>
        <v/>
      </c>
    </row>
    <row r="1262">
      <c r="A1262" s="7" t="n"/>
      <c r="B1262" s="4" t="n"/>
      <c r="C1262" s="4" t="n"/>
      <c r="D1262" s="4" t="n"/>
      <c r="E1262" s="4" t="n"/>
      <c r="F1262" s="6">
        <f>IF(B1262="","",IFERROR(INDEX(Products!$E:$E,MATCH(B1262,Products!$A:$A,0)),0))</f>
        <v/>
      </c>
      <c r="G1262" s="6">
        <f>IF(B1262="","",N(C1262)*N(F1262))</f>
        <v/>
      </c>
      <c r="H1262">
        <f>IF(B1262="","",IFERROR(INDEX(Products!$B:$B,MATCH(B1262,Products!$A:$A,0)),"SKU not found"))</f>
        <v/>
      </c>
    </row>
    <row r="1263">
      <c r="A1263" s="7" t="n"/>
      <c r="B1263" s="4" t="n"/>
      <c r="C1263" s="4" t="n"/>
      <c r="D1263" s="4" t="n"/>
      <c r="E1263" s="4" t="n"/>
      <c r="F1263" s="6">
        <f>IF(B1263="","",IFERROR(INDEX(Products!$E:$E,MATCH(B1263,Products!$A:$A,0)),0))</f>
        <v/>
      </c>
      <c r="G1263" s="6">
        <f>IF(B1263="","",N(C1263)*N(F1263))</f>
        <v/>
      </c>
      <c r="H1263">
        <f>IF(B1263="","",IFERROR(INDEX(Products!$B:$B,MATCH(B1263,Products!$A:$A,0)),"SKU not found"))</f>
        <v/>
      </c>
    </row>
    <row r="1264">
      <c r="A1264" s="7" t="n"/>
      <c r="B1264" s="4" t="n"/>
      <c r="C1264" s="4" t="n"/>
      <c r="D1264" s="4" t="n"/>
      <c r="E1264" s="4" t="n"/>
      <c r="F1264" s="6">
        <f>IF(B1264="","",IFERROR(INDEX(Products!$E:$E,MATCH(B1264,Products!$A:$A,0)),0))</f>
        <v/>
      </c>
      <c r="G1264" s="6">
        <f>IF(B1264="","",N(C1264)*N(F1264))</f>
        <v/>
      </c>
      <c r="H1264">
        <f>IF(B1264="","",IFERROR(INDEX(Products!$B:$B,MATCH(B1264,Products!$A:$A,0)),"SKU not found"))</f>
        <v/>
      </c>
    </row>
    <row r="1265">
      <c r="A1265" s="7" t="n"/>
      <c r="B1265" s="4" t="n"/>
      <c r="C1265" s="4" t="n"/>
      <c r="D1265" s="4" t="n"/>
      <c r="E1265" s="4" t="n"/>
      <c r="F1265" s="6">
        <f>IF(B1265="","",IFERROR(INDEX(Products!$E:$E,MATCH(B1265,Products!$A:$A,0)),0))</f>
        <v/>
      </c>
      <c r="G1265" s="6">
        <f>IF(B1265="","",N(C1265)*N(F1265))</f>
        <v/>
      </c>
      <c r="H1265">
        <f>IF(B1265="","",IFERROR(INDEX(Products!$B:$B,MATCH(B1265,Products!$A:$A,0)),"SKU not found"))</f>
        <v/>
      </c>
    </row>
    <row r="1266">
      <c r="A1266" s="7" t="n"/>
      <c r="B1266" s="4" t="n"/>
      <c r="C1266" s="4" t="n"/>
      <c r="D1266" s="4" t="n"/>
      <c r="E1266" s="4" t="n"/>
      <c r="F1266" s="6">
        <f>IF(B1266="","",IFERROR(INDEX(Products!$E:$E,MATCH(B1266,Products!$A:$A,0)),0))</f>
        <v/>
      </c>
      <c r="G1266" s="6">
        <f>IF(B1266="","",N(C1266)*N(F1266))</f>
        <v/>
      </c>
      <c r="H1266">
        <f>IF(B1266="","",IFERROR(INDEX(Products!$B:$B,MATCH(B1266,Products!$A:$A,0)),"SKU not found"))</f>
        <v/>
      </c>
    </row>
    <row r="1267">
      <c r="A1267" s="7" t="n"/>
      <c r="B1267" s="4" t="n"/>
      <c r="C1267" s="4" t="n"/>
      <c r="D1267" s="4" t="n"/>
      <c r="E1267" s="4" t="n"/>
      <c r="F1267" s="6">
        <f>IF(B1267="","",IFERROR(INDEX(Products!$E:$E,MATCH(B1267,Products!$A:$A,0)),0))</f>
        <v/>
      </c>
      <c r="G1267" s="6">
        <f>IF(B1267="","",N(C1267)*N(F1267))</f>
        <v/>
      </c>
      <c r="H1267">
        <f>IF(B1267="","",IFERROR(INDEX(Products!$B:$B,MATCH(B1267,Products!$A:$A,0)),"SKU not found"))</f>
        <v/>
      </c>
    </row>
    <row r="1268">
      <c r="A1268" s="7" t="n"/>
      <c r="B1268" s="4" t="n"/>
      <c r="C1268" s="4" t="n"/>
      <c r="D1268" s="4" t="n"/>
      <c r="E1268" s="4" t="n"/>
      <c r="F1268" s="6">
        <f>IF(B1268="","",IFERROR(INDEX(Products!$E:$E,MATCH(B1268,Products!$A:$A,0)),0))</f>
        <v/>
      </c>
      <c r="G1268" s="6">
        <f>IF(B1268="","",N(C1268)*N(F1268))</f>
        <v/>
      </c>
      <c r="H1268">
        <f>IF(B1268="","",IFERROR(INDEX(Products!$B:$B,MATCH(B1268,Products!$A:$A,0)),"SKU not found"))</f>
        <v/>
      </c>
    </row>
    <row r="1269">
      <c r="A1269" s="7" t="n"/>
      <c r="B1269" s="4" t="n"/>
      <c r="C1269" s="4" t="n"/>
      <c r="D1269" s="4" t="n"/>
      <c r="E1269" s="4" t="n"/>
      <c r="F1269" s="6">
        <f>IF(B1269="","",IFERROR(INDEX(Products!$E:$E,MATCH(B1269,Products!$A:$A,0)),0))</f>
        <v/>
      </c>
      <c r="G1269" s="6">
        <f>IF(B1269="","",N(C1269)*N(F1269))</f>
        <v/>
      </c>
      <c r="H1269">
        <f>IF(B1269="","",IFERROR(INDEX(Products!$B:$B,MATCH(B1269,Products!$A:$A,0)),"SKU not found"))</f>
        <v/>
      </c>
    </row>
    <row r="1270">
      <c r="A1270" s="7" t="n"/>
      <c r="B1270" s="4" t="n"/>
      <c r="C1270" s="4" t="n"/>
      <c r="D1270" s="4" t="n"/>
      <c r="E1270" s="4" t="n"/>
      <c r="F1270" s="6">
        <f>IF(B1270="","",IFERROR(INDEX(Products!$E:$E,MATCH(B1270,Products!$A:$A,0)),0))</f>
        <v/>
      </c>
      <c r="G1270" s="6">
        <f>IF(B1270="","",N(C1270)*N(F1270))</f>
        <v/>
      </c>
      <c r="H1270">
        <f>IF(B1270="","",IFERROR(INDEX(Products!$B:$B,MATCH(B1270,Products!$A:$A,0)),"SKU not found"))</f>
        <v/>
      </c>
    </row>
    <row r="1271">
      <c r="A1271" s="7" t="n"/>
      <c r="B1271" s="4" t="n"/>
      <c r="C1271" s="4" t="n"/>
      <c r="D1271" s="4" t="n"/>
      <c r="E1271" s="4" t="n"/>
      <c r="F1271" s="6">
        <f>IF(B1271="","",IFERROR(INDEX(Products!$E:$E,MATCH(B1271,Products!$A:$A,0)),0))</f>
        <v/>
      </c>
      <c r="G1271" s="6">
        <f>IF(B1271="","",N(C1271)*N(F1271))</f>
        <v/>
      </c>
      <c r="H1271">
        <f>IF(B1271="","",IFERROR(INDEX(Products!$B:$B,MATCH(B1271,Products!$A:$A,0)),"SKU not found"))</f>
        <v/>
      </c>
    </row>
    <row r="1272">
      <c r="A1272" s="7" t="n"/>
      <c r="B1272" s="4" t="n"/>
      <c r="C1272" s="4" t="n"/>
      <c r="D1272" s="4" t="n"/>
      <c r="E1272" s="4" t="n"/>
      <c r="F1272" s="6">
        <f>IF(B1272="","",IFERROR(INDEX(Products!$E:$E,MATCH(B1272,Products!$A:$A,0)),0))</f>
        <v/>
      </c>
      <c r="G1272" s="6">
        <f>IF(B1272="","",N(C1272)*N(F1272))</f>
        <v/>
      </c>
      <c r="H1272">
        <f>IF(B1272="","",IFERROR(INDEX(Products!$B:$B,MATCH(B1272,Products!$A:$A,0)),"SKU not found"))</f>
        <v/>
      </c>
    </row>
    <row r="1273">
      <c r="A1273" s="7" t="n"/>
      <c r="B1273" s="4" t="n"/>
      <c r="C1273" s="4" t="n"/>
      <c r="D1273" s="4" t="n"/>
      <c r="E1273" s="4" t="n"/>
      <c r="F1273" s="6">
        <f>IF(B1273="","",IFERROR(INDEX(Products!$E:$E,MATCH(B1273,Products!$A:$A,0)),0))</f>
        <v/>
      </c>
      <c r="G1273" s="6">
        <f>IF(B1273="","",N(C1273)*N(F1273))</f>
        <v/>
      </c>
      <c r="H1273">
        <f>IF(B1273="","",IFERROR(INDEX(Products!$B:$B,MATCH(B1273,Products!$A:$A,0)),"SKU not found"))</f>
        <v/>
      </c>
    </row>
    <row r="1274">
      <c r="A1274" s="7" t="n"/>
      <c r="B1274" s="4" t="n"/>
      <c r="C1274" s="4" t="n"/>
      <c r="D1274" s="4" t="n"/>
      <c r="E1274" s="4" t="n"/>
      <c r="F1274" s="6">
        <f>IF(B1274="","",IFERROR(INDEX(Products!$E:$E,MATCH(B1274,Products!$A:$A,0)),0))</f>
        <v/>
      </c>
      <c r="G1274" s="6">
        <f>IF(B1274="","",N(C1274)*N(F1274))</f>
        <v/>
      </c>
      <c r="H1274">
        <f>IF(B1274="","",IFERROR(INDEX(Products!$B:$B,MATCH(B1274,Products!$A:$A,0)),"SKU not found"))</f>
        <v/>
      </c>
    </row>
    <row r="1275">
      <c r="A1275" s="7" t="n"/>
      <c r="B1275" s="4" t="n"/>
      <c r="C1275" s="4" t="n"/>
      <c r="D1275" s="4" t="n"/>
      <c r="E1275" s="4" t="n"/>
      <c r="F1275" s="6">
        <f>IF(B1275="","",IFERROR(INDEX(Products!$E:$E,MATCH(B1275,Products!$A:$A,0)),0))</f>
        <v/>
      </c>
      <c r="G1275" s="6">
        <f>IF(B1275="","",N(C1275)*N(F1275))</f>
        <v/>
      </c>
      <c r="H1275">
        <f>IF(B1275="","",IFERROR(INDEX(Products!$B:$B,MATCH(B1275,Products!$A:$A,0)),"SKU not found"))</f>
        <v/>
      </c>
    </row>
    <row r="1276">
      <c r="A1276" s="7" t="n"/>
      <c r="B1276" s="4" t="n"/>
      <c r="C1276" s="4" t="n"/>
      <c r="D1276" s="4" t="n"/>
      <c r="E1276" s="4" t="n"/>
      <c r="F1276" s="6">
        <f>IF(B1276="","",IFERROR(INDEX(Products!$E:$E,MATCH(B1276,Products!$A:$A,0)),0))</f>
        <v/>
      </c>
      <c r="G1276" s="6">
        <f>IF(B1276="","",N(C1276)*N(F1276))</f>
        <v/>
      </c>
      <c r="H1276">
        <f>IF(B1276="","",IFERROR(INDEX(Products!$B:$B,MATCH(B1276,Products!$A:$A,0)),"SKU not found"))</f>
        <v/>
      </c>
    </row>
    <row r="1277">
      <c r="A1277" s="7" t="n"/>
      <c r="B1277" s="4" t="n"/>
      <c r="C1277" s="4" t="n"/>
      <c r="D1277" s="4" t="n"/>
      <c r="E1277" s="4" t="n"/>
      <c r="F1277" s="6">
        <f>IF(B1277="","",IFERROR(INDEX(Products!$E:$E,MATCH(B1277,Products!$A:$A,0)),0))</f>
        <v/>
      </c>
      <c r="G1277" s="6">
        <f>IF(B1277="","",N(C1277)*N(F1277))</f>
        <v/>
      </c>
      <c r="H1277">
        <f>IF(B1277="","",IFERROR(INDEX(Products!$B:$B,MATCH(B1277,Products!$A:$A,0)),"SKU not found"))</f>
        <v/>
      </c>
    </row>
    <row r="1278">
      <c r="A1278" s="7" t="n"/>
      <c r="B1278" s="4" t="n"/>
      <c r="C1278" s="4" t="n"/>
      <c r="D1278" s="4" t="n"/>
      <c r="E1278" s="4" t="n"/>
      <c r="F1278" s="6">
        <f>IF(B1278="","",IFERROR(INDEX(Products!$E:$E,MATCH(B1278,Products!$A:$A,0)),0))</f>
        <v/>
      </c>
      <c r="G1278" s="6">
        <f>IF(B1278="","",N(C1278)*N(F1278))</f>
        <v/>
      </c>
      <c r="H1278">
        <f>IF(B1278="","",IFERROR(INDEX(Products!$B:$B,MATCH(B1278,Products!$A:$A,0)),"SKU not found"))</f>
        <v/>
      </c>
    </row>
    <row r="1279">
      <c r="A1279" s="7" t="n"/>
      <c r="B1279" s="4" t="n"/>
      <c r="C1279" s="4" t="n"/>
      <c r="D1279" s="4" t="n"/>
      <c r="E1279" s="4" t="n"/>
      <c r="F1279" s="6">
        <f>IF(B1279="","",IFERROR(INDEX(Products!$E:$E,MATCH(B1279,Products!$A:$A,0)),0))</f>
        <v/>
      </c>
      <c r="G1279" s="6">
        <f>IF(B1279="","",N(C1279)*N(F1279))</f>
        <v/>
      </c>
      <c r="H1279">
        <f>IF(B1279="","",IFERROR(INDEX(Products!$B:$B,MATCH(B1279,Products!$A:$A,0)),"SKU not found"))</f>
        <v/>
      </c>
    </row>
    <row r="1280">
      <c r="A1280" s="7" t="n"/>
      <c r="B1280" s="4" t="n"/>
      <c r="C1280" s="4" t="n"/>
      <c r="D1280" s="4" t="n"/>
      <c r="E1280" s="4" t="n"/>
      <c r="F1280" s="6">
        <f>IF(B1280="","",IFERROR(INDEX(Products!$E:$E,MATCH(B1280,Products!$A:$A,0)),0))</f>
        <v/>
      </c>
      <c r="G1280" s="6">
        <f>IF(B1280="","",N(C1280)*N(F1280))</f>
        <v/>
      </c>
      <c r="H1280">
        <f>IF(B1280="","",IFERROR(INDEX(Products!$B:$B,MATCH(B1280,Products!$A:$A,0)),"SKU not found"))</f>
        <v/>
      </c>
    </row>
    <row r="1281">
      <c r="A1281" s="7" t="n"/>
      <c r="B1281" s="4" t="n"/>
      <c r="C1281" s="4" t="n"/>
      <c r="D1281" s="4" t="n"/>
      <c r="E1281" s="4" t="n"/>
      <c r="F1281" s="6">
        <f>IF(B1281="","",IFERROR(INDEX(Products!$E:$E,MATCH(B1281,Products!$A:$A,0)),0))</f>
        <v/>
      </c>
      <c r="G1281" s="6">
        <f>IF(B1281="","",N(C1281)*N(F1281))</f>
        <v/>
      </c>
      <c r="H1281">
        <f>IF(B1281="","",IFERROR(INDEX(Products!$B:$B,MATCH(B1281,Products!$A:$A,0)),"SKU not found"))</f>
        <v/>
      </c>
    </row>
    <row r="1282">
      <c r="A1282" s="7" t="n"/>
      <c r="B1282" s="4" t="n"/>
      <c r="C1282" s="4" t="n"/>
      <c r="D1282" s="4" t="n"/>
      <c r="E1282" s="4" t="n"/>
      <c r="F1282" s="6">
        <f>IF(B1282="","",IFERROR(INDEX(Products!$E:$E,MATCH(B1282,Products!$A:$A,0)),0))</f>
        <v/>
      </c>
      <c r="G1282" s="6">
        <f>IF(B1282="","",N(C1282)*N(F1282))</f>
        <v/>
      </c>
      <c r="H1282">
        <f>IF(B1282="","",IFERROR(INDEX(Products!$B:$B,MATCH(B1282,Products!$A:$A,0)),"SKU not found"))</f>
        <v/>
      </c>
    </row>
    <row r="1283">
      <c r="A1283" s="7" t="n"/>
      <c r="B1283" s="4" t="n"/>
      <c r="C1283" s="4" t="n"/>
      <c r="D1283" s="4" t="n"/>
      <c r="E1283" s="4" t="n"/>
      <c r="F1283" s="6">
        <f>IF(B1283="","",IFERROR(INDEX(Products!$E:$E,MATCH(B1283,Products!$A:$A,0)),0))</f>
        <v/>
      </c>
      <c r="G1283" s="6">
        <f>IF(B1283="","",N(C1283)*N(F1283))</f>
        <v/>
      </c>
      <c r="H1283">
        <f>IF(B1283="","",IFERROR(INDEX(Products!$B:$B,MATCH(B1283,Products!$A:$A,0)),"SKU not found"))</f>
        <v/>
      </c>
    </row>
    <row r="1284">
      <c r="A1284" s="7" t="n"/>
      <c r="B1284" s="4" t="n"/>
      <c r="C1284" s="4" t="n"/>
      <c r="D1284" s="4" t="n"/>
      <c r="E1284" s="4" t="n"/>
      <c r="F1284" s="6">
        <f>IF(B1284="","",IFERROR(INDEX(Products!$E:$E,MATCH(B1284,Products!$A:$A,0)),0))</f>
        <v/>
      </c>
      <c r="G1284" s="6">
        <f>IF(B1284="","",N(C1284)*N(F1284))</f>
        <v/>
      </c>
      <c r="H1284">
        <f>IF(B1284="","",IFERROR(INDEX(Products!$B:$B,MATCH(B1284,Products!$A:$A,0)),"SKU not found"))</f>
        <v/>
      </c>
    </row>
    <row r="1285">
      <c r="A1285" s="7" t="n"/>
      <c r="B1285" s="4" t="n"/>
      <c r="C1285" s="4" t="n"/>
      <c r="D1285" s="4" t="n"/>
      <c r="E1285" s="4" t="n"/>
      <c r="F1285" s="6">
        <f>IF(B1285="","",IFERROR(INDEX(Products!$E:$E,MATCH(B1285,Products!$A:$A,0)),0))</f>
        <v/>
      </c>
      <c r="G1285" s="6">
        <f>IF(B1285="","",N(C1285)*N(F1285))</f>
        <v/>
      </c>
      <c r="H1285">
        <f>IF(B1285="","",IFERROR(INDEX(Products!$B:$B,MATCH(B1285,Products!$A:$A,0)),"SKU not found"))</f>
        <v/>
      </c>
    </row>
    <row r="1286">
      <c r="A1286" s="7" t="n"/>
      <c r="B1286" s="4" t="n"/>
      <c r="C1286" s="4" t="n"/>
      <c r="D1286" s="4" t="n"/>
      <c r="E1286" s="4" t="n"/>
      <c r="F1286" s="6">
        <f>IF(B1286="","",IFERROR(INDEX(Products!$E:$E,MATCH(B1286,Products!$A:$A,0)),0))</f>
        <v/>
      </c>
      <c r="G1286" s="6">
        <f>IF(B1286="","",N(C1286)*N(F1286))</f>
        <v/>
      </c>
      <c r="H1286">
        <f>IF(B1286="","",IFERROR(INDEX(Products!$B:$B,MATCH(B1286,Products!$A:$A,0)),"SKU not found"))</f>
        <v/>
      </c>
    </row>
    <row r="1287">
      <c r="A1287" s="7" t="n"/>
      <c r="B1287" s="4" t="n"/>
      <c r="C1287" s="4" t="n"/>
      <c r="D1287" s="4" t="n"/>
      <c r="E1287" s="4" t="n"/>
      <c r="F1287" s="6">
        <f>IF(B1287="","",IFERROR(INDEX(Products!$E:$E,MATCH(B1287,Products!$A:$A,0)),0))</f>
        <v/>
      </c>
      <c r="G1287" s="6">
        <f>IF(B1287="","",N(C1287)*N(F1287))</f>
        <v/>
      </c>
      <c r="H1287">
        <f>IF(B1287="","",IFERROR(INDEX(Products!$B:$B,MATCH(B1287,Products!$A:$A,0)),"SKU not found"))</f>
        <v/>
      </c>
    </row>
    <row r="1288">
      <c r="A1288" s="7" t="n"/>
      <c r="B1288" s="4" t="n"/>
      <c r="C1288" s="4" t="n"/>
      <c r="D1288" s="4" t="n"/>
      <c r="E1288" s="4" t="n"/>
      <c r="F1288" s="6">
        <f>IF(B1288="","",IFERROR(INDEX(Products!$E:$E,MATCH(B1288,Products!$A:$A,0)),0))</f>
        <v/>
      </c>
      <c r="G1288" s="6">
        <f>IF(B1288="","",N(C1288)*N(F1288))</f>
        <v/>
      </c>
      <c r="H1288">
        <f>IF(B1288="","",IFERROR(INDEX(Products!$B:$B,MATCH(B1288,Products!$A:$A,0)),"SKU not found"))</f>
        <v/>
      </c>
    </row>
    <row r="1289">
      <c r="A1289" s="7" t="n"/>
      <c r="B1289" s="4" t="n"/>
      <c r="C1289" s="4" t="n"/>
      <c r="D1289" s="4" t="n"/>
      <c r="E1289" s="4" t="n"/>
      <c r="F1289" s="6">
        <f>IF(B1289="","",IFERROR(INDEX(Products!$E:$E,MATCH(B1289,Products!$A:$A,0)),0))</f>
        <v/>
      </c>
      <c r="G1289" s="6">
        <f>IF(B1289="","",N(C1289)*N(F1289))</f>
        <v/>
      </c>
      <c r="H1289">
        <f>IF(B1289="","",IFERROR(INDEX(Products!$B:$B,MATCH(B1289,Products!$A:$A,0)),"SKU not found"))</f>
        <v/>
      </c>
    </row>
    <row r="1290">
      <c r="A1290" s="7" t="n"/>
      <c r="B1290" s="4" t="n"/>
      <c r="C1290" s="4" t="n"/>
      <c r="D1290" s="4" t="n"/>
      <c r="E1290" s="4" t="n"/>
      <c r="F1290" s="6">
        <f>IF(B1290="","",IFERROR(INDEX(Products!$E:$E,MATCH(B1290,Products!$A:$A,0)),0))</f>
        <v/>
      </c>
      <c r="G1290" s="6">
        <f>IF(B1290="","",N(C1290)*N(F1290))</f>
        <v/>
      </c>
      <c r="H1290">
        <f>IF(B1290="","",IFERROR(INDEX(Products!$B:$B,MATCH(B1290,Products!$A:$A,0)),"SKU not found"))</f>
        <v/>
      </c>
    </row>
    <row r="1291">
      <c r="A1291" s="7" t="n"/>
      <c r="B1291" s="4" t="n"/>
      <c r="C1291" s="4" t="n"/>
      <c r="D1291" s="4" t="n"/>
      <c r="E1291" s="4" t="n"/>
      <c r="F1291" s="6">
        <f>IF(B1291="","",IFERROR(INDEX(Products!$E:$E,MATCH(B1291,Products!$A:$A,0)),0))</f>
        <v/>
      </c>
      <c r="G1291" s="6">
        <f>IF(B1291="","",N(C1291)*N(F1291))</f>
        <v/>
      </c>
      <c r="H1291">
        <f>IF(B1291="","",IFERROR(INDEX(Products!$B:$B,MATCH(B1291,Products!$A:$A,0)),"SKU not found"))</f>
        <v/>
      </c>
    </row>
    <row r="1292">
      <c r="A1292" s="7" t="n"/>
      <c r="B1292" s="4" t="n"/>
      <c r="C1292" s="4" t="n"/>
      <c r="D1292" s="4" t="n"/>
      <c r="E1292" s="4" t="n"/>
      <c r="F1292" s="6">
        <f>IF(B1292="","",IFERROR(INDEX(Products!$E:$E,MATCH(B1292,Products!$A:$A,0)),0))</f>
        <v/>
      </c>
      <c r="G1292" s="6">
        <f>IF(B1292="","",N(C1292)*N(F1292))</f>
        <v/>
      </c>
      <c r="H1292">
        <f>IF(B1292="","",IFERROR(INDEX(Products!$B:$B,MATCH(B1292,Products!$A:$A,0)),"SKU not found"))</f>
        <v/>
      </c>
    </row>
    <row r="1293">
      <c r="A1293" s="7" t="n"/>
      <c r="B1293" s="4" t="n"/>
      <c r="C1293" s="4" t="n"/>
      <c r="D1293" s="4" t="n"/>
      <c r="E1293" s="4" t="n"/>
      <c r="F1293" s="6">
        <f>IF(B1293="","",IFERROR(INDEX(Products!$E:$E,MATCH(B1293,Products!$A:$A,0)),0))</f>
        <v/>
      </c>
      <c r="G1293" s="6">
        <f>IF(B1293="","",N(C1293)*N(F1293))</f>
        <v/>
      </c>
      <c r="H1293">
        <f>IF(B1293="","",IFERROR(INDEX(Products!$B:$B,MATCH(B1293,Products!$A:$A,0)),"SKU not found"))</f>
        <v/>
      </c>
    </row>
    <row r="1294">
      <c r="A1294" s="7" t="n"/>
      <c r="B1294" s="4" t="n"/>
      <c r="C1294" s="4" t="n"/>
      <c r="D1294" s="4" t="n"/>
      <c r="E1294" s="4" t="n"/>
      <c r="F1294" s="6">
        <f>IF(B1294="","",IFERROR(INDEX(Products!$E:$E,MATCH(B1294,Products!$A:$A,0)),0))</f>
        <v/>
      </c>
      <c r="G1294" s="6">
        <f>IF(B1294="","",N(C1294)*N(F1294))</f>
        <v/>
      </c>
      <c r="H1294">
        <f>IF(B1294="","",IFERROR(INDEX(Products!$B:$B,MATCH(B1294,Products!$A:$A,0)),"SKU not found"))</f>
        <v/>
      </c>
    </row>
    <row r="1295">
      <c r="A1295" s="7" t="n"/>
      <c r="B1295" s="4" t="n"/>
      <c r="C1295" s="4" t="n"/>
      <c r="D1295" s="4" t="n"/>
      <c r="E1295" s="4" t="n"/>
      <c r="F1295" s="6">
        <f>IF(B1295="","",IFERROR(INDEX(Products!$E:$E,MATCH(B1295,Products!$A:$A,0)),0))</f>
        <v/>
      </c>
      <c r="G1295" s="6">
        <f>IF(B1295="","",N(C1295)*N(F1295))</f>
        <v/>
      </c>
      <c r="H1295">
        <f>IF(B1295="","",IFERROR(INDEX(Products!$B:$B,MATCH(B1295,Products!$A:$A,0)),"SKU not found"))</f>
        <v/>
      </c>
    </row>
    <row r="1296">
      <c r="A1296" s="7" t="n"/>
      <c r="B1296" s="4" t="n"/>
      <c r="C1296" s="4" t="n"/>
      <c r="D1296" s="4" t="n"/>
      <c r="E1296" s="4" t="n"/>
      <c r="F1296" s="6">
        <f>IF(B1296="","",IFERROR(INDEX(Products!$E:$E,MATCH(B1296,Products!$A:$A,0)),0))</f>
        <v/>
      </c>
      <c r="G1296" s="6">
        <f>IF(B1296="","",N(C1296)*N(F1296))</f>
        <v/>
      </c>
      <c r="H1296">
        <f>IF(B1296="","",IFERROR(INDEX(Products!$B:$B,MATCH(B1296,Products!$A:$A,0)),"SKU not found"))</f>
        <v/>
      </c>
    </row>
    <row r="1297">
      <c r="A1297" s="7" t="n"/>
      <c r="B1297" s="4" t="n"/>
      <c r="C1297" s="4" t="n"/>
      <c r="D1297" s="4" t="n"/>
      <c r="E1297" s="4" t="n"/>
      <c r="F1297" s="6">
        <f>IF(B1297="","",IFERROR(INDEX(Products!$E:$E,MATCH(B1297,Products!$A:$A,0)),0))</f>
        <v/>
      </c>
      <c r="G1297" s="6">
        <f>IF(B1297="","",N(C1297)*N(F1297))</f>
        <v/>
      </c>
      <c r="H1297">
        <f>IF(B1297="","",IFERROR(INDEX(Products!$B:$B,MATCH(B1297,Products!$A:$A,0)),"SKU not found"))</f>
        <v/>
      </c>
    </row>
    <row r="1298">
      <c r="A1298" s="7" t="n"/>
      <c r="B1298" s="4" t="n"/>
      <c r="C1298" s="4" t="n"/>
      <c r="D1298" s="4" t="n"/>
      <c r="E1298" s="4" t="n"/>
      <c r="F1298" s="6">
        <f>IF(B1298="","",IFERROR(INDEX(Products!$E:$E,MATCH(B1298,Products!$A:$A,0)),0))</f>
        <v/>
      </c>
      <c r="G1298" s="6">
        <f>IF(B1298="","",N(C1298)*N(F1298))</f>
        <v/>
      </c>
      <c r="H1298">
        <f>IF(B1298="","",IFERROR(INDEX(Products!$B:$B,MATCH(B1298,Products!$A:$A,0)),"SKU not found"))</f>
        <v/>
      </c>
    </row>
    <row r="1299">
      <c r="A1299" s="7" t="n"/>
      <c r="B1299" s="4" t="n"/>
      <c r="C1299" s="4" t="n"/>
      <c r="D1299" s="4" t="n"/>
      <c r="E1299" s="4" t="n"/>
      <c r="F1299" s="6">
        <f>IF(B1299="","",IFERROR(INDEX(Products!$E:$E,MATCH(B1299,Products!$A:$A,0)),0))</f>
        <v/>
      </c>
      <c r="G1299" s="6">
        <f>IF(B1299="","",N(C1299)*N(F1299))</f>
        <v/>
      </c>
      <c r="H1299">
        <f>IF(B1299="","",IFERROR(INDEX(Products!$B:$B,MATCH(B1299,Products!$A:$A,0)),"SKU not found"))</f>
        <v/>
      </c>
    </row>
    <row r="1300">
      <c r="A1300" s="7" t="n"/>
      <c r="B1300" s="4" t="n"/>
      <c r="C1300" s="4" t="n"/>
      <c r="D1300" s="4" t="n"/>
      <c r="E1300" s="4" t="n"/>
      <c r="F1300" s="6">
        <f>IF(B1300="","",IFERROR(INDEX(Products!$E:$E,MATCH(B1300,Products!$A:$A,0)),0))</f>
        <v/>
      </c>
      <c r="G1300" s="6">
        <f>IF(B1300="","",N(C1300)*N(F1300))</f>
        <v/>
      </c>
      <c r="H1300">
        <f>IF(B1300="","",IFERROR(INDEX(Products!$B:$B,MATCH(B1300,Products!$A:$A,0)),"SKU not found"))</f>
        <v/>
      </c>
    </row>
    <row r="1301">
      <c r="A1301" s="7" t="n"/>
      <c r="B1301" s="4" t="n"/>
      <c r="C1301" s="4" t="n"/>
      <c r="D1301" s="4" t="n"/>
      <c r="E1301" s="4" t="n"/>
      <c r="F1301" s="6">
        <f>IF(B1301="","",IFERROR(INDEX(Products!$E:$E,MATCH(B1301,Products!$A:$A,0)),0))</f>
        <v/>
      </c>
      <c r="G1301" s="6">
        <f>IF(B1301="","",N(C1301)*N(F1301))</f>
        <v/>
      </c>
      <c r="H1301">
        <f>IF(B1301="","",IFERROR(INDEX(Products!$B:$B,MATCH(B1301,Products!$A:$A,0)),"SKU not found"))</f>
        <v/>
      </c>
    </row>
    <row r="1302">
      <c r="A1302" s="7" t="n"/>
      <c r="B1302" s="4" t="n"/>
      <c r="C1302" s="4" t="n"/>
      <c r="D1302" s="4" t="n"/>
      <c r="E1302" s="4" t="n"/>
      <c r="F1302" s="6">
        <f>IF(B1302="","",IFERROR(INDEX(Products!$E:$E,MATCH(B1302,Products!$A:$A,0)),0))</f>
        <v/>
      </c>
      <c r="G1302" s="6">
        <f>IF(B1302="","",N(C1302)*N(F1302))</f>
        <v/>
      </c>
      <c r="H1302">
        <f>IF(B1302="","",IFERROR(INDEX(Products!$B:$B,MATCH(B1302,Products!$A:$A,0)),"SKU not found"))</f>
        <v/>
      </c>
    </row>
    <row r="1303">
      <c r="A1303" s="7" t="n"/>
      <c r="B1303" s="4" t="n"/>
      <c r="C1303" s="4" t="n"/>
      <c r="D1303" s="4" t="n"/>
      <c r="E1303" s="4" t="n"/>
      <c r="F1303" s="6">
        <f>IF(B1303="","",IFERROR(INDEX(Products!$E:$E,MATCH(B1303,Products!$A:$A,0)),0))</f>
        <v/>
      </c>
      <c r="G1303" s="6">
        <f>IF(B1303="","",N(C1303)*N(F1303))</f>
        <v/>
      </c>
      <c r="H1303">
        <f>IF(B1303="","",IFERROR(INDEX(Products!$B:$B,MATCH(B1303,Products!$A:$A,0)),"SKU not found"))</f>
        <v/>
      </c>
    </row>
    <row r="1304">
      <c r="A1304" s="7" t="n"/>
      <c r="B1304" s="4" t="n"/>
      <c r="C1304" s="4" t="n"/>
      <c r="D1304" s="4" t="n"/>
      <c r="E1304" s="4" t="n"/>
      <c r="F1304" s="6">
        <f>IF(B1304="","",IFERROR(INDEX(Products!$E:$E,MATCH(B1304,Products!$A:$A,0)),0))</f>
        <v/>
      </c>
      <c r="G1304" s="6">
        <f>IF(B1304="","",N(C1304)*N(F1304))</f>
        <v/>
      </c>
      <c r="H1304">
        <f>IF(B1304="","",IFERROR(INDEX(Products!$B:$B,MATCH(B1304,Products!$A:$A,0)),"SKU not found"))</f>
        <v/>
      </c>
    </row>
    <row r="1305">
      <c r="A1305" s="7" t="n"/>
      <c r="B1305" s="4" t="n"/>
      <c r="C1305" s="4" t="n"/>
      <c r="D1305" s="4" t="n"/>
      <c r="E1305" s="4" t="n"/>
      <c r="F1305" s="6">
        <f>IF(B1305="","",IFERROR(INDEX(Products!$E:$E,MATCH(B1305,Products!$A:$A,0)),0))</f>
        <v/>
      </c>
      <c r="G1305" s="6">
        <f>IF(B1305="","",N(C1305)*N(F1305))</f>
        <v/>
      </c>
      <c r="H1305">
        <f>IF(B1305="","",IFERROR(INDEX(Products!$B:$B,MATCH(B1305,Products!$A:$A,0)),"SKU not found"))</f>
        <v/>
      </c>
    </row>
    <row r="1306">
      <c r="A1306" s="7" t="n"/>
      <c r="B1306" s="4" t="n"/>
      <c r="C1306" s="4" t="n"/>
      <c r="D1306" s="4" t="n"/>
      <c r="E1306" s="4" t="n"/>
      <c r="F1306" s="6">
        <f>IF(B1306="","",IFERROR(INDEX(Products!$E:$E,MATCH(B1306,Products!$A:$A,0)),0))</f>
        <v/>
      </c>
      <c r="G1306" s="6">
        <f>IF(B1306="","",N(C1306)*N(F1306))</f>
        <v/>
      </c>
      <c r="H1306">
        <f>IF(B1306="","",IFERROR(INDEX(Products!$B:$B,MATCH(B1306,Products!$A:$A,0)),"SKU not found"))</f>
        <v/>
      </c>
    </row>
    <row r="1307">
      <c r="A1307" s="7" t="n"/>
      <c r="B1307" s="4" t="n"/>
      <c r="C1307" s="4" t="n"/>
      <c r="D1307" s="4" t="n"/>
      <c r="E1307" s="4" t="n"/>
      <c r="F1307" s="6">
        <f>IF(B1307="","",IFERROR(INDEX(Products!$E:$E,MATCH(B1307,Products!$A:$A,0)),0))</f>
        <v/>
      </c>
      <c r="G1307" s="6">
        <f>IF(B1307="","",N(C1307)*N(F1307))</f>
        <v/>
      </c>
      <c r="H1307">
        <f>IF(B1307="","",IFERROR(INDEX(Products!$B:$B,MATCH(B1307,Products!$A:$A,0)),"SKU not found"))</f>
        <v/>
      </c>
    </row>
    <row r="1308">
      <c r="A1308" s="7" t="n"/>
      <c r="B1308" s="4" t="n"/>
      <c r="C1308" s="4" t="n"/>
      <c r="D1308" s="4" t="n"/>
      <c r="E1308" s="4" t="n"/>
      <c r="F1308" s="6">
        <f>IF(B1308="","",IFERROR(INDEX(Products!$E:$E,MATCH(B1308,Products!$A:$A,0)),0))</f>
        <v/>
      </c>
      <c r="G1308" s="6">
        <f>IF(B1308="","",N(C1308)*N(F1308))</f>
        <v/>
      </c>
      <c r="H1308">
        <f>IF(B1308="","",IFERROR(INDEX(Products!$B:$B,MATCH(B1308,Products!$A:$A,0)),"SKU not found"))</f>
        <v/>
      </c>
    </row>
    <row r="1309">
      <c r="A1309" s="7" t="n"/>
      <c r="B1309" s="4" t="n"/>
      <c r="C1309" s="4" t="n"/>
      <c r="D1309" s="4" t="n"/>
      <c r="E1309" s="4" t="n"/>
      <c r="F1309" s="6">
        <f>IF(B1309="","",IFERROR(INDEX(Products!$E:$E,MATCH(B1309,Products!$A:$A,0)),0))</f>
        <v/>
      </c>
      <c r="G1309" s="6">
        <f>IF(B1309="","",N(C1309)*N(F1309))</f>
        <v/>
      </c>
      <c r="H1309">
        <f>IF(B1309="","",IFERROR(INDEX(Products!$B:$B,MATCH(B1309,Products!$A:$A,0)),"SKU not found"))</f>
        <v/>
      </c>
    </row>
    <row r="1310">
      <c r="A1310" s="7" t="n"/>
      <c r="B1310" s="4" t="n"/>
      <c r="C1310" s="4" t="n"/>
      <c r="D1310" s="4" t="n"/>
      <c r="E1310" s="4" t="n"/>
      <c r="F1310" s="6">
        <f>IF(B1310="","",IFERROR(INDEX(Products!$E:$E,MATCH(B1310,Products!$A:$A,0)),0))</f>
        <v/>
      </c>
      <c r="G1310" s="6">
        <f>IF(B1310="","",N(C1310)*N(F1310))</f>
        <v/>
      </c>
      <c r="H1310">
        <f>IF(B1310="","",IFERROR(INDEX(Products!$B:$B,MATCH(B1310,Products!$A:$A,0)),"SKU not found"))</f>
        <v/>
      </c>
    </row>
    <row r="1311">
      <c r="A1311" s="7" t="n"/>
      <c r="B1311" s="4" t="n"/>
      <c r="C1311" s="4" t="n"/>
      <c r="D1311" s="4" t="n"/>
      <c r="E1311" s="4" t="n"/>
      <c r="F1311" s="6">
        <f>IF(B1311="","",IFERROR(INDEX(Products!$E:$E,MATCH(B1311,Products!$A:$A,0)),0))</f>
        <v/>
      </c>
      <c r="G1311" s="6">
        <f>IF(B1311="","",N(C1311)*N(F1311))</f>
        <v/>
      </c>
      <c r="H1311">
        <f>IF(B1311="","",IFERROR(INDEX(Products!$B:$B,MATCH(B1311,Products!$A:$A,0)),"SKU not found"))</f>
        <v/>
      </c>
    </row>
    <row r="1312">
      <c r="A1312" s="7" t="n"/>
      <c r="B1312" s="4" t="n"/>
      <c r="C1312" s="4" t="n"/>
      <c r="D1312" s="4" t="n"/>
      <c r="E1312" s="4" t="n"/>
      <c r="F1312" s="6">
        <f>IF(B1312="","",IFERROR(INDEX(Products!$E:$E,MATCH(B1312,Products!$A:$A,0)),0))</f>
        <v/>
      </c>
      <c r="G1312" s="6">
        <f>IF(B1312="","",N(C1312)*N(F1312))</f>
        <v/>
      </c>
      <c r="H1312">
        <f>IF(B1312="","",IFERROR(INDEX(Products!$B:$B,MATCH(B1312,Products!$A:$A,0)),"SKU not found"))</f>
        <v/>
      </c>
    </row>
    <row r="1313">
      <c r="A1313" s="7" t="n"/>
      <c r="B1313" s="4" t="n"/>
      <c r="C1313" s="4" t="n"/>
      <c r="D1313" s="4" t="n"/>
      <c r="E1313" s="4" t="n"/>
      <c r="F1313" s="6">
        <f>IF(B1313="","",IFERROR(INDEX(Products!$E:$E,MATCH(B1313,Products!$A:$A,0)),0))</f>
        <v/>
      </c>
      <c r="G1313" s="6">
        <f>IF(B1313="","",N(C1313)*N(F1313))</f>
        <v/>
      </c>
      <c r="H1313">
        <f>IF(B1313="","",IFERROR(INDEX(Products!$B:$B,MATCH(B1313,Products!$A:$A,0)),"SKU not found"))</f>
        <v/>
      </c>
    </row>
    <row r="1314">
      <c r="A1314" s="7" t="n"/>
      <c r="B1314" s="4" t="n"/>
      <c r="C1314" s="4" t="n"/>
      <c r="D1314" s="4" t="n"/>
      <c r="E1314" s="4" t="n"/>
      <c r="F1314" s="6">
        <f>IF(B1314="","",IFERROR(INDEX(Products!$E:$E,MATCH(B1314,Products!$A:$A,0)),0))</f>
        <v/>
      </c>
      <c r="G1314" s="6">
        <f>IF(B1314="","",N(C1314)*N(F1314))</f>
        <v/>
      </c>
      <c r="H1314">
        <f>IF(B1314="","",IFERROR(INDEX(Products!$B:$B,MATCH(B1314,Products!$A:$A,0)),"SKU not found"))</f>
        <v/>
      </c>
    </row>
    <row r="1315">
      <c r="A1315" s="7" t="n"/>
      <c r="B1315" s="4" t="n"/>
      <c r="C1315" s="4" t="n"/>
      <c r="D1315" s="4" t="n"/>
      <c r="E1315" s="4" t="n"/>
      <c r="F1315" s="6">
        <f>IF(B1315="","",IFERROR(INDEX(Products!$E:$E,MATCH(B1315,Products!$A:$A,0)),0))</f>
        <v/>
      </c>
      <c r="G1315" s="6">
        <f>IF(B1315="","",N(C1315)*N(F1315))</f>
        <v/>
      </c>
      <c r="H1315">
        <f>IF(B1315="","",IFERROR(INDEX(Products!$B:$B,MATCH(B1315,Products!$A:$A,0)),"SKU not found"))</f>
        <v/>
      </c>
    </row>
    <row r="1316">
      <c r="A1316" s="7" t="n"/>
      <c r="B1316" s="4" t="n"/>
      <c r="C1316" s="4" t="n"/>
      <c r="D1316" s="4" t="n"/>
      <c r="E1316" s="4" t="n"/>
      <c r="F1316" s="6">
        <f>IF(B1316="","",IFERROR(INDEX(Products!$E:$E,MATCH(B1316,Products!$A:$A,0)),0))</f>
        <v/>
      </c>
      <c r="G1316" s="6">
        <f>IF(B1316="","",N(C1316)*N(F1316))</f>
        <v/>
      </c>
      <c r="H1316">
        <f>IF(B1316="","",IFERROR(INDEX(Products!$B:$B,MATCH(B1316,Products!$A:$A,0)),"SKU not found"))</f>
        <v/>
      </c>
    </row>
    <row r="1317">
      <c r="A1317" s="7" t="n"/>
      <c r="B1317" s="4" t="n"/>
      <c r="C1317" s="4" t="n"/>
      <c r="D1317" s="4" t="n"/>
      <c r="E1317" s="4" t="n"/>
      <c r="F1317" s="6">
        <f>IF(B1317="","",IFERROR(INDEX(Products!$E:$E,MATCH(B1317,Products!$A:$A,0)),0))</f>
        <v/>
      </c>
      <c r="G1317" s="6">
        <f>IF(B1317="","",N(C1317)*N(F1317))</f>
        <v/>
      </c>
      <c r="H1317">
        <f>IF(B1317="","",IFERROR(INDEX(Products!$B:$B,MATCH(B1317,Products!$A:$A,0)),"SKU not found"))</f>
        <v/>
      </c>
    </row>
    <row r="1318">
      <c r="A1318" s="7" t="n"/>
      <c r="B1318" s="4" t="n"/>
      <c r="C1318" s="4" t="n"/>
      <c r="D1318" s="4" t="n"/>
      <c r="E1318" s="4" t="n"/>
      <c r="F1318" s="6">
        <f>IF(B1318="","",IFERROR(INDEX(Products!$E:$E,MATCH(B1318,Products!$A:$A,0)),0))</f>
        <v/>
      </c>
      <c r="G1318" s="6">
        <f>IF(B1318="","",N(C1318)*N(F1318))</f>
        <v/>
      </c>
      <c r="H1318">
        <f>IF(B1318="","",IFERROR(INDEX(Products!$B:$B,MATCH(B1318,Products!$A:$A,0)),"SKU not found"))</f>
        <v/>
      </c>
    </row>
    <row r="1319">
      <c r="A1319" s="7" t="n"/>
      <c r="B1319" s="4" t="n"/>
      <c r="C1319" s="4" t="n"/>
      <c r="D1319" s="4" t="n"/>
      <c r="E1319" s="4" t="n"/>
      <c r="F1319" s="6">
        <f>IF(B1319="","",IFERROR(INDEX(Products!$E:$E,MATCH(B1319,Products!$A:$A,0)),0))</f>
        <v/>
      </c>
      <c r="G1319" s="6">
        <f>IF(B1319="","",N(C1319)*N(F1319))</f>
        <v/>
      </c>
      <c r="H1319">
        <f>IF(B1319="","",IFERROR(INDEX(Products!$B:$B,MATCH(B1319,Products!$A:$A,0)),"SKU not found"))</f>
        <v/>
      </c>
    </row>
    <row r="1320">
      <c r="A1320" s="7" t="n"/>
      <c r="B1320" s="4" t="n"/>
      <c r="C1320" s="4" t="n"/>
      <c r="D1320" s="4" t="n"/>
      <c r="E1320" s="4" t="n"/>
      <c r="F1320" s="6">
        <f>IF(B1320="","",IFERROR(INDEX(Products!$E:$E,MATCH(B1320,Products!$A:$A,0)),0))</f>
        <v/>
      </c>
      <c r="G1320" s="6">
        <f>IF(B1320="","",N(C1320)*N(F1320))</f>
        <v/>
      </c>
      <c r="H1320">
        <f>IF(B1320="","",IFERROR(INDEX(Products!$B:$B,MATCH(B1320,Products!$A:$A,0)),"SKU not found"))</f>
        <v/>
      </c>
    </row>
    <row r="1321">
      <c r="A1321" s="7" t="n"/>
      <c r="B1321" s="4" t="n"/>
      <c r="C1321" s="4" t="n"/>
      <c r="D1321" s="4" t="n"/>
      <c r="E1321" s="4" t="n"/>
      <c r="F1321" s="6">
        <f>IF(B1321="","",IFERROR(INDEX(Products!$E:$E,MATCH(B1321,Products!$A:$A,0)),0))</f>
        <v/>
      </c>
      <c r="G1321" s="6">
        <f>IF(B1321="","",N(C1321)*N(F1321))</f>
        <v/>
      </c>
      <c r="H1321">
        <f>IF(B1321="","",IFERROR(INDEX(Products!$B:$B,MATCH(B1321,Products!$A:$A,0)),"SKU not found"))</f>
        <v/>
      </c>
    </row>
    <row r="1322">
      <c r="A1322" s="7" t="n"/>
      <c r="B1322" s="4" t="n"/>
      <c r="C1322" s="4" t="n"/>
      <c r="D1322" s="4" t="n"/>
      <c r="E1322" s="4" t="n"/>
      <c r="F1322" s="6">
        <f>IF(B1322="","",IFERROR(INDEX(Products!$E:$E,MATCH(B1322,Products!$A:$A,0)),0))</f>
        <v/>
      </c>
      <c r="G1322" s="6">
        <f>IF(B1322="","",N(C1322)*N(F1322))</f>
        <v/>
      </c>
      <c r="H1322">
        <f>IF(B1322="","",IFERROR(INDEX(Products!$B:$B,MATCH(B1322,Products!$A:$A,0)),"SKU not found"))</f>
        <v/>
      </c>
    </row>
    <row r="1323">
      <c r="A1323" s="7" t="n"/>
      <c r="B1323" s="4" t="n"/>
      <c r="C1323" s="4" t="n"/>
      <c r="D1323" s="4" t="n"/>
      <c r="E1323" s="4" t="n"/>
      <c r="F1323" s="6">
        <f>IF(B1323="","",IFERROR(INDEX(Products!$E:$E,MATCH(B1323,Products!$A:$A,0)),0))</f>
        <v/>
      </c>
      <c r="G1323" s="6">
        <f>IF(B1323="","",N(C1323)*N(F1323))</f>
        <v/>
      </c>
      <c r="H1323">
        <f>IF(B1323="","",IFERROR(INDEX(Products!$B:$B,MATCH(B1323,Products!$A:$A,0)),"SKU not found"))</f>
        <v/>
      </c>
    </row>
    <row r="1324">
      <c r="A1324" s="7" t="n"/>
      <c r="B1324" s="4" t="n"/>
      <c r="C1324" s="4" t="n"/>
      <c r="D1324" s="4" t="n"/>
      <c r="E1324" s="4" t="n"/>
      <c r="F1324" s="6">
        <f>IF(B1324="","",IFERROR(INDEX(Products!$E:$E,MATCH(B1324,Products!$A:$A,0)),0))</f>
        <v/>
      </c>
      <c r="G1324" s="6">
        <f>IF(B1324="","",N(C1324)*N(F1324))</f>
        <v/>
      </c>
      <c r="H1324">
        <f>IF(B1324="","",IFERROR(INDEX(Products!$B:$B,MATCH(B1324,Products!$A:$A,0)),"SKU not found"))</f>
        <v/>
      </c>
    </row>
    <row r="1325">
      <c r="A1325" s="7" t="n"/>
      <c r="B1325" s="4" t="n"/>
      <c r="C1325" s="4" t="n"/>
      <c r="D1325" s="4" t="n"/>
      <c r="E1325" s="4" t="n"/>
      <c r="F1325" s="6">
        <f>IF(B1325="","",IFERROR(INDEX(Products!$E:$E,MATCH(B1325,Products!$A:$A,0)),0))</f>
        <v/>
      </c>
      <c r="G1325" s="6">
        <f>IF(B1325="","",N(C1325)*N(F1325))</f>
        <v/>
      </c>
      <c r="H1325">
        <f>IF(B1325="","",IFERROR(INDEX(Products!$B:$B,MATCH(B1325,Products!$A:$A,0)),"SKU not found"))</f>
        <v/>
      </c>
    </row>
    <row r="1326">
      <c r="A1326" s="7" t="n"/>
      <c r="B1326" s="4" t="n"/>
      <c r="C1326" s="4" t="n"/>
      <c r="D1326" s="4" t="n"/>
      <c r="E1326" s="4" t="n"/>
      <c r="F1326" s="6">
        <f>IF(B1326="","",IFERROR(INDEX(Products!$E:$E,MATCH(B1326,Products!$A:$A,0)),0))</f>
        <v/>
      </c>
      <c r="G1326" s="6">
        <f>IF(B1326="","",N(C1326)*N(F1326))</f>
        <v/>
      </c>
      <c r="H1326">
        <f>IF(B1326="","",IFERROR(INDEX(Products!$B:$B,MATCH(B1326,Products!$A:$A,0)),"SKU not found"))</f>
        <v/>
      </c>
    </row>
    <row r="1327">
      <c r="A1327" s="7" t="n"/>
      <c r="B1327" s="4" t="n"/>
      <c r="C1327" s="4" t="n"/>
      <c r="D1327" s="4" t="n"/>
      <c r="E1327" s="4" t="n"/>
      <c r="F1327" s="6">
        <f>IF(B1327="","",IFERROR(INDEX(Products!$E:$E,MATCH(B1327,Products!$A:$A,0)),0))</f>
        <v/>
      </c>
      <c r="G1327" s="6">
        <f>IF(B1327="","",N(C1327)*N(F1327))</f>
        <v/>
      </c>
      <c r="H1327">
        <f>IF(B1327="","",IFERROR(INDEX(Products!$B:$B,MATCH(B1327,Products!$A:$A,0)),"SKU not found"))</f>
        <v/>
      </c>
    </row>
    <row r="1328">
      <c r="A1328" s="7" t="n"/>
      <c r="B1328" s="4" t="n"/>
      <c r="C1328" s="4" t="n"/>
      <c r="D1328" s="4" t="n"/>
      <c r="E1328" s="4" t="n"/>
      <c r="F1328" s="6">
        <f>IF(B1328="","",IFERROR(INDEX(Products!$E:$E,MATCH(B1328,Products!$A:$A,0)),0))</f>
        <v/>
      </c>
      <c r="G1328" s="6">
        <f>IF(B1328="","",N(C1328)*N(F1328))</f>
        <v/>
      </c>
      <c r="H1328">
        <f>IF(B1328="","",IFERROR(INDEX(Products!$B:$B,MATCH(B1328,Products!$A:$A,0)),"SKU not found"))</f>
        <v/>
      </c>
    </row>
    <row r="1329">
      <c r="A1329" s="7" t="n"/>
      <c r="B1329" s="4" t="n"/>
      <c r="C1329" s="4" t="n"/>
      <c r="D1329" s="4" t="n"/>
      <c r="E1329" s="4" t="n"/>
      <c r="F1329" s="6">
        <f>IF(B1329="","",IFERROR(INDEX(Products!$E:$E,MATCH(B1329,Products!$A:$A,0)),0))</f>
        <v/>
      </c>
      <c r="G1329" s="6">
        <f>IF(B1329="","",N(C1329)*N(F1329))</f>
        <v/>
      </c>
      <c r="H1329">
        <f>IF(B1329="","",IFERROR(INDEX(Products!$B:$B,MATCH(B1329,Products!$A:$A,0)),"SKU not found"))</f>
        <v/>
      </c>
    </row>
    <row r="1330">
      <c r="A1330" s="7" t="n"/>
      <c r="B1330" s="4" t="n"/>
      <c r="C1330" s="4" t="n"/>
      <c r="D1330" s="4" t="n"/>
      <c r="E1330" s="4" t="n"/>
      <c r="F1330" s="6">
        <f>IF(B1330="","",IFERROR(INDEX(Products!$E:$E,MATCH(B1330,Products!$A:$A,0)),0))</f>
        <v/>
      </c>
      <c r="G1330" s="6">
        <f>IF(B1330="","",N(C1330)*N(F1330))</f>
        <v/>
      </c>
      <c r="H1330">
        <f>IF(B1330="","",IFERROR(INDEX(Products!$B:$B,MATCH(B1330,Products!$A:$A,0)),"SKU not found"))</f>
        <v/>
      </c>
    </row>
    <row r="1331">
      <c r="A1331" s="7" t="n"/>
      <c r="B1331" s="4" t="n"/>
      <c r="C1331" s="4" t="n"/>
      <c r="D1331" s="4" t="n"/>
      <c r="E1331" s="4" t="n"/>
      <c r="F1331" s="6">
        <f>IF(B1331="","",IFERROR(INDEX(Products!$E:$E,MATCH(B1331,Products!$A:$A,0)),0))</f>
        <v/>
      </c>
      <c r="G1331" s="6">
        <f>IF(B1331="","",N(C1331)*N(F1331))</f>
        <v/>
      </c>
      <c r="H1331">
        <f>IF(B1331="","",IFERROR(INDEX(Products!$B:$B,MATCH(B1331,Products!$A:$A,0)),"SKU not found"))</f>
        <v/>
      </c>
    </row>
    <row r="1332">
      <c r="A1332" s="7" t="n"/>
      <c r="B1332" s="4" t="n"/>
      <c r="C1332" s="4" t="n"/>
      <c r="D1332" s="4" t="n"/>
      <c r="E1332" s="4" t="n"/>
      <c r="F1332" s="6">
        <f>IF(B1332="","",IFERROR(INDEX(Products!$E:$E,MATCH(B1332,Products!$A:$A,0)),0))</f>
        <v/>
      </c>
      <c r="G1332" s="6">
        <f>IF(B1332="","",N(C1332)*N(F1332))</f>
        <v/>
      </c>
      <c r="H1332">
        <f>IF(B1332="","",IFERROR(INDEX(Products!$B:$B,MATCH(B1332,Products!$A:$A,0)),"SKU not found"))</f>
        <v/>
      </c>
    </row>
    <row r="1333">
      <c r="A1333" s="7" t="n"/>
      <c r="B1333" s="4" t="n"/>
      <c r="C1333" s="4" t="n"/>
      <c r="D1333" s="4" t="n"/>
      <c r="E1333" s="4" t="n"/>
      <c r="F1333" s="6">
        <f>IF(B1333="","",IFERROR(INDEX(Products!$E:$E,MATCH(B1333,Products!$A:$A,0)),0))</f>
        <v/>
      </c>
      <c r="G1333" s="6">
        <f>IF(B1333="","",N(C1333)*N(F1333))</f>
        <v/>
      </c>
      <c r="H1333">
        <f>IF(B1333="","",IFERROR(INDEX(Products!$B:$B,MATCH(B1333,Products!$A:$A,0)),"SKU not found"))</f>
        <v/>
      </c>
    </row>
    <row r="1334">
      <c r="A1334" s="7" t="n"/>
      <c r="B1334" s="4" t="n"/>
      <c r="C1334" s="4" t="n"/>
      <c r="D1334" s="4" t="n"/>
      <c r="E1334" s="4" t="n"/>
      <c r="F1334" s="6">
        <f>IF(B1334="","",IFERROR(INDEX(Products!$E:$E,MATCH(B1334,Products!$A:$A,0)),0))</f>
        <v/>
      </c>
      <c r="G1334" s="6">
        <f>IF(B1334="","",N(C1334)*N(F1334))</f>
        <v/>
      </c>
      <c r="H1334">
        <f>IF(B1334="","",IFERROR(INDEX(Products!$B:$B,MATCH(B1334,Products!$A:$A,0)),"SKU not found"))</f>
        <v/>
      </c>
    </row>
    <row r="1335">
      <c r="A1335" s="7" t="n"/>
      <c r="B1335" s="4" t="n"/>
      <c r="C1335" s="4" t="n"/>
      <c r="D1335" s="4" t="n"/>
      <c r="E1335" s="4" t="n"/>
      <c r="F1335" s="6">
        <f>IF(B1335="","",IFERROR(INDEX(Products!$E:$E,MATCH(B1335,Products!$A:$A,0)),0))</f>
        <v/>
      </c>
      <c r="G1335" s="6">
        <f>IF(B1335="","",N(C1335)*N(F1335))</f>
        <v/>
      </c>
      <c r="H1335">
        <f>IF(B1335="","",IFERROR(INDEX(Products!$B:$B,MATCH(B1335,Products!$A:$A,0)),"SKU not found"))</f>
        <v/>
      </c>
    </row>
    <row r="1336">
      <c r="A1336" s="7" t="n"/>
      <c r="B1336" s="4" t="n"/>
      <c r="C1336" s="4" t="n"/>
      <c r="D1336" s="4" t="n"/>
      <c r="E1336" s="4" t="n"/>
      <c r="F1336" s="6">
        <f>IF(B1336="","",IFERROR(INDEX(Products!$E:$E,MATCH(B1336,Products!$A:$A,0)),0))</f>
        <v/>
      </c>
      <c r="G1336" s="6">
        <f>IF(B1336="","",N(C1336)*N(F1336))</f>
        <v/>
      </c>
      <c r="H1336">
        <f>IF(B1336="","",IFERROR(INDEX(Products!$B:$B,MATCH(B1336,Products!$A:$A,0)),"SKU not found"))</f>
        <v/>
      </c>
    </row>
    <row r="1337">
      <c r="A1337" s="7" t="n"/>
      <c r="B1337" s="4" t="n"/>
      <c r="C1337" s="4" t="n"/>
      <c r="D1337" s="4" t="n"/>
      <c r="E1337" s="4" t="n"/>
      <c r="F1337" s="6">
        <f>IF(B1337="","",IFERROR(INDEX(Products!$E:$E,MATCH(B1337,Products!$A:$A,0)),0))</f>
        <v/>
      </c>
      <c r="G1337" s="6">
        <f>IF(B1337="","",N(C1337)*N(F1337))</f>
        <v/>
      </c>
      <c r="H1337">
        <f>IF(B1337="","",IFERROR(INDEX(Products!$B:$B,MATCH(B1337,Products!$A:$A,0)),"SKU not found"))</f>
        <v/>
      </c>
    </row>
    <row r="1338">
      <c r="A1338" s="7" t="n"/>
      <c r="B1338" s="4" t="n"/>
      <c r="C1338" s="4" t="n"/>
      <c r="D1338" s="4" t="n"/>
      <c r="E1338" s="4" t="n"/>
      <c r="F1338" s="6">
        <f>IF(B1338="","",IFERROR(INDEX(Products!$E:$E,MATCH(B1338,Products!$A:$A,0)),0))</f>
        <v/>
      </c>
      <c r="G1338" s="6">
        <f>IF(B1338="","",N(C1338)*N(F1338))</f>
        <v/>
      </c>
      <c r="H1338">
        <f>IF(B1338="","",IFERROR(INDEX(Products!$B:$B,MATCH(B1338,Products!$A:$A,0)),"SKU not found"))</f>
        <v/>
      </c>
    </row>
    <row r="1339">
      <c r="A1339" s="7" t="n"/>
      <c r="B1339" s="4" t="n"/>
      <c r="C1339" s="4" t="n"/>
      <c r="D1339" s="4" t="n"/>
      <c r="E1339" s="4" t="n"/>
      <c r="F1339" s="6">
        <f>IF(B1339="","",IFERROR(INDEX(Products!$E:$E,MATCH(B1339,Products!$A:$A,0)),0))</f>
        <v/>
      </c>
      <c r="G1339" s="6">
        <f>IF(B1339="","",N(C1339)*N(F1339))</f>
        <v/>
      </c>
      <c r="H1339">
        <f>IF(B1339="","",IFERROR(INDEX(Products!$B:$B,MATCH(B1339,Products!$A:$A,0)),"SKU not found"))</f>
        <v/>
      </c>
    </row>
    <row r="1340">
      <c r="A1340" s="7" t="n"/>
      <c r="B1340" s="4" t="n"/>
      <c r="C1340" s="4" t="n"/>
      <c r="D1340" s="4" t="n"/>
      <c r="E1340" s="4" t="n"/>
      <c r="F1340" s="6">
        <f>IF(B1340="","",IFERROR(INDEX(Products!$E:$E,MATCH(B1340,Products!$A:$A,0)),0))</f>
        <v/>
      </c>
      <c r="G1340" s="6">
        <f>IF(B1340="","",N(C1340)*N(F1340))</f>
        <v/>
      </c>
      <c r="H1340">
        <f>IF(B1340="","",IFERROR(INDEX(Products!$B:$B,MATCH(B1340,Products!$A:$A,0)),"SKU not found"))</f>
        <v/>
      </c>
    </row>
    <row r="1341">
      <c r="A1341" s="7" t="n"/>
      <c r="B1341" s="4" t="n"/>
      <c r="C1341" s="4" t="n"/>
      <c r="D1341" s="4" t="n"/>
      <c r="E1341" s="4" t="n"/>
      <c r="F1341" s="6">
        <f>IF(B1341="","",IFERROR(INDEX(Products!$E:$E,MATCH(B1341,Products!$A:$A,0)),0))</f>
        <v/>
      </c>
      <c r="G1341" s="6">
        <f>IF(B1341="","",N(C1341)*N(F1341))</f>
        <v/>
      </c>
      <c r="H1341">
        <f>IF(B1341="","",IFERROR(INDEX(Products!$B:$B,MATCH(B1341,Products!$A:$A,0)),"SKU not found"))</f>
        <v/>
      </c>
    </row>
    <row r="1342">
      <c r="A1342" s="7" t="n"/>
      <c r="B1342" s="4" t="n"/>
      <c r="C1342" s="4" t="n"/>
      <c r="D1342" s="4" t="n"/>
      <c r="E1342" s="4" t="n"/>
      <c r="F1342" s="6">
        <f>IF(B1342="","",IFERROR(INDEX(Products!$E:$E,MATCH(B1342,Products!$A:$A,0)),0))</f>
        <v/>
      </c>
      <c r="G1342" s="6">
        <f>IF(B1342="","",N(C1342)*N(F1342))</f>
        <v/>
      </c>
      <c r="H1342">
        <f>IF(B1342="","",IFERROR(INDEX(Products!$B:$B,MATCH(B1342,Products!$A:$A,0)),"SKU not found"))</f>
        <v/>
      </c>
    </row>
    <row r="1343">
      <c r="A1343" s="7" t="n"/>
      <c r="B1343" s="4" t="n"/>
      <c r="C1343" s="4" t="n"/>
      <c r="D1343" s="4" t="n"/>
      <c r="E1343" s="4" t="n"/>
      <c r="F1343" s="6">
        <f>IF(B1343="","",IFERROR(INDEX(Products!$E:$E,MATCH(B1343,Products!$A:$A,0)),0))</f>
        <v/>
      </c>
      <c r="G1343" s="6">
        <f>IF(B1343="","",N(C1343)*N(F1343))</f>
        <v/>
      </c>
      <c r="H1343">
        <f>IF(B1343="","",IFERROR(INDEX(Products!$B:$B,MATCH(B1343,Products!$A:$A,0)),"SKU not found"))</f>
        <v/>
      </c>
    </row>
    <row r="1344">
      <c r="A1344" s="7" t="n"/>
      <c r="B1344" s="4" t="n"/>
      <c r="C1344" s="4" t="n"/>
      <c r="D1344" s="4" t="n"/>
      <c r="E1344" s="4" t="n"/>
      <c r="F1344" s="6">
        <f>IF(B1344="","",IFERROR(INDEX(Products!$E:$E,MATCH(B1344,Products!$A:$A,0)),0))</f>
        <v/>
      </c>
      <c r="G1344" s="6">
        <f>IF(B1344="","",N(C1344)*N(F1344))</f>
        <v/>
      </c>
      <c r="H1344">
        <f>IF(B1344="","",IFERROR(INDEX(Products!$B:$B,MATCH(B1344,Products!$A:$A,0)),"SKU not found"))</f>
        <v/>
      </c>
    </row>
    <row r="1345">
      <c r="A1345" s="7" t="n"/>
      <c r="B1345" s="4" t="n"/>
      <c r="C1345" s="4" t="n"/>
      <c r="D1345" s="4" t="n"/>
      <c r="E1345" s="4" t="n"/>
      <c r="F1345" s="6">
        <f>IF(B1345="","",IFERROR(INDEX(Products!$E:$E,MATCH(B1345,Products!$A:$A,0)),0))</f>
        <v/>
      </c>
      <c r="G1345" s="6">
        <f>IF(B1345="","",N(C1345)*N(F1345))</f>
        <v/>
      </c>
      <c r="H1345">
        <f>IF(B1345="","",IFERROR(INDEX(Products!$B:$B,MATCH(B1345,Products!$A:$A,0)),"SKU not found"))</f>
        <v/>
      </c>
    </row>
    <row r="1346">
      <c r="A1346" s="7" t="n"/>
      <c r="B1346" s="4" t="n"/>
      <c r="C1346" s="4" t="n"/>
      <c r="D1346" s="4" t="n"/>
      <c r="E1346" s="4" t="n"/>
      <c r="F1346" s="6">
        <f>IF(B1346="","",IFERROR(INDEX(Products!$E:$E,MATCH(B1346,Products!$A:$A,0)),0))</f>
        <v/>
      </c>
      <c r="G1346" s="6">
        <f>IF(B1346="","",N(C1346)*N(F1346))</f>
        <v/>
      </c>
      <c r="H1346">
        <f>IF(B1346="","",IFERROR(INDEX(Products!$B:$B,MATCH(B1346,Products!$A:$A,0)),"SKU not found"))</f>
        <v/>
      </c>
    </row>
    <row r="1347">
      <c r="A1347" s="7" t="n"/>
      <c r="B1347" s="4" t="n"/>
      <c r="C1347" s="4" t="n"/>
      <c r="D1347" s="4" t="n"/>
      <c r="E1347" s="4" t="n"/>
      <c r="F1347" s="6">
        <f>IF(B1347="","",IFERROR(INDEX(Products!$E:$E,MATCH(B1347,Products!$A:$A,0)),0))</f>
        <v/>
      </c>
      <c r="G1347" s="6">
        <f>IF(B1347="","",N(C1347)*N(F1347))</f>
        <v/>
      </c>
      <c r="H1347">
        <f>IF(B1347="","",IFERROR(INDEX(Products!$B:$B,MATCH(B1347,Products!$A:$A,0)),"SKU not found"))</f>
        <v/>
      </c>
    </row>
    <row r="1348">
      <c r="A1348" s="7" t="n"/>
      <c r="B1348" s="4" t="n"/>
      <c r="C1348" s="4" t="n"/>
      <c r="D1348" s="4" t="n"/>
      <c r="E1348" s="4" t="n"/>
      <c r="F1348" s="6">
        <f>IF(B1348="","",IFERROR(INDEX(Products!$E:$E,MATCH(B1348,Products!$A:$A,0)),0))</f>
        <v/>
      </c>
      <c r="G1348" s="6">
        <f>IF(B1348="","",N(C1348)*N(F1348))</f>
        <v/>
      </c>
      <c r="H1348">
        <f>IF(B1348="","",IFERROR(INDEX(Products!$B:$B,MATCH(B1348,Products!$A:$A,0)),"SKU not found"))</f>
        <v/>
      </c>
    </row>
    <row r="1349">
      <c r="A1349" s="7" t="n"/>
      <c r="B1349" s="4" t="n"/>
      <c r="C1349" s="4" t="n"/>
      <c r="D1349" s="4" t="n"/>
      <c r="E1349" s="4" t="n"/>
      <c r="F1349" s="6">
        <f>IF(B1349="","",IFERROR(INDEX(Products!$E:$E,MATCH(B1349,Products!$A:$A,0)),0))</f>
        <v/>
      </c>
      <c r="G1349" s="6">
        <f>IF(B1349="","",N(C1349)*N(F1349))</f>
        <v/>
      </c>
      <c r="H1349">
        <f>IF(B1349="","",IFERROR(INDEX(Products!$B:$B,MATCH(B1349,Products!$A:$A,0)),"SKU not found"))</f>
        <v/>
      </c>
    </row>
    <row r="1350">
      <c r="A1350" s="7" t="n"/>
      <c r="B1350" s="4" t="n"/>
      <c r="C1350" s="4" t="n"/>
      <c r="D1350" s="4" t="n"/>
      <c r="E1350" s="4" t="n"/>
      <c r="F1350" s="6">
        <f>IF(B1350="","",IFERROR(INDEX(Products!$E:$E,MATCH(B1350,Products!$A:$A,0)),0))</f>
        <v/>
      </c>
      <c r="G1350" s="6">
        <f>IF(B1350="","",N(C1350)*N(F1350))</f>
        <v/>
      </c>
      <c r="H1350">
        <f>IF(B1350="","",IFERROR(INDEX(Products!$B:$B,MATCH(B1350,Products!$A:$A,0)),"SKU not found"))</f>
        <v/>
      </c>
    </row>
    <row r="1351">
      <c r="A1351" s="7" t="n"/>
      <c r="B1351" s="4" t="n"/>
      <c r="C1351" s="4" t="n"/>
      <c r="D1351" s="4" t="n"/>
      <c r="E1351" s="4" t="n"/>
      <c r="F1351" s="6">
        <f>IF(B1351="","",IFERROR(INDEX(Products!$E:$E,MATCH(B1351,Products!$A:$A,0)),0))</f>
        <v/>
      </c>
      <c r="G1351" s="6">
        <f>IF(B1351="","",N(C1351)*N(F1351))</f>
        <v/>
      </c>
      <c r="H1351">
        <f>IF(B1351="","",IFERROR(INDEX(Products!$B:$B,MATCH(B1351,Products!$A:$A,0)),"SKU not found"))</f>
        <v/>
      </c>
    </row>
    <row r="1352">
      <c r="A1352" s="7" t="n"/>
      <c r="B1352" s="4" t="n"/>
      <c r="C1352" s="4" t="n"/>
      <c r="D1352" s="4" t="n"/>
      <c r="E1352" s="4" t="n"/>
      <c r="F1352" s="6">
        <f>IF(B1352="","",IFERROR(INDEX(Products!$E:$E,MATCH(B1352,Products!$A:$A,0)),0))</f>
        <v/>
      </c>
      <c r="G1352" s="6">
        <f>IF(B1352="","",N(C1352)*N(F1352))</f>
        <v/>
      </c>
      <c r="H1352">
        <f>IF(B1352="","",IFERROR(INDEX(Products!$B:$B,MATCH(B1352,Products!$A:$A,0)),"SKU not found"))</f>
        <v/>
      </c>
    </row>
    <row r="1353">
      <c r="A1353" s="7" t="n"/>
      <c r="B1353" s="4" t="n"/>
      <c r="C1353" s="4" t="n"/>
      <c r="D1353" s="4" t="n"/>
      <c r="E1353" s="4" t="n"/>
      <c r="F1353" s="6">
        <f>IF(B1353="","",IFERROR(INDEX(Products!$E:$E,MATCH(B1353,Products!$A:$A,0)),0))</f>
        <v/>
      </c>
      <c r="G1353" s="6">
        <f>IF(B1353="","",N(C1353)*N(F1353))</f>
        <v/>
      </c>
      <c r="H1353">
        <f>IF(B1353="","",IFERROR(INDEX(Products!$B:$B,MATCH(B1353,Products!$A:$A,0)),"SKU not found"))</f>
        <v/>
      </c>
    </row>
    <row r="1354">
      <c r="A1354" s="7" t="n"/>
      <c r="B1354" s="4" t="n"/>
      <c r="C1354" s="4" t="n"/>
      <c r="D1354" s="4" t="n"/>
      <c r="E1354" s="4" t="n"/>
      <c r="F1354" s="6">
        <f>IF(B1354="","",IFERROR(INDEX(Products!$E:$E,MATCH(B1354,Products!$A:$A,0)),0))</f>
        <v/>
      </c>
      <c r="G1354" s="6">
        <f>IF(B1354="","",N(C1354)*N(F1354))</f>
        <v/>
      </c>
      <c r="H1354">
        <f>IF(B1354="","",IFERROR(INDEX(Products!$B:$B,MATCH(B1354,Products!$A:$A,0)),"SKU not found"))</f>
        <v/>
      </c>
    </row>
    <row r="1355">
      <c r="A1355" s="7" t="n"/>
      <c r="B1355" s="4" t="n"/>
      <c r="C1355" s="4" t="n"/>
      <c r="D1355" s="4" t="n"/>
      <c r="E1355" s="4" t="n"/>
      <c r="F1355" s="6">
        <f>IF(B1355="","",IFERROR(INDEX(Products!$E:$E,MATCH(B1355,Products!$A:$A,0)),0))</f>
        <v/>
      </c>
      <c r="G1355" s="6">
        <f>IF(B1355="","",N(C1355)*N(F1355))</f>
        <v/>
      </c>
      <c r="H1355">
        <f>IF(B1355="","",IFERROR(INDEX(Products!$B:$B,MATCH(B1355,Products!$A:$A,0)),"SKU not found"))</f>
        <v/>
      </c>
    </row>
    <row r="1356">
      <c r="A1356" s="7" t="n"/>
      <c r="B1356" s="4" t="n"/>
      <c r="C1356" s="4" t="n"/>
      <c r="D1356" s="4" t="n"/>
      <c r="E1356" s="4" t="n"/>
      <c r="F1356" s="6">
        <f>IF(B1356="","",IFERROR(INDEX(Products!$E:$E,MATCH(B1356,Products!$A:$A,0)),0))</f>
        <v/>
      </c>
      <c r="G1356" s="6">
        <f>IF(B1356="","",N(C1356)*N(F1356))</f>
        <v/>
      </c>
      <c r="H1356">
        <f>IF(B1356="","",IFERROR(INDEX(Products!$B:$B,MATCH(B1356,Products!$A:$A,0)),"SKU not found"))</f>
        <v/>
      </c>
    </row>
    <row r="1357">
      <c r="A1357" s="7" t="n"/>
      <c r="B1357" s="4" t="n"/>
      <c r="C1357" s="4" t="n"/>
      <c r="D1357" s="4" t="n"/>
      <c r="E1357" s="4" t="n"/>
      <c r="F1357" s="6">
        <f>IF(B1357="","",IFERROR(INDEX(Products!$E:$E,MATCH(B1357,Products!$A:$A,0)),0))</f>
        <v/>
      </c>
      <c r="G1357" s="6">
        <f>IF(B1357="","",N(C1357)*N(F1357))</f>
        <v/>
      </c>
      <c r="H1357">
        <f>IF(B1357="","",IFERROR(INDEX(Products!$B:$B,MATCH(B1357,Products!$A:$A,0)),"SKU not found"))</f>
        <v/>
      </c>
    </row>
    <row r="1358">
      <c r="A1358" s="7" t="n"/>
      <c r="B1358" s="4" t="n"/>
      <c r="C1358" s="4" t="n"/>
      <c r="D1358" s="4" t="n"/>
      <c r="E1358" s="4" t="n"/>
      <c r="F1358" s="6">
        <f>IF(B1358="","",IFERROR(INDEX(Products!$E:$E,MATCH(B1358,Products!$A:$A,0)),0))</f>
        <v/>
      </c>
      <c r="G1358" s="6">
        <f>IF(B1358="","",N(C1358)*N(F1358))</f>
        <v/>
      </c>
      <c r="H1358">
        <f>IF(B1358="","",IFERROR(INDEX(Products!$B:$B,MATCH(B1358,Products!$A:$A,0)),"SKU not found"))</f>
        <v/>
      </c>
    </row>
    <row r="1359">
      <c r="A1359" s="7" t="n"/>
      <c r="B1359" s="4" t="n"/>
      <c r="C1359" s="4" t="n"/>
      <c r="D1359" s="4" t="n"/>
      <c r="E1359" s="4" t="n"/>
      <c r="F1359" s="6">
        <f>IF(B1359="","",IFERROR(INDEX(Products!$E:$E,MATCH(B1359,Products!$A:$A,0)),0))</f>
        <v/>
      </c>
      <c r="G1359" s="6">
        <f>IF(B1359="","",N(C1359)*N(F1359))</f>
        <v/>
      </c>
      <c r="H1359">
        <f>IF(B1359="","",IFERROR(INDEX(Products!$B:$B,MATCH(B1359,Products!$A:$A,0)),"SKU not found"))</f>
        <v/>
      </c>
    </row>
    <row r="1360">
      <c r="A1360" s="7" t="n"/>
      <c r="B1360" s="4" t="n"/>
      <c r="C1360" s="4" t="n"/>
      <c r="D1360" s="4" t="n"/>
      <c r="E1360" s="4" t="n"/>
      <c r="F1360" s="6">
        <f>IF(B1360="","",IFERROR(INDEX(Products!$E:$E,MATCH(B1360,Products!$A:$A,0)),0))</f>
        <v/>
      </c>
      <c r="G1360" s="6">
        <f>IF(B1360="","",N(C1360)*N(F1360))</f>
        <v/>
      </c>
      <c r="H1360">
        <f>IF(B1360="","",IFERROR(INDEX(Products!$B:$B,MATCH(B1360,Products!$A:$A,0)),"SKU not found"))</f>
        <v/>
      </c>
    </row>
    <row r="1361">
      <c r="A1361" s="7" t="n"/>
      <c r="B1361" s="4" t="n"/>
      <c r="C1361" s="4" t="n"/>
      <c r="D1361" s="4" t="n"/>
      <c r="E1361" s="4" t="n"/>
      <c r="F1361" s="6">
        <f>IF(B1361="","",IFERROR(INDEX(Products!$E:$E,MATCH(B1361,Products!$A:$A,0)),0))</f>
        <v/>
      </c>
      <c r="G1361" s="6">
        <f>IF(B1361="","",N(C1361)*N(F1361))</f>
        <v/>
      </c>
      <c r="H1361">
        <f>IF(B1361="","",IFERROR(INDEX(Products!$B:$B,MATCH(B1361,Products!$A:$A,0)),"SKU not found"))</f>
        <v/>
      </c>
    </row>
    <row r="1362">
      <c r="A1362" s="7" t="n"/>
      <c r="B1362" s="4" t="n"/>
      <c r="C1362" s="4" t="n"/>
      <c r="D1362" s="4" t="n"/>
      <c r="E1362" s="4" t="n"/>
      <c r="F1362" s="6">
        <f>IF(B1362="","",IFERROR(INDEX(Products!$E:$E,MATCH(B1362,Products!$A:$A,0)),0))</f>
        <v/>
      </c>
      <c r="G1362" s="6">
        <f>IF(B1362="","",N(C1362)*N(F1362))</f>
        <v/>
      </c>
      <c r="H1362">
        <f>IF(B1362="","",IFERROR(INDEX(Products!$B:$B,MATCH(B1362,Products!$A:$A,0)),"SKU not found"))</f>
        <v/>
      </c>
    </row>
    <row r="1363">
      <c r="A1363" s="7" t="n"/>
      <c r="B1363" s="4" t="n"/>
      <c r="C1363" s="4" t="n"/>
      <c r="D1363" s="4" t="n"/>
      <c r="E1363" s="4" t="n"/>
      <c r="F1363" s="6">
        <f>IF(B1363="","",IFERROR(INDEX(Products!$E:$E,MATCH(B1363,Products!$A:$A,0)),0))</f>
        <v/>
      </c>
      <c r="G1363" s="6">
        <f>IF(B1363="","",N(C1363)*N(F1363))</f>
        <v/>
      </c>
      <c r="H1363">
        <f>IF(B1363="","",IFERROR(INDEX(Products!$B:$B,MATCH(B1363,Products!$A:$A,0)),"SKU not found"))</f>
        <v/>
      </c>
    </row>
    <row r="1364">
      <c r="A1364" s="7" t="n"/>
      <c r="B1364" s="4" t="n"/>
      <c r="C1364" s="4" t="n"/>
      <c r="D1364" s="4" t="n"/>
      <c r="E1364" s="4" t="n"/>
      <c r="F1364" s="6">
        <f>IF(B1364="","",IFERROR(INDEX(Products!$E:$E,MATCH(B1364,Products!$A:$A,0)),0))</f>
        <v/>
      </c>
      <c r="G1364" s="6">
        <f>IF(B1364="","",N(C1364)*N(F1364))</f>
        <v/>
      </c>
      <c r="H1364">
        <f>IF(B1364="","",IFERROR(INDEX(Products!$B:$B,MATCH(B1364,Products!$A:$A,0)),"SKU not found"))</f>
        <v/>
      </c>
    </row>
    <row r="1365">
      <c r="A1365" s="7" t="n"/>
      <c r="B1365" s="4" t="n"/>
      <c r="C1365" s="4" t="n"/>
      <c r="D1365" s="4" t="n"/>
      <c r="E1365" s="4" t="n"/>
      <c r="F1365" s="6">
        <f>IF(B1365="","",IFERROR(INDEX(Products!$E:$E,MATCH(B1365,Products!$A:$A,0)),0))</f>
        <v/>
      </c>
      <c r="G1365" s="6">
        <f>IF(B1365="","",N(C1365)*N(F1365))</f>
        <v/>
      </c>
      <c r="H1365">
        <f>IF(B1365="","",IFERROR(INDEX(Products!$B:$B,MATCH(B1365,Products!$A:$A,0)),"SKU not found"))</f>
        <v/>
      </c>
    </row>
    <row r="1366">
      <c r="A1366" s="7" t="n"/>
      <c r="B1366" s="4" t="n"/>
      <c r="C1366" s="4" t="n"/>
      <c r="D1366" s="4" t="n"/>
      <c r="E1366" s="4" t="n"/>
      <c r="F1366" s="6">
        <f>IF(B1366="","",IFERROR(INDEX(Products!$E:$E,MATCH(B1366,Products!$A:$A,0)),0))</f>
        <v/>
      </c>
      <c r="G1366" s="6">
        <f>IF(B1366="","",N(C1366)*N(F1366))</f>
        <v/>
      </c>
      <c r="H1366">
        <f>IF(B1366="","",IFERROR(INDEX(Products!$B:$B,MATCH(B1366,Products!$A:$A,0)),"SKU not found"))</f>
        <v/>
      </c>
    </row>
    <row r="1367">
      <c r="A1367" s="7" t="n"/>
      <c r="B1367" s="4" t="n"/>
      <c r="C1367" s="4" t="n"/>
      <c r="D1367" s="4" t="n"/>
      <c r="E1367" s="4" t="n"/>
      <c r="F1367" s="6">
        <f>IF(B1367="","",IFERROR(INDEX(Products!$E:$E,MATCH(B1367,Products!$A:$A,0)),0))</f>
        <v/>
      </c>
      <c r="G1367" s="6">
        <f>IF(B1367="","",N(C1367)*N(F1367))</f>
        <v/>
      </c>
      <c r="H1367">
        <f>IF(B1367="","",IFERROR(INDEX(Products!$B:$B,MATCH(B1367,Products!$A:$A,0)),"SKU not found"))</f>
        <v/>
      </c>
    </row>
    <row r="1368">
      <c r="A1368" s="7" t="n"/>
      <c r="B1368" s="4" t="n"/>
      <c r="C1368" s="4" t="n"/>
      <c r="D1368" s="4" t="n"/>
      <c r="E1368" s="4" t="n"/>
      <c r="F1368" s="6">
        <f>IF(B1368="","",IFERROR(INDEX(Products!$E:$E,MATCH(B1368,Products!$A:$A,0)),0))</f>
        <v/>
      </c>
      <c r="G1368" s="6">
        <f>IF(B1368="","",N(C1368)*N(F1368))</f>
        <v/>
      </c>
      <c r="H1368">
        <f>IF(B1368="","",IFERROR(INDEX(Products!$B:$B,MATCH(B1368,Products!$A:$A,0)),"SKU not found"))</f>
        <v/>
      </c>
    </row>
    <row r="1369">
      <c r="A1369" s="7" t="n"/>
      <c r="B1369" s="4" t="n"/>
      <c r="C1369" s="4" t="n"/>
      <c r="D1369" s="4" t="n"/>
      <c r="E1369" s="4" t="n"/>
      <c r="F1369" s="6">
        <f>IF(B1369="","",IFERROR(INDEX(Products!$E:$E,MATCH(B1369,Products!$A:$A,0)),0))</f>
        <v/>
      </c>
      <c r="G1369" s="6">
        <f>IF(B1369="","",N(C1369)*N(F1369))</f>
        <v/>
      </c>
      <c r="H1369">
        <f>IF(B1369="","",IFERROR(INDEX(Products!$B:$B,MATCH(B1369,Products!$A:$A,0)),"SKU not found"))</f>
        <v/>
      </c>
    </row>
    <row r="1370">
      <c r="A1370" s="7" t="n"/>
      <c r="B1370" s="4" t="n"/>
      <c r="C1370" s="4" t="n"/>
      <c r="D1370" s="4" t="n"/>
      <c r="E1370" s="4" t="n"/>
      <c r="F1370" s="6">
        <f>IF(B1370="","",IFERROR(INDEX(Products!$E:$E,MATCH(B1370,Products!$A:$A,0)),0))</f>
        <v/>
      </c>
      <c r="G1370" s="6">
        <f>IF(B1370="","",N(C1370)*N(F1370))</f>
        <v/>
      </c>
      <c r="H1370">
        <f>IF(B1370="","",IFERROR(INDEX(Products!$B:$B,MATCH(B1370,Products!$A:$A,0)),"SKU not found"))</f>
        <v/>
      </c>
    </row>
    <row r="1371">
      <c r="A1371" s="7" t="n"/>
      <c r="B1371" s="4" t="n"/>
      <c r="C1371" s="4" t="n"/>
      <c r="D1371" s="4" t="n"/>
      <c r="E1371" s="4" t="n"/>
      <c r="F1371" s="6">
        <f>IF(B1371="","",IFERROR(INDEX(Products!$E:$E,MATCH(B1371,Products!$A:$A,0)),0))</f>
        <v/>
      </c>
      <c r="G1371" s="6">
        <f>IF(B1371="","",N(C1371)*N(F1371))</f>
        <v/>
      </c>
      <c r="H1371">
        <f>IF(B1371="","",IFERROR(INDEX(Products!$B:$B,MATCH(B1371,Products!$A:$A,0)),"SKU not found"))</f>
        <v/>
      </c>
    </row>
    <row r="1372">
      <c r="A1372" s="7" t="n"/>
      <c r="B1372" s="4" t="n"/>
      <c r="C1372" s="4" t="n"/>
      <c r="D1372" s="4" t="n"/>
      <c r="E1372" s="4" t="n"/>
      <c r="F1372" s="6">
        <f>IF(B1372="","",IFERROR(INDEX(Products!$E:$E,MATCH(B1372,Products!$A:$A,0)),0))</f>
        <v/>
      </c>
      <c r="G1372" s="6">
        <f>IF(B1372="","",N(C1372)*N(F1372))</f>
        <v/>
      </c>
      <c r="H1372">
        <f>IF(B1372="","",IFERROR(INDEX(Products!$B:$B,MATCH(B1372,Products!$A:$A,0)),"SKU not found"))</f>
        <v/>
      </c>
    </row>
    <row r="1373">
      <c r="A1373" s="7" t="n"/>
      <c r="B1373" s="4" t="n"/>
      <c r="C1373" s="4" t="n"/>
      <c r="D1373" s="4" t="n"/>
      <c r="E1373" s="4" t="n"/>
      <c r="F1373" s="6">
        <f>IF(B1373="","",IFERROR(INDEX(Products!$E:$E,MATCH(B1373,Products!$A:$A,0)),0))</f>
        <v/>
      </c>
      <c r="G1373" s="6">
        <f>IF(B1373="","",N(C1373)*N(F1373))</f>
        <v/>
      </c>
      <c r="H1373">
        <f>IF(B1373="","",IFERROR(INDEX(Products!$B:$B,MATCH(B1373,Products!$A:$A,0)),"SKU not found"))</f>
        <v/>
      </c>
    </row>
    <row r="1374">
      <c r="A1374" s="7" t="n"/>
      <c r="B1374" s="4" t="n"/>
      <c r="C1374" s="4" t="n"/>
      <c r="D1374" s="4" t="n"/>
      <c r="E1374" s="4" t="n"/>
      <c r="F1374" s="6">
        <f>IF(B1374="","",IFERROR(INDEX(Products!$E:$E,MATCH(B1374,Products!$A:$A,0)),0))</f>
        <v/>
      </c>
      <c r="G1374" s="6">
        <f>IF(B1374="","",N(C1374)*N(F1374))</f>
        <v/>
      </c>
      <c r="H1374">
        <f>IF(B1374="","",IFERROR(INDEX(Products!$B:$B,MATCH(B1374,Products!$A:$A,0)),"SKU not found"))</f>
        <v/>
      </c>
    </row>
    <row r="1375">
      <c r="A1375" s="7" t="n"/>
      <c r="B1375" s="4" t="n"/>
      <c r="C1375" s="4" t="n"/>
      <c r="D1375" s="4" t="n"/>
      <c r="E1375" s="4" t="n"/>
      <c r="F1375" s="6">
        <f>IF(B1375="","",IFERROR(INDEX(Products!$E:$E,MATCH(B1375,Products!$A:$A,0)),0))</f>
        <v/>
      </c>
      <c r="G1375" s="6">
        <f>IF(B1375="","",N(C1375)*N(F1375))</f>
        <v/>
      </c>
      <c r="H1375">
        <f>IF(B1375="","",IFERROR(INDEX(Products!$B:$B,MATCH(B1375,Products!$A:$A,0)),"SKU not found"))</f>
        <v/>
      </c>
    </row>
    <row r="1376">
      <c r="A1376" s="7" t="n"/>
      <c r="B1376" s="4" t="n"/>
      <c r="C1376" s="4" t="n"/>
      <c r="D1376" s="4" t="n"/>
      <c r="E1376" s="4" t="n"/>
      <c r="F1376" s="6">
        <f>IF(B1376="","",IFERROR(INDEX(Products!$E:$E,MATCH(B1376,Products!$A:$A,0)),0))</f>
        <v/>
      </c>
      <c r="G1376" s="6">
        <f>IF(B1376="","",N(C1376)*N(F1376))</f>
        <v/>
      </c>
      <c r="H1376">
        <f>IF(B1376="","",IFERROR(INDEX(Products!$B:$B,MATCH(B1376,Products!$A:$A,0)),"SKU not found"))</f>
        <v/>
      </c>
    </row>
    <row r="1377">
      <c r="A1377" s="7" t="n"/>
      <c r="B1377" s="4" t="n"/>
      <c r="C1377" s="4" t="n"/>
      <c r="D1377" s="4" t="n"/>
      <c r="E1377" s="4" t="n"/>
      <c r="F1377" s="6">
        <f>IF(B1377="","",IFERROR(INDEX(Products!$E:$E,MATCH(B1377,Products!$A:$A,0)),0))</f>
        <v/>
      </c>
      <c r="G1377" s="6">
        <f>IF(B1377="","",N(C1377)*N(F1377))</f>
        <v/>
      </c>
      <c r="H1377">
        <f>IF(B1377="","",IFERROR(INDEX(Products!$B:$B,MATCH(B1377,Products!$A:$A,0)),"SKU not found"))</f>
        <v/>
      </c>
    </row>
    <row r="1378">
      <c r="A1378" s="7" t="n"/>
      <c r="B1378" s="4" t="n"/>
      <c r="C1378" s="4" t="n"/>
      <c r="D1378" s="4" t="n"/>
      <c r="E1378" s="4" t="n"/>
      <c r="F1378" s="6">
        <f>IF(B1378="","",IFERROR(INDEX(Products!$E:$E,MATCH(B1378,Products!$A:$A,0)),0))</f>
        <v/>
      </c>
      <c r="G1378" s="6">
        <f>IF(B1378="","",N(C1378)*N(F1378))</f>
        <v/>
      </c>
      <c r="H1378">
        <f>IF(B1378="","",IFERROR(INDEX(Products!$B:$B,MATCH(B1378,Products!$A:$A,0)),"SKU not found"))</f>
        <v/>
      </c>
    </row>
    <row r="1379">
      <c r="A1379" s="7" t="n"/>
      <c r="B1379" s="4" t="n"/>
      <c r="C1379" s="4" t="n"/>
      <c r="D1379" s="4" t="n"/>
      <c r="E1379" s="4" t="n"/>
      <c r="F1379" s="6">
        <f>IF(B1379="","",IFERROR(INDEX(Products!$E:$E,MATCH(B1379,Products!$A:$A,0)),0))</f>
        <v/>
      </c>
      <c r="G1379" s="6">
        <f>IF(B1379="","",N(C1379)*N(F1379))</f>
        <v/>
      </c>
      <c r="H1379">
        <f>IF(B1379="","",IFERROR(INDEX(Products!$B:$B,MATCH(B1379,Products!$A:$A,0)),"SKU not found"))</f>
        <v/>
      </c>
    </row>
    <row r="1380">
      <c r="A1380" s="7" t="n"/>
      <c r="B1380" s="4" t="n"/>
      <c r="C1380" s="4" t="n"/>
      <c r="D1380" s="4" t="n"/>
      <c r="E1380" s="4" t="n"/>
      <c r="F1380" s="6">
        <f>IF(B1380="","",IFERROR(INDEX(Products!$E:$E,MATCH(B1380,Products!$A:$A,0)),0))</f>
        <v/>
      </c>
      <c r="G1380" s="6">
        <f>IF(B1380="","",N(C1380)*N(F1380))</f>
        <v/>
      </c>
      <c r="H1380">
        <f>IF(B1380="","",IFERROR(INDEX(Products!$B:$B,MATCH(B1380,Products!$A:$A,0)),"SKU not found"))</f>
        <v/>
      </c>
    </row>
    <row r="1381">
      <c r="A1381" s="7" t="n"/>
      <c r="B1381" s="4" t="n"/>
      <c r="C1381" s="4" t="n"/>
      <c r="D1381" s="4" t="n"/>
      <c r="E1381" s="4" t="n"/>
      <c r="F1381" s="6">
        <f>IF(B1381="","",IFERROR(INDEX(Products!$E:$E,MATCH(B1381,Products!$A:$A,0)),0))</f>
        <v/>
      </c>
      <c r="G1381" s="6">
        <f>IF(B1381="","",N(C1381)*N(F1381))</f>
        <v/>
      </c>
      <c r="H1381">
        <f>IF(B1381="","",IFERROR(INDEX(Products!$B:$B,MATCH(B1381,Products!$A:$A,0)),"SKU not found"))</f>
        <v/>
      </c>
    </row>
    <row r="1382">
      <c r="A1382" s="7" t="n"/>
      <c r="B1382" s="4" t="n"/>
      <c r="C1382" s="4" t="n"/>
      <c r="D1382" s="4" t="n"/>
      <c r="E1382" s="4" t="n"/>
      <c r="F1382" s="6">
        <f>IF(B1382="","",IFERROR(INDEX(Products!$E:$E,MATCH(B1382,Products!$A:$A,0)),0))</f>
        <v/>
      </c>
      <c r="G1382" s="6">
        <f>IF(B1382="","",N(C1382)*N(F1382))</f>
        <v/>
      </c>
      <c r="H1382">
        <f>IF(B1382="","",IFERROR(INDEX(Products!$B:$B,MATCH(B1382,Products!$A:$A,0)),"SKU not found"))</f>
        <v/>
      </c>
    </row>
    <row r="1383">
      <c r="A1383" s="7" t="n"/>
      <c r="B1383" s="4" t="n"/>
      <c r="C1383" s="4" t="n"/>
      <c r="D1383" s="4" t="n"/>
      <c r="E1383" s="4" t="n"/>
      <c r="F1383" s="6">
        <f>IF(B1383="","",IFERROR(INDEX(Products!$E:$E,MATCH(B1383,Products!$A:$A,0)),0))</f>
        <v/>
      </c>
      <c r="G1383" s="6">
        <f>IF(B1383="","",N(C1383)*N(F1383))</f>
        <v/>
      </c>
      <c r="H1383">
        <f>IF(B1383="","",IFERROR(INDEX(Products!$B:$B,MATCH(B1383,Products!$A:$A,0)),"SKU not found"))</f>
        <v/>
      </c>
    </row>
    <row r="1384">
      <c r="A1384" s="7" t="n"/>
      <c r="B1384" s="4" t="n"/>
      <c r="C1384" s="4" t="n"/>
      <c r="D1384" s="4" t="n"/>
      <c r="E1384" s="4" t="n"/>
      <c r="F1384" s="6">
        <f>IF(B1384="","",IFERROR(INDEX(Products!$E:$E,MATCH(B1384,Products!$A:$A,0)),0))</f>
        <v/>
      </c>
      <c r="G1384" s="6">
        <f>IF(B1384="","",N(C1384)*N(F1384))</f>
        <v/>
      </c>
      <c r="H1384">
        <f>IF(B1384="","",IFERROR(INDEX(Products!$B:$B,MATCH(B1384,Products!$A:$A,0)),"SKU not found"))</f>
        <v/>
      </c>
    </row>
    <row r="1385">
      <c r="A1385" s="7" t="n"/>
      <c r="B1385" s="4" t="n"/>
      <c r="C1385" s="4" t="n"/>
      <c r="D1385" s="4" t="n"/>
      <c r="E1385" s="4" t="n"/>
      <c r="F1385" s="6">
        <f>IF(B1385="","",IFERROR(INDEX(Products!$E:$E,MATCH(B1385,Products!$A:$A,0)),0))</f>
        <v/>
      </c>
      <c r="G1385" s="6">
        <f>IF(B1385="","",N(C1385)*N(F1385))</f>
        <v/>
      </c>
      <c r="H1385">
        <f>IF(B1385="","",IFERROR(INDEX(Products!$B:$B,MATCH(B1385,Products!$A:$A,0)),"SKU not found"))</f>
        <v/>
      </c>
    </row>
    <row r="1386">
      <c r="A1386" s="7" t="n"/>
      <c r="B1386" s="4" t="n"/>
      <c r="C1386" s="4" t="n"/>
      <c r="D1386" s="4" t="n"/>
      <c r="E1386" s="4" t="n"/>
      <c r="F1386" s="6">
        <f>IF(B1386="","",IFERROR(INDEX(Products!$E:$E,MATCH(B1386,Products!$A:$A,0)),0))</f>
        <v/>
      </c>
      <c r="G1386" s="6">
        <f>IF(B1386="","",N(C1386)*N(F1386))</f>
        <v/>
      </c>
      <c r="H1386">
        <f>IF(B1386="","",IFERROR(INDEX(Products!$B:$B,MATCH(B1386,Products!$A:$A,0)),"SKU not found"))</f>
        <v/>
      </c>
    </row>
    <row r="1387">
      <c r="A1387" s="7" t="n"/>
      <c r="B1387" s="4" t="n"/>
      <c r="C1387" s="4" t="n"/>
      <c r="D1387" s="4" t="n"/>
      <c r="E1387" s="4" t="n"/>
      <c r="F1387" s="6">
        <f>IF(B1387="","",IFERROR(INDEX(Products!$E:$E,MATCH(B1387,Products!$A:$A,0)),0))</f>
        <v/>
      </c>
      <c r="G1387" s="6">
        <f>IF(B1387="","",N(C1387)*N(F1387))</f>
        <v/>
      </c>
      <c r="H1387">
        <f>IF(B1387="","",IFERROR(INDEX(Products!$B:$B,MATCH(B1387,Products!$A:$A,0)),"SKU not found"))</f>
        <v/>
      </c>
    </row>
    <row r="1388">
      <c r="A1388" s="7" t="n"/>
      <c r="B1388" s="4" t="n"/>
      <c r="C1388" s="4" t="n"/>
      <c r="D1388" s="4" t="n"/>
      <c r="E1388" s="4" t="n"/>
      <c r="F1388" s="6">
        <f>IF(B1388="","",IFERROR(INDEX(Products!$E:$E,MATCH(B1388,Products!$A:$A,0)),0))</f>
        <v/>
      </c>
      <c r="G1388" s="6">
        <f>IF(B1388="","",N(C1388)*N(F1388))</f>
        <v/>
      </c>
      <c r="H1388">
        <f>IF(B1388="","",IFERROR(INDEX(Products!$B:$B,MATCH(B1388,Products!$A:$A,0)),"SKU not found"))</f>
        <v/>
      </c>
    </row>
    <row r="1389">
      <c r="A1389" s="7" t="n"/>
      <c r="B1389" s="4" t="n"/>
      <c r="C1389" s="4" t="n"/>
      <c r="D1389" s="4" t="n"/>
      <c r="E1389" s="4" t="n"/>
      <c r="F1389" s="6">
        <f>IF(B1389="","",IFERROR(INDEX(Products!$E:$E,MATCH(B1389,Products!$A:$A,0)),0))</f>
        <v/>
      </c>
      <c r="G1389" s="6">
        <f>IF(B1389="","",N(C1389)*N(F1389))</f>
        <v/>
      </c>
      <c r="H1389">
        <f>IF(B1389="","",IFERROR(INDEX(Products!$B:$B,MATCH(B1389,Products!$A:$A,0)),"SKU not found"))</f>
        <v/>
      </c>
    </row>
    <row r="1390">
      <c r="A1390" s="7" t="n"/>
      <c r="B1390" s="4" t="n"/>
      <c r="C1390" s="4" t="n"/>
      <c r="D1390" s="4" t="n"/>
      <c r="E1390" s="4" t="n"/>
      <c r="F1390" s="6">
        <f>IF(B1390="","",IFERROR(INDEX(Products!$E:$E,MATCH(B1390,Products!$A:$A,0)),0))</f>
        <v/>
      </c>
      <c r="G1390" s="6">
        <f>IF(B1390="","",N(C1390)*N(F1390))</f>
        <v/>
      </c>
      <c r="H1390">
        <f>IF(B1390="","",IFERROR(INDEX(Products!$B:$B,MATCH(B1390,Products!$A:$A,0)),"SKU not found"))</f>
        <v/>
      </c>
    </row>
    <row r="1391">
      <c r="A1391" s="7" t="n"/>
      <c r="B1391" s="4" t="n"/>
      <c r="C1391" s="4" t="n"/>
      <c r="D1391" s="4" t="n"/>
      <c r="E1391" s="4" t="n"/>
      <c r="F1391" s="6">
        <f>IF(B1391="","",IFERROR(INDEX(Products!$E:$E,MATCH(B1391,Products!$A:$A,0)),0))</f>
        <v/>
      </c>
      <c r="G1391" s="6">
        <f>IF(B1391="","",N(C1391)*N(F1391))</f>
        <v/>
      </c>
      <c r="H1391">
        <f>IF(B1391="","",IFERROR(INDEX(Products!$B:$B,MATCH(B1391,Products!$A:$A,0)),"SKU not found"))</f>
        <v/>
      </c>
    </row>
    <row r="1392">
      <c r="A1392" s="7" t="n"/>
      <c r="B1392" s="4" t="n"/>
      <c r="C1392" s="4" t="n"/>
      <c r="D1392" s="4" t="n"/>
      <c r="E1392" s="4" t="n"/>
      <c r="F1392" s="6">
        <f>IF(B1392="","",IFERROR(INDEX(Products!$E:$E,MATCH(B1392,Products!$A:$A,0)),0))</f>
        <v/>
      </c>
      <c r="G1392" s="6">
        <f>IF(B1392="","",N(C1392)*N(F1392))</f>
        <v/>
      </c>
      <c r="H1392">
        <f>IF(B1392="","",IFERROR(INDEX(Products!$B:$B,MATCH(B1392,Products!$A:$A,0)),"SKU not found"))</f>
        <v/>
      </c>
    </row>
    <row r="1393">
      <c r="A1393" s="7" t="n"/>
      <c r="B1393" s="4" t="n"/>
      <c r="C1393" s="4" t="n"/>
      <c r="D1393" s="4" t="n"/>
      <c r="E1393" s="4" t="n"/>
      <c r="F1393" s="6">
        <f>IF(B1393="","",IFERROR(INDEX(Products!$E:$E,MATCH(B1393,Products!$A:$A,0)),0))</f>
        <v/>
      </c>
      <c r="G1393" s="6">
        <f>IF(B1393="","",N(C1393)*N(F1393))</f>
        <v/>
      </c>
      <c r="H1393">
        <f>IF(B1393="","",IFERROR(INDEX(Products!$B:$B,MATCH(B1393,Products!$A:$A,0)),"SKU not found"))</f>
        <v/>
      </c>
    </row>
    <row r="1394">
      <c r="A1394" s="7" t="n"/>
      <c r="B1394" s="4" t="n"/>
      <c r="C1394" s="4" t="n"/>
      <c r="D1394" s="4" t="n"/>
      <c r="E1394" s="4" t="n"/>
      <c r="F1394" s="6">
        <f>IF(B1394="","",IFERROR(INDEX(Products!$E:$E,MATCH(B1394,Products!$A:$A,0)),0))</f>
        <v/>
      </c>
      <c r="G1394" s="6">
        <f>IF(B1394="","",N(C1394)*N(F1394))</f>
        <v/>
      </c>
      <c r="H1394">
        <f>IF(B1394="","",IFERROR(INDEX(Products!$B:$B,MATCH(B1394,Products!$A:$A,0)),"SKU not found"))</f>
        <v/>
      </c>
    </row>
    <row r="1395">
      <c r="A1395" s="7" t="n"/>
      <c r="B1395" s="4" t="n"/>
      <c r="C1395" s="4" t="n"/>
      <c r="D1395" s="4" t="n"/>
      <c r="E1395" s="4" t="n"/>
      <c r="F1395" s="6">
        <f>IF(B1395="","",IFERROR(INDEX(Products!$E:$E,MATCH(B1395,Products!$A:$A,0)),0))</f>
        <v/>
      </c>
      <c r="G1395" s="6">
        <f>IF(B1395="","",N(C1395)*N(F1395))</f>
        <v/>
      </c>
      <c r="H1395">
        <f>IF(B1395="","",IFERROR(INDEX(Products!$B:$B,MATCH(B1395,Products!$A:$A,0)),"SKU not found"))</f>
        <v/>
      </c>
    </row>
    <row r="1396">
      <c r="A1396" s="7" t="n"/>
      <c r="B1396" s="4" t="n"/>
      <c r="C1396" s="4" t="n"/>
      <c r="D1396" s="4" t="n"/>
      <c r="E1396" s="4" t="n"/>
      <c r="F1396" s="6">
        <f>IF(B1396="","",IFERROR(INDEX(Products!$E:$E,MATCH(B1396,Products!$A:$A,0)),0))</f>
        <v/>
      </c>
      <c r="G1396" s="6">
        <f>IF(B1396="","",N(C1396)*N(F1396))</f>
        <v/>
      </c>
      <c r="H1396">
        <f>IF(B1396="","",IFERROR(INDEX(Products!$B:$B,MATCH(B1396,Products!$A:$A,0)),"SKU not found"))</f>
        <v/>
      </c>
    </row>
    <row r="1397">
      <c r="A1397" s="7" t="n"/>
      <c r="B1397" s="4" t="n"/>
      <c r="C1397" s="4" t="n"/>
      <c r="D1397" s="4" t="n"/>
      <c r="E1397" s="4" t="n"/>
      <c r="F1397" s="6">
        <f>IF(B1397="","",IFERROR(INDEX(Products!$E:$E,MATCH(B1397,Products!$A:$A,0)),0))</f>
        <v/>
      </c>
      <c r="G1397" s="6">
        <f>IF(B1397="","",N(C1397)*N(F1397))</f>
        <v/>
      </c>
      <c r="H1397">
        <f>IF(B1397="","",IFERROR(INDEX(Products!$B:$B,MATCH(B1397,Products!$A:$A,0)),"SKU not found"))</f>
        <v/>
      </c>
    </row>
    <row r="1398">
      <c r="A1398" s="7" t="n"/>
      <c r="B1398" s="4" t="n"/>
      <c r="C1398" s="4" t="n"/>
      <c r="D1398" s="4" t="n"/>
      <c r="E1398" s="4" t="n"/>
      <c r="F1398" s="6">
        <f>IF(B1398="","",IFERROR(INDEX(Products!$E:$E,MATCH(B1398,Products!$A:$A,0)),0))</f>
        <v/>
      </c>
      <c r="G1398" s="6">
        <f>IF(B1398="","",N(C1398)*N(F1398))</f>
        <v/>
      </c>
      <c r="H1398">
        <f>IF(B1398="","",IFERROR(INDEX(Products!$B:$B,MATCH(B1398,Products!$A:$A,0)),"SKU not found"))</f>
        <v/>
      </c>
    </row>
    <row r="1399">
      <c r="A1399" s="7" t="n"/>
      <c r="B1399" s="4" t="n"/>
      <c r="C1399" s="4" t="n"/>
      <c r="D1399" s="4" t="n"/>
      <c r="E1399" s="4" t="n"/>
      <c r="F1399" s="6">
        <f>IF(B1399="","",IFERROR(INDEX(Products!$E:$E,MATCH(B1399,Products!$A:$A,0)),0))</f>
        <v/>
      </c>
      <c r="G1399" s="6">
        <f>IF(B1399="","",N(C1399)*N(F1399))</f>
        <v/>
      </c>
      <c r="H1399">
        <f>IF(B1399="","",IFERROR(INDEX(Products!$B:$B,MATCH(B1399,Products!$A:$A,0)),"SKU not found"))</f>
        <v/>
      </c>
    </row>
    <row r="1400">
      <c r="A1400" s="7" t="n"/>
      <c r="B1400" s="4" t="n"/>
      <c r="C1400" s="4" t="n"/>
      <c r="D1400" s="4" t="n"/>
      <c r="E1400" s="4" t="n"/>
      <c r="F1400" s="6">
        <f>IF(B1400="","",IFERROR(INDEX(Products!$E:$E,MATCH(B1400,Products!$A:$A,0)),0))</f>
        <v/>
      </c>
      <c r="G1400" s="6">
        <f>IF(B1400="","",N(C1400)*N(F1400))</f>
        <v/>
      </c>
      <c r="H1400">
        <f>IF(B1400="","",IFERROR(INDEX(Products!$B:$B,MATCH(B1400,Products!$A:$A,0)),"SKU not found"))</f>
        <v/>
      </c>
    </row>
    <row r="1401">
      <c r="A1401" s="7" t="n"/>
      <c r="B1401" s="4" t="n"/>
      <c r="C1401" s="4" t="n"/>
      <c r="D1401" s="4" t="n"/>
      <c r="E1401" s="4" t="n"/>
      <c r="F1401" s="6">
        <f>IF(B1401="","",IFERROR(INDEX(Products!$E:$E,MATCH(B1401,Products!$A:$A,0)),0))</f>
        <v/>
      </c>
      <c r="G1401" s="6">
        <f>IF(B1401="","",N(C1401)*N(F1401))</f>
        <v/>
      </c>
      <c r="H1401">
        <f>IF(B1401="","",IFERROR(INDEX(Products!$B:$B,MATCH(B1401,Products!$A:$A,0)),"SKU not found"))</f>
        <v/>
      </c>
    </row>
    <row r="1402">
      <c r="A1402" s="7" t="n"/>
      <c r="B1402" s="4" t="n"/>
      <c r="C1402" s="4" t="n"/>
      <c r="D1402" s="4" t="n"/>
      <c r="E1402" s="4" t="n"/>
      <c r="F1402" s="6">
        <f>IF(B1402="","",IFERROR(INDEX(Products!$E:$E,MATCH(B1402,Products!$A:$A,0)),0))</f>
        <v/>
      </c>
      <c r="G1402" s="6">
        <f>IF(B1402="","",N(C1402)*N(F1402))</f>
        <v/>
      </c>
      <c r="H1402">
        <f>IF(B1402="","",IFERROR(INDEX(Products!$B:$B,MATCH(B1402,Products!$A:$A,0)),"SKU not found"))</f>
        <v/>
      </c>
    </row>
    <row r="1403">
      <c r="A1403" s="7" t="n"/>
      <c r="B1403" s="4" t="n"/>
      <c r="C1403" s="4" t="n"/>
      <c r="D1403" s="4" t="n"/>
      <c r="E1403" s="4" t="n"/>
      <c r="F1403" s="6">
        <f>IF(B1403="","",IFERROR(INDEX(Products!$E:$E,MATCH(B1403,Products!$A:$A,0)),0))</f>
        <v/>
      </c>
      <c r="G1403" s="6">
        <f>IF(B1403="","",N(C1403)*N(F1403))</f>
        <v/>
      </c>
      <c r="H1403">
        <f>IF(B1403="","",IFERROR(INDEX(Products!$B:$B,MATCH(B1403,Products!$A:$A,0)),"SKU not found"))</f>
        <v/>
      </c>
    </row>
    <row r="1404">
      <c r="A1404" s="7" t="n"/>
      <c r="B1404" s="4" t="n"/>
      <c r="C1404" s="4" t="n"/>
      <c r="D1404" s="4" t="n"/>
      <c r="E1404" s="4" t="n"/>
      <c r="F1404" s="6">
        <f>IF(B1404="","",IFERROR(INDEX(Products!$E:$E,MATCH(B1404,Products!$A:$A,0)),0))</f>
        <v/>
      </c>
      <c r="G1404" s="6">
        <f>IF(B1404="","",N(C1404)*N(F1404))</f>
        <v/>
      </c>
      <c r="H1404">
        <f>IF(B1404="","",IFERROR(INDEX(Products!$B:$B,MATCH(B1404,Products!$A:$A,0)),"SKU not found"))</f>
        <v/>
      </c>
    </row>
    <row r="1405">
      <c r="A1405" s="7" t="n"/>
      <c r="B1405" s="4" t="n"/>
      <c r="C1405" s="4" t="n"/>
      <c r="D1405" s="4" t="n"/>
      <c r="E1405" s="4" t="n"/>
      <c r="F1405" s="6">
        <f>IF(B1405="","",IFERROR(INDEX(Products!$E:$E,MATCH(B1405,Products!$A:$A,0)),0))</f>
        <v/>
      </c>
      <c r="G1405" s="6">
        <f>IF(B1405="","",N(C1405)*N(F1405))</f>
        <v/>
      </c>
      <c r="H1405">
        <f>IF(B1405="","",IFERROR(INDEX(Products!$B:$B,MATCH(B1405,Products!$A:$A,0)),"SKU not found"))</f>
        <v/>
      </c>
    </row>
    <row r="1406">
      <c r="A1406" s="7" t="n"/>
      <c r="B1406" s="4" t="n"/>
      <c r="C1406" s="4" t="n"/>
      <c r="D1406" s="4" t="n"/>
      <c r="E1406" s="4" t="n"/>
      <c r="F1406" s="6">
        <f>IF(B1406="","",IFERROR(INDEX(Products!$E:$E,MATCH(B1406,Products!$A:$A,0)),0))</f>
        <v/>
      </c>
      <c r="G1406" s="6">
        <f>IF(B1406="","",N(C1406)*N(F1406))</f>
        <v/>
      </c>
      <c r="H1406">
        <f>IF(B1406="","",IFERROR(INDEX(Products!$B:$B,MATCH(B1406,Products!$A:$A,0)),"SKU not found"))</f>
        <v/>
      </c>
    </row>
    <row r="1407">
      <c r="A1407" s="7" t="n"/>
      <c r="B1407" s="4" t="n"/>
      <c r="C1407" s="4" t="n"/>
      <c r="D1407" s="4" t="n"/>
      <c r="E1407" s="4" t="n"/>
      <c r="F1407" s="6">
        <f>IF(B1407="","",IFERROR(INDEX(Products!$E:$E,MATCH(B1407,Products!$A:$A,0)),0))</f>
        <v/>
      </c>
      <c r="G1407" s="6">
        <f>IF(B1407="","",N(C1407)*N(F1407))</f>
        <v/>
      </c>
      <c r="H1407">
        <f>IF(B1407="","",IFERROR(INDEX(Products!$B:$B,MATCH(B1407,Products!$A:$A,0)),"SKU not found"))</f>
        <v/>
      </c>
    </row>
    <row r="1408">
      <c r="A1408" s="7" t="n"/>
      <c r="B1408" s="4" t="n"/>
      <c r="C1408" s="4" t="n"/>
      <c r="D1408" s="4" t="n"/>
      <c r="E1408" s="4" t="n"/>
      <c r="F1408" s="6">
        <f>IF(B1408="","",IFERROR(INDEX(Products!$E:$E,MATCH(B1408,Products!$A:$A,0)),0))</f>
        <v/>
      </c>
      <c r="G1408" s="6">
        <f>IF(B1408="","",N(C1408)*N(F1408))</f>
        <v/>
      </c>
      <c r="H1408">
        <f>IF(B1408="","",IFERROR(INDEX(Products!$B:$B,MATCH(B1408,Products!$A:$A,0)),"SKU not found"))</f>
        <v/>
      </c>
    </row>
    <row r="1409">
      <c r="A1409" s="7" t="n"/>
      <c r="B1409" s="4" t="n"/>
      <c r="C1409" s="4" t="n"/>
      <c r="D1409" s="4" t="n"/>
      <c r="E1409" s="4" t="n"/>
      <c r="F1409" s="6">
        <f>IF(B1409="","",IFERROR(INDEX(Products!$E:$E,MATCH(B1409,Products!$A:$A,0)),0))</f>
        <v/>
      </c>
      <c r="G1409" s="6">
        <f>IF(B1409="","",N(C1409)*N(F1409))</f>
        <v/>
      </c>
      <c r="H1409">
        <f>IF(B1409="","",IFERROR(INDEX(Products!$B:$B,MATCH(B1409,Products!$A:$A,0)),"SKU not found"))</f>
        <v/>
      </c>
    </row>
    <row r="1410">
      <c r="A1410" s="7" t="n"/>
      <c r="B1410" s="4" t="n"/>
      <c r="C1410" s="4" t="n"/>
      <c r="D1410" s="4" t="n"/>
      <c r="E1410" s="4" t="n"/>
      <c r="F1410" s="6">
        <f>IF(B1410="","",IFERROR(INDEX(Products!$E:$E,MATCH(B1410,Products!$A:$A,0)),0))</f>
        <v/>
      </c>
      <c r="G1410" s="6">
        <f>IF(B1410="","",N(C1410)*N(F1410))</f>
        <v/>
      </c>
      <c r="H1410">
        <f>IF(B1410="","",IFERROR(INDEX(Products!$B:$B,MATCH(B1410,Products!$A:$A,0)),"SKU not found"))</f>
        <v/>
      </c>
    </row>
    <row r="1411">
      <c r="A1411" s="7" t="n"/>
      <c r="B1411" s="4" t="n"/>
      <c r="C1411" s="4" t="n"/>
      <c r="D1411" s="4" t="n"/>
      <c r="E1411" s="4" t="n"/>
      <c r="F1411" s="6">
        <f>IF(B1411="","",IFERROR(INDEX(Products!$E:$E,MATCH(B1411,Products!$A:$A,0)),0))</f>
        <v/>
      </c>
      <c r="G1411" s="6">
        <f>IF(B1411="","",N(C1411)*N(F1411))</f>
        <v/>
      </c>
      <c r="H1411">
        <f>IF(B1411="","",IFERROR(INDEX(Products!$B:$B,MATCH(B1411,Products!$A:$A,0)),"SKU not found"))</f>
        <v/>
      </c>
    </row>
    <row r="1412">
      <c r="A1412" s="7" t="n"/>
      <c r="B1412" s="4" t="n"/>
      <c r="C1412" s="4" t="n"/>
      <c r="D1412" s="4" t="n"/>
      <c r="E1412" s="4" t="n"/>
      <c r="F1412" s="6">
        <f>IF(B1412="","",IFERROR(INDEX(Products!$E:$E,MATCH(B1412,Products!$A:$A,0)),0))</f>
        <v/>
      </c>
      <c r="G1412" s="6">
        <f>IF(B1412="","",N(C1412)*N(F1412))</f>
        <v/>
      </c>
      <c r="H1412">
        <f>IF(B1412="","",IFERROR(INDEX(Products!$B:$B,MATCH(B1412,Products!$A:$A,0)),"SKU not found"))</f>
        <v/>
      </c>
    </row>
    <row r="1413">
      <c r="A1413" s="7" t="n"/>
      <c r="B1413" s="4" t="n"/>
      <c r="C1413" s="4" t="n"/>
      <c r="D1413" s="4" t="n"/>
      <c r="E1413" s="4" t="n"/>
      <c r="F1413" s="6">
        <f>IF(B1413="","",IFERROR(INDEX(Products!$E:$E,MATCH(B1413,Products!$A:$A,0)),0))</f>
        <v/>
      </c>
      <c r="G1413" s="6">
        <f>IF(B1413="","",N(C1413)*N(F1413))</f>
        <v/>
      </c>
      <c r="H1413">
        <f>IF(B1413="","",IFERROR(INDEX(Products!$B:$B,MATCH(B1413,Products!$A:$A,0)),"SKU not found"))</f>
        <v/>
      </c>
    </row>
    <row r="1414">
      <c r="A1414" s="7" t="n"/>
      <c r="B1414" s="4" t="n"/>
      <c r="C1414" s="4" t="n"/>
      <c r="D1414" s="4" t="n"/>
      <c r="E1414" s="4" t="n"/>
      <c r="F1414" s="6">
        <f>IF(B1414="","",IFERROR(INDEX(Products!$E:$E,MATCH(B1414,Products!$A:$A,0)),0))</f>
        <v/>
      </c>
      <c r="G1414" s="6">
        <f>IF(B1414="","",N(C1414)*N(F1414))</f>
        <v/>
      </c>
      <c r="H1414">
        <f>IF(B1414="","",IFERROR(INDEX(Products!$B:$B,MATCH(B1414,Products!$A:$A,0)),"SKU not found"))</f>
        <v/>
      </c>
    </row>
    <row r="1415">
      <c r="A1415" s="7" t="n"/>
      <c r="B1415" s="4" t="n"/>
      <c r="C1415" s="4" t="n"/>
      <c r="D1415" s="4" t="n"/>
      <c r="E1415" s="4" t="n"/>
      <c r="F1415" s="6">
        <f>IF(B1415="","",IFERROR(INDEX(Products!$E:$E,MATCH(B1415,Products!$A:$A,0)),0))</f>
        <v/>
      </c>
      <c r="G1415" s="6">
        <f>IF(B1415="","",N(C1415)*N(F1415))</f>
        <v/>
      </c>
      <c r="H1415">
        <f>IF(B1415="","",IFERROR(INDEX(Products!$B:$B,MATCH(B1415,Products!$A:$A,0)),"SKU not found"))</f>
        <v/>
      </c>
    </row>
    <row r="1416">
      <c r="A1416" s="7" t="n"/>
      <c r="B1416" s="4" t="n"/>
      <c r="C1416" s="4" t="n"/>
      <c r="D1416" s="4" t="n"/>
      <c r="E1416" s="4" t="n"/>
      <c r="F1416" s="6">
        <f>IF(B1416="","",IFERROR(INDEX(Products!$E:$E,MATCH(B1416,Products!$A:$A,0)),0))</f>
        <v/>
      </c>
      <c r="G1416" s="6">
        <f>IF(B1416="","",N(C1416)*N(F1416))</f>
        <v/>
      </c>
      <c r="H1416">
        <f>IF(B1416="","",IFERROR(INDEX(Products!$B:$B,MATCH(B1416,Products!$A:$A,0)),"SKU not found"))</f>
        <v/>
      </c>
    </row>
    <row r="1417">
      <c r="A1417" s="7" t="n"/>
      <c r="B1417" s="4" t="n"/>
      <c r="C1417" s="4" t="n"/>
      <c r="D1417" s="4" t="n"/>
      <c r="E1417" s="4" t="n"/>
      <c r="F1417" s="6">
        <f>IF(B1417="","",IFERROR(INDEX(Products!$E:$E,MATCH(B1417,Products!$A:$A,0)),0))</f>
        <v/>
      </c>
      <c r="G1417" s="6">
        <f>IF(B1417="","",N(C1417)*N(F1417))</f>
        <v/>
      </c>
      <c r="H1417">
        <f>IF(B1417="","",IFERROR(INDEX(Products!$B:$B,MATCH(B1417,Products!$A:$A,0)),"SKU not found"))</f>
        <v/>
      </c>
    </row>
    <row r="1418">
      <c r="A1418" s="7" t="n"/>
      <c r="B1418" s="4" t="n"/>
      <c r="C1418" s="4" t="n"/>
      <c r="D1418" s="4" t="n"/>
      <c r="E1418" s="4" t="n"/>
      <c r="F1418" s="6">
        <f>IF(B1418="","",IFERROR(INDEX(Products!$E:$E,MATCH(B1418,Products!$A:$A,0)),0))</f>
        <v/>
      </c>
      <c r="G1418" s="6">
        <f>IF(B1418="","",N(C1418)*N(F1418))</f>
        <v/>
      </c>
      <c r="H1418">
        <f>IF(B1418="","",IFERROR(INDEX(Products!$B:$B,MATCH(B1418,Products!$A:$A,0)),"SKU not found"))</f>
        <v/>
      </c>
    </row>
    <row r="1419">
      <c r="A1419" s="7" t="n"/>
      <c r="B1419" s="4" t="n"/>
      <c r="C1419" s="4" t="n"/>
      <c r="D1419" s="4" t="n"/>
      <c r="E1419" s="4" t="n"/>
      <c r="F1419" s="6">
        <f>IF(B1419="","",IFERROR(INDEX(Products!$E:$E,MATCH(B1419,Products!$A:$A,0)),0))</f>
        <v/>
      </c>
      <c r="G1419" s="6">
        <f>IF(B1419="","",N(C1419)*N(F1419))</f>
        <v/>
      </c>
      <c r="H1419">
        <f>IF(B1419="","",IFERROR(INDEX(Products!$B:$B,MATCH(B1419,Products!$A:$A,0)),"SKU not found"))</f>
        <v/>
      </c>
    </row>
    <row r="1420">
      <c r="A1420" s="7" t="n"/>
      <c r="B1420" s="4" t="n"/>
      <c r="C1420" s="4" t="n"/>
      <c r="D1420" s="4" t="n"/>
      <c r="E1420" s="4" t="n"/>
      <c r="F1420" s="6">
        <f>IF(B1420="","",IFERROR(INDEX(Products!$E:$E,MATCH(B1420,Products!$A:$A,0)),0))</f>
        <v/>
      </c>
      <c r="G1420" s="6">
        <f>IF(B1420="","",N(C1420)*N(F1420))</f>
        <v/>
      </c>
      <c r="H1420">
        <f>IF(B1420="","",IFERROR(INDEX(Products!$B:$B,MATCH(B1420,Products!$A:$A,0)),"SKU not found"))</f>
        <v/>
      </c>
    </row>
    <row r="1421">
      <c r="A1421" s="7" t="n"/>
      <c r="B1421" s="4" t="n"/>
      <c r="C1421" s="4" t="n"/>
      <c r="D1421" s="4" t="n"/>
      <c r="E1421" s="4" t="n"/>
      <c r="F1421" s="6">
        <f>IF(B1421="","",IFERROR(INDEX(Products!$E:$E,MATCH(B1421,Products!$A:$A,0)),0))</f>
        <v/>
      </c>
      <c r="G1421" s="6">
        <f>IF(B1421="","",N(C1421)*N(F1421))</f>
        <v/>
      </c>
      <c r="H1421">
        <f>IF(B1421="","",IFERROR(INDEX(Products!$B:$B,MATCH(B1421,Products!$A:$A,0)),"SKU not found"))</f>
        <v/>
      </c>
    </row>
    <row r="1422">
      <c r="A1422" s="7" t="n"/>
      <c r="B1422" s="4" t="n"/>
      <c r="C1422" s="4" t="n"/>
      <c r="D1422" s="4" t="n"/>
      <c r="E1422" s="4" t="n"/>
      <c r="F1422" s="6">
        <f>IF(B1422="","",IFERROR(INDEX(Products!$E:$E,MATCH(B1422,Products!$A:$A,0)),0))</f>
        <v/>
      </c>
      <c r="G1422" s="6">
        <f>IF(B1422="","",N(C1422)*N(F1422))</f>
        <v/>
      </c>
      <c r="H1422">
        <f>IF(B1422="","",IFERROR(INDEX(Products!$B:$B,MATCH(B1422,Products!$A:$A,0)),"SKU not found"))</f>
        <v/>
      </c>
    </row>
    <row r="1423">
      <c r="A1423" s="7" t="n"/>
      <c r="B1423" s="4" t="n"/>
      <c r="C1423" s="4" t="n"/>
      <c r="D1423" s="4" t="n"/>
      <c r="E1423" s="4" t="n"/>
      <c r="F1423" s="6">
        <f>IF(B1423="","",IFERROR(INDEX(Products!$E:$E,MATCH(B1423,Products!$A:$A,0)),0))</f>
        <v/>
      </c>
      <c r="G1423" s="6">
        <f>IF(B1423="","",N(C1423)*N(F1423))</f>
        <v/>
      </c>
      <c r="H1423">
        <f>IF(B1423="","",IFERROR(INDEX(Products!$B:$B,MATCH(B1423,Products!$A:$A,0)),"SKU not found"))</f>
        <v/>
      </c>
    </row>
    <row r="1424">
      <c r="A1424" s="7" t="n"/>
      <c r="B1424" s="4" t="n"/>
      <c r="C1424" s="4" t="n"/>
      <c r="D1424" s="4" t="n"/>
      <c r="E1424" s="4" t="n"/>
      <c r="F1424" s="6">
        <f>IF(B1424="","",IFERROR(INDEX(Products!$E:$E,MATCH(B1424,Products!$A:$A,0)),0))</f>
        <v/>
      </c>
      <c r="G1424" s="6">
        <f>IF(B1424="","",N(C1424)*N(F1424))</f>
        <v/>
      </c>
      <c r="H1424">
        <f>IF(B1424="","",IFERROR(INDEX(Products!$B:$B,MATCH(B1424,Products!$A:$A,0)),"SKU not found"))</f>
        <v/>
      </c>
    </row>
    <row r="1425">
      <c r="A1425" s="7" t="n"/>
      <c r="B1425" s="4" t="n"/>
      <c r="C1425" s="4" t="n"/>
      <c r="D1425" s="4" t="n"/>
      <c r="E1425" s="4" t="n"/>
      <c r="F1425" s="6">
        <f>IF(B1425="","",IFERROR(INDEX(Products!$E:$E,MATCH(B1425,Products!$A:$A,0)),0))</f>
        <v/>
      </c>
      <c r="G1425" s="6">
        <f>IF(B1425="","",N(C1425)*N(F1425))</f>
        <v/>
      </c>
      <c r="H1425">
        <f>IF(B1425="","",IFERROR(INDEX(Products!$B:$B,MATCH(B1425,Products!$A:$A,0)),"SKU not found"))</f>
        <v/>
      </c>
    </row>
    <row r="1426">
      <c r="A1426" s="7" t="n"/>
      <c r="B1426" s="4" t="n"/>
      <c r="C1426" s="4" t="n"/>
      <c r="D1426" s="4" t="n"/>
      <c r="E1426" s="4" t="n"/>
      <c r="F1426" s="6">
        <f>IF(B1426="","",IFERROR(INDEX(Products!$E:$E,MATCH(B1426,Products!$A:$A,0)),0))</f>
        <v/>
      </c>
      <c r="G1426" s="6">
        <f>IF(B1426="","",N(C1426)*N(F1426))</f>
        <v/>
      </c>
      <c r="H1426">
        <f>IF(B1426="","",IFERROR(INDEX(Products!$B:$B,MATCH(B1426,Products!$A:$A,0)),"SKU not found"))</f>
        <v/>
      </c>
    </row>
    <row r="1427">
      <c r="A1427" s="7" t="n"/>
      <c r="B1427" s="4" t="n"/>
      <c r="C1427" s="4" t="n"/>
      <c r="D1427" s="4" t="n"/>
      <c r="E1427" s="4" t="n"/>
      <c r="F1427" s="6">
        <f>IF(B1427="","",IFERROR(INDEX(Products!$E:$E,MATCH(B1427,Products!$A:$A,0)),0))</f>
        <v/>
      </c>
      <c r="G1427" s="6">
        <f>IF(B1427="","",N(C1427)*N(F1427))</f>
        <v/>
      </c>
      <c r="H1427">
        <f>IF(B1427="","",IFERROR(INDEX(Products!$B:$B,MATCH(B1427,Products!$A:$A,0)),"SKU not found"))</f>
        <v/>
      </c>
    </row>
    <row r="1428">
      <c r="A1428" s="7" t="n"/>
      <c r="B1428" s="4" t="n"/>
      <c r="C1428" s="4" t="n"/>
      <c r="D1428" s="4" t="n"/>
      <c r="E1428" s="4" t="n"/>
      <c r="F1428" s="6">
        <f>IF(B1428="","",IFERROR(INDEX(Products!$E:$E,MATCH(B1428,Products!$A:$A,0)),0))</f>
        <v/>
      </c>
      <c r="G1428" s="6">
        <f>IF(B1428="","",N(C1428)*N(F1428))</f>
        <v/>
      </c>
      <c r="H1428">
        <f>IF(B1428="","",IFERROR(INDEX(Products!$B:$B,MATCH(B1428,Products!$A:$A,0)),"SKU not found"))</f>
        <v/>
      </c>
    </row>
    <row r="1429">
      <c r="A1429" s="7" t="n"/>
      <c r="B1429" s="4" t="n"/>
      <c r="C1429" s="4" t="n"/>
      <c r="D1429" s="4" t="n"/>
      <c r="E1429" s="4" t="n"/>
      <c r="F1429" s="6">
        <f>IF(B1429="","",IFERROR(INDEX(Products!$E:$E,MATCH(B1429,Products!$A:$A,0)),0))</f>
        <v/>
      </c>
      <c r="G1429" s="6">
        <f>IF(B1429="","",N(C1429)*N(F1429))</f>
        <v/>
      </c>
      <c r="H1429">
        <f>IF(B1429="","",IFERROR(INDEX(Products!$B:$B,MATCH(B1429,Products!$A:$A,0)),"SKU not found"))</f>
        <v/>
      </c>
    </row>
    <row r="1430">
      <c r="A1430" s="7" t="n"/>
      <c r="B1430" s="4" t="n"/>
      <c r="C1430" s="4" t="n"/>
      <c r="D1430" s="4" t="n"/>
      <c r="E1430" s="4" t="n"/>
      <c r="F1430" s="6">
        <f>IF(B1430="","",IFERROR(INDEX(Products!$E:$E,MATCH(B1430,Products!$A:$A,0)),0))</f>
        <v/>
      </c>
      <c r="G1430" s="6">
        <f>IF(B1430="","",N(C1430)*N(F1430))</f>
        <v/>
      </c>
      <c r="H1430">
        <f>IF(B1430="","",IFERROR(INDEX(Products!$B:$B,MATCH(B1430,Products!$A:$A,0)),"SKU not found"))</f>
        <v/>
      </c>
    </row>
    <row r="1431">
      <c r="A1431" s="7" t="n"/>
      <c r="B1431" s="4" t="n"/>
      <c r="C1431" s="4" t="n"/>
      <c r="D1431" s="4" t="n"/>
      <c r="E1431" s="4" t="n"/>
      <c r="F1431" s="6">
        <f>IF(B1431="","",IFERROR(INDEX(Products!$E:$E,MATCH(B1431,Products!$A:$A,0)),0))</f>
        <v/>
      </c>
      <c r="G1431" s="6">
        <f>IF(B1431="","",N(C1431)*N(F1431))</f>
        <v/>
      </c>
      <c r="H1431">
        <f>IF(B1431="","",IFERROR(INDEX(Products!$B:$B,MATCH(B1431,Products!$A:$A,0)),"SKU not found"))</f>
        <v/>
      </c>
    </row>
    <row r="1432">
      <c r="A1432" s="7" t="n"/>
      <c r="B1432" s="4" t="n"/>
      <c r="C1432" s="4" t="n"/>
      <c r="D1432" s="4" t="n"/>
      <c r="E1432" s="4" t="n"/>
      <c r="F1432" s="6">
        <f>IF(B1432="","",IFERROR(INDEX(Products!$E:$E,MATCH(B1432,Products!$A:$A,0)),0))</f>
        <v/>
      </c>
      <c r="G1432" s="6">
        <f>IF(B1432="","",N(C1432)*N(F1432))</f>
        <v/>
      </c>
      <c r="H1432">
        <f>IF(B1432="","",IFERROR(INDEX(Products!$B:$B,MATCH(B1432,Products!$A:$A,0)),"SKU not found"))</f>
        <v/>
      </c>
    </row>
    <row r="1433">
      <c r="A1433" s="7" t="n"/>
      <c r="B1433" s="4" t="n"/>
      <c r="C1433" s="4" t="n"/>
      <c r="D1433" s="4" t="n"/>
      <c r="E1433" s="4" t="n"/>
      <c r="F1433" s="6">
        <f>IF(B1433="","",IFERROR(INDEX(Products!$E:$E,MATCH(B1433,Products!$A:$A,0)),0))</f>
        <v/>
      </c>
      <c r="G1433" s="6">
        <f>IF(B1433="","",N(C1433)*N(F1433))</f>
        <v/>
      </c>
      <c r="H1433">
        <f>IF(B1433="","",IFERROR(INDEX(Products!$B:$B,MATCH(B1433,Products!$A:$A,0)),"SKU not found"))</f>
        <v/>
      </c>
    </row>
    <row r="1434">
      <c r="A1434" s="7" t="n"/>
      <c r="B1434" s="4" t="n"/>
      <c r="C1434" s="4" t="n"/>
      <c r="D1434" s="4" t="n"/>
      <c r="E1434" s="4" t="n"/>
      <c r="F1434" s="6">
        <f>IF(B1434="","",IFERROR(INDEX(Products!$E:$E,MATCH(B1434,Products!$A:$A,0)),0))</f>
        <v/>
      </c>
      <c r="G1434" s="6">
        <f>IF(B1434="","",N(C1434)*N(F1434))</f>
        <v/>
      </c>
      <c r="H1434">
        <f>IF(B1434="","",IFERROR(INDEX(Products!$B:$B,MATCH(B1434,Products!$A:$A,0)),"SKU not found"))</f>
        <v/>
      </c>
    </row>
    <row r="1435">
      <c r="A1435" s="7" t="n"/>
      <c r="B1435" s="4" t="n"/>
      <c r="C1435" s="4" t="n"/>
      <c r="D1435" s="4" t="n"/>
      <c r="E1435" s="4" t="n"/>
      <c r="F1435" s="6">
        <f>IF(B1435="","",IFERROR(INDEX(Products!$E:$E,MATCH(B1435,Products!$A:$A,0)),0))</f>
        <v/>
      </c>
      <c r="G1435" s="6">
        <f>IF(B1435="","",N(C1435)*N(F1435))</f>
        <v/>
      </c>
      <c r="H1435">
        <f>IF(B1435="","",IFERROR(INDEX(Products!$B:$B,MATCH(B1435,Products!$A:$A,0)),"SKU not found"))</f>
        <v/>
      </c>
    </row>
    <row r="1436">
      <c r="A1436" s="7" t="n"/>
      <c r="B1436" s="4" t="n"/>
      <c r="C1436" s="4" t="n"/>
      <c r="D1436" s="4" t="n"/>
      <c r="E1436" s="4" t="n"/>
      <c r="F1436" s="6">
        <f>IF(B1436="","",IFERROR(INDEX(Products!$E:$E,MATCH(B1436,Products!$A:$A,0)),0))</f>
        <v/>
      </c>
      <c r="G1436" s="6">
        <f>IF(B1436="","",N(C1436)*N(F1436))</f>
        <v/>
      </c>
      <c r="H1436">
        <f>IF(B1436="","",IFERROR(INDEX(Products!$B:$B,MATCH(B1436,Products!$A:$A,0)),"SKU not found"))</f>
        <v/>
      </c>
    </row>
    <row r="1437">
      <c r="A1437" s="7" t="n"/>
      <c r="B1437" s="4" t="n"/>
      <c r="C1437" s="4" t="n"/>
      <c r="D1437" s="4" t="n"/>
      <c r="E1437" s="4" t="n"/>
      <c r="F1437" s="6">
        <f>IF(B1437="","",IFERROR(INDEX(Products!$E:$E,MATCH(B1437,Products!$A:$A,0)),0))</f>
        <v/>
      </c>
      <c r="G1437" s="6">
        <f>IF(B1437="","",N(C1437)*N(F1437))</f>
        <v/>
      </c>
      <c r="H1437">
        <f>IF(B1437="","",IFERROR(INDEX(Products!$B:$B,MATCH(B1437,Products!$A:$A,0)),"SKU not found"))</f>
        <v/>
      </c>
    </row>
    <row r="1438">
      <c r="A1438" s="7" t="n"/>
      <c r="B1438" s="4" t="n"/>
      <c r="C1438" s="4" t="n"/>
      <c r="D1438" s="4" t="n"/>
      <c r="E1438" s="4" t="n"/>
      <c r="F1438" s="6">
        <f>IF(B1438="","",IFERROR(INDEX(Products!$E:$E,MATCH(B1438,Products!$A:$A,0)),0))</f>
        <v/>
      </c>
      <c r="G1438" s="6">
        <f>IF(B1438="","",N(C1438)*N(F1438))</f>
        <v/>
      </c>
      <c r="H1438">
        <f>IF(B1438="","",IFERROR(INDEX(Products!$B:$B,MATCH(B1438,Products!$A:$A,0)),"SKU not found"))</f>
        <v/>
      </c>
    </row>
    <row r="1439">
      <c r="A1439" s="7" t="n"/>
      <c r="B1439" s="4" t="n"/>
      <c r="C1439" s="4" t="n"/>
      <c r="D1439" s="4" t="n"/>
      <c r="E1439" s="4" t="n"/>
      <c r="F1439" s="6">
        <f>IF(B1439="","",IFERROR(INDEX(Products!$E:$E,MATCH(B1439,Products!$A:$A,0)),0))</f>
        <v/>
      </c>
      <c r="G1439" s="6">
        <f>IF(B1439="","",N(C1439)*N(F1439))</f>
        <v/>
      </c>
      <c r="H1439">
        <f>IF(B1439="","",IFERROR(INDEX(Products!$B:$B,MATCH(B1439,Products!$A:$A,0)),"SKU not found"))</f>
        <v/>
      </c>
    </row>
    <row r="1440">
      <c r="A1440" s="7" t="n"/>
      <c r="B1440" s="4" t="n"/>
      <c r="C1440" s="4" t="n"/>
      <c r="D1440" s="4" t="n"/>
      <c r="E1440" s="4" t="n"/>
      <c r="F1440" s="6">
        <f>IF(B1440="","",IFERROR(INDEX(Products!$E:$E,MATCH(B1440,Products!$A:$A,0)),0))</f>
        <v/>
      </c>
      <c r="G1440" s="6">
        <f>IF(B1440="","",N(C1440)*N(F1440))</f>
        <v/>
      </c>
      <c r="H1440">
        <f>IF(B1440="","",IFERROR(INDEX(Products!$B:$B,MATCH(B1440,Products!$A:$A,0)),"SKU not found"))</f>
        <v/>
      </c>
    </row>
    <row r="1441">
      <c r="A1441" s="7" t="n"/>
      <c r="B1441" s="4" t="n"/>
      <c r="C1441" s="4" t="n"/>
      <c r="D1441" s="4" t="n"/>
      <c r="E1441" s="4" t="n"/>
      <c r="F1441" s="6">
        <f>IF(B1441="","",IFERROR(INDEX(Products!$E:$E,MATCH(B1441,Products!$A:$A,0)),0))</f>
        <v/>
      </c>
      <c r="G1441" s="6">
        <f>IF(B1441="","",N(C1441)*N(F1441))</f>
        <v/>
      </c>
      <c r="H1441">
        <f>IF(B1441="","",IFERROR(INDEX(Products!$B:$B,MATCH(B1441,Products!$A:$A,0)),"SKU not found"))</f>
        <v/>
      </c>
    </row>
    <row r="1442">
      <c r="A1442" s="7" t="n"/>
      <c r="B1442" s="4" t="n"/>
      <c r="C1442" s="4" t="n"/>
      <c r="D1442" s="4" t="n"/>
      <c r="E1442" s="4" t="n"/>
      <c r="F1442" s="6">
        <f>IF(B1442="","",IFERROR(INDEX(Products!$E:$E,MATCH(B1442,Products!$A:$A,0)),0))</f>
        <v/>
      </c>
      <c r="G1442" s="6">
        <f>IF(B1442="","",N(C1442)*N(F1442))</f>
        <v/>
      </c>
      <c r="H1442">
        <f>IF(B1442="","",IFERROR(INDEX(Products!$B:$B,MATCH(B1442,Products!$A:$A,0)),"SKU not found"))</f>
        <v/>
      </c>
    </row>
    <row r="1443">
      <c r="A1443" s="7" t="n"/>
      <c r="B1443" s="4" t="n"/>
      <c r="C1443" s="4" t="n"/>
      <c r="D1443" s="4" t="n"/>
      <c r="E1443" s="4" t="n"/>
      <c r="F1443" s="6">
        <f>IF(B1443="","",IFERROR(INDEX(Products!$E:$E,MATCH(B1443,Products!$A:$A,0)),0))</f>
        <v/>
      </c>
      <c r="G1443" s="6">
        <f>IF(B1443="","",N(C1443)*N(F1443))</f>
        <v/>
      </c>
      <c r="H1443">
        <f>IF(B1443="","",IFERROR(INDEX(Products!$B:$B,MATCH(B1443,Products!$A:$A,0)),"SKU not found"))</f>
        <v/>
      </c>
    </row>
    <row r="1444">
      <c r="A1444" s="7" t="n"/>
      <c r="B1444" s="4" t="n"/>
      <c r="C1444" s="4" t="n"/>
      <c r="D1444" s="4" t="n"/>
      <c r="E1444" s="4" t="n"/>
      <c r="F1444" s="6">
        <f>IF(B1444="","",IFERROR(INDEX(Products!$E:$E,MATCH(B1444,Products!$A:$A,0)),0))</f>
        <v/>
      </c>
      <c r="G1444" s="6">
        <f>IF(B1444="","",N(C1444)*N(F1444))</f>
        <v/>
      </c>
      <c r="H1444">
        <f>IF(B1444="","",IFERROR(INDEX(Products!$B:$B,MATCH(B1444,Products!$A:$A,0)),"SKU not found"))</f>
        <v/>
      </c>
    </row>
    <row r="1445">
      <c r="A1445" s="7" t="n"/>
      <c r="B1445" s="4" t="n"/>
      <c r="C1445" s="4" t="n"/>
      <c r="D1445" s="4" t="n"/>
      <c r="E1445" s="4" t="n"/>
      <c r="F1445" s="6">
        <f>IF(B1445="","",IFERROR(INDEX(Products!$E:$E,MATCH(B1445,Products!$A:$A,0)),0))</f>
        <v/>
      </c>
      <c r="G1445" s="6">
        <f>IF(B1445="","",N(C1445)*N(F1445))</f>
        <v/>
      </c>
      <c r="H1445">
        <f>IF(B1445="","",IFERROR(INDEX(Products!$B:$B,MATCH(B1445,Products!$A:$A,0)),"SKU not found"))</f>
        <v/>
      </c>
    </row>
    <row r="1446">
      <c r="A1446" s="7" t="n"/>
      <c r="B1446" s="4" t="n"/>
      <c r="C1446" s="4" t="n"/>
      <c r="D1446" s="4" t="n"/>
      <c r="E1446" s="4" t="n"/>
      <c r="F1446" s="6">
        <f>IF(B1446="","",IFERROR(INDEX(Products!$E:$E,MATCH(B1446,Products!$A:$A,0)),0))</f>
        <v/>
      </c>
      <c r="G1446" s="6">
        <f>IF(B1446="","",N(C1446)*N(F1446))</f>
        <v/>
      </c>
      <c r="H1446">
        <f>IF(B1446="","",IFERROR(INDEX(Products!$B:$B,MATCH(B1446,Products!$A:$A,0)),"SKU not found"))</f>
        <v/>
      </c>
    </row>
    <row r="1447">
      <c r="A1447" s="7" t="n"/>
      <c r="B1447" s="4" t="n"/>
      <c r="C1447" s="4" t="n"/>
      <c r="D1447" s="4" t="n"/>
      <c r="E1447" s="4" t="n"/>
      <c r="F1447" s="6">
        <f>IF(B1447="","",IFERROR(INDEX(Products!$E:$E,MATCH(B1447,Products!$A:$A,0)),0))</f>
        <v/>
      </c>
      <c r="G1447" s="6">
        <f>IF(B1447="","",N(C1447)*N(F1447))</f>
        <v/>
      </c>
      <c r="H1447">
        <f>IF(B1447="","",IFERROR(INDEX(Products!$B:$B,MATCH(B1447,Products!$A:$A,0)),"SKU not found"))</f>
        <v/>
      </c>
    </row>
    <row r="1448">
      <c r="A1448" s="7" t="n"/>
      <c r="B1448" s="4" t="n"/>
      <c r="C1448" s="4" t="n"/>
      <c r="D1448" s="4" t="n"/>
      <c r="E1448" s="4" t="n"/>
      <c r="F1448" s="6">
        <f>IF(B1448="","",IFERROR(INDEX(Products!$E:$E,MATCH(B1448,Products!$A:$A,0)),0))</f>
        <v/>
      </c>
      <c r="G1448" s="6">
        <f>IF(B1448="","",N(C1448)*N(F1448))</f>
        <v/>
      </c>
      <c r="H1448">
        <f>IF(B1448="","",IFERROR(INDEX(Products!$B:$B,MATCH(B1448,Products!$A:$A,0)),"SKU not found"))</f>
        <v/>
      </c>
    </row>
    <row r="1449">
      <c r="A1449" s="7" t="n"/>
      <c r="B1449" s="4" t="n"/>
      <c r="C1449" s="4" t="n"/>
      <c r="D1449" s="4" t="n"/>
      <c r="E1449" s="4" t="n"/>
      <c r="F1449" s="6">
        <f>IF(B1449="","",IFERROR(INDEX(Products!$E:$E,MATCH(B1449,Products!$A:$A,0)),0))</f>
        <v/>
      </c>
      <c r="G1449" s="6">
        <f>IF(B1449="","",N(C1449)*N(F1449))</f>
        <v/>
      </c>
      <c r="H1449">
        <f>IF(B1449="","",IFERROR(INDEX(Products!$B:$B,MATCH(B1449,Products!$A:$A,0)),"SKU not found"))</f>
        <v/>
      </c>
    </row>
    <row r="1450">
      <c r="A1450" s="7" t="n"/>
      <c r="B1450" s="4" t="n"/>
      <c r="C1450" s="4" t="n"/>
      <c r="D1450" s="4" t="n"/>
      <c r="E1450" s="4" t="n"/>
      <c r="F1450" s="6">
        <f>IF(B1450="","",IFERROR(INDEX(Products!$E:$E,MATCH(B1450,Products!$A:$A,0)),0))</f>
        <v/>
      </c>
      <c r="G1450" s="6">
        <f>IF(B1450="","",N(C1450)*N(F1450))</f>
        <v/>
      </c>
      <c r="H1450">
        <f>IF(B1450="","",IFERROR(INDEX(Products!$B:$B,MATCH(B1450,Products!$A:$A,0)),"SKU not found"))</f>
        <v/>
      </c>
    </row>
    <row r="1451">
      <c r="A1451" s="7" t="n"/>
      <c r="B1451" s="4" t="n"/>
      <c r="C1451" s="4" t="n"/>
      <c r="D1451" s="4" t="n"/>
      <c r="E1451" s="4" t="n"/>
      <c r="F1451" s="6">
        <f>IF(B1451="","",IFERROR(INDEX(Products!$E:$E,MATCH(B1451,Products!$A:$A,0)),0))</f>
        <v/>
      </c>
      <c r="G1451" s="6">
        <f>IF(B1451="","",N(C1451)*N(F1451))</f>
        <v/>
      </c>
      <c r="H1451">
        <f>IF(B1451="","",IFERROR(INDEX(Products!$B:$B,MATCH(B1451,Products!$A:$A,0)),"SKU not found"))</f>
        <v/>
      </c>
    </row>
    <row r="1452">
      <c r="A1452" s="7" t="n"/>
      <c r="B1452" s="4" t="n"/>
      <c r="C1452" s="4" t="n"/>
      <c r="D1452" s="4" t="n"/>
      <c r="E1452" s="4" t="n"/>
      <c r="F1452" s="6">
        <f>IF(B1452="","",IFERROR(INDEX(Products!$E:$E,MATCH(B1452,Products!$A:$A,0)),0))</f>
        <v/>
      </c>
      <c r="G1452" s="6">
        <f>IF(B1452="","",N(C1452)*N(F1452))</f>
        <v/>
      </c>
      <c r="H1452">
        <f>IF(B1452="","",IFERROR(INDEX(Products!$B:$B,MATCH(B1452,Products!$A:$A,0)),"SKU not found"))</f>
        <v/>
      </c>
    </row>
    <row r="1453">
      <c r="A1453" s="7" t="n"/>
      <c r="B1453" s="4" t="n"/>
      <c r="C1453" s="4" t="n"/>
      <c r="D1453" s="4" t="n"/>
      <c r="E1453" s="4" t="n"/>
      <c r="F1453" s="6">
        <f>IF(B1453="","",IFERROR(INDEX(Products!$E:$E,MATCH(B1453,Products!$A:$A,0)),0))</f>
        <v/>
      </c>
      <c r="G1453" s="6">
        <f>IF(B1453="","",N(C1453)*N(F1453))</f>
        <v/>
      </c>
      <c r="H1453">
        <f>IF(B1453="","",IFERROR(INDEX(Products!$B:$B,MATCH(B1453,Products!$A:$A,0)),"SKU not found"))</f>
        <v/>
      </c>
    </row>
    <row r="1454">
      <c r="A1454" s="7" t="n"/>
      <c r="B1454" s="4" t="n"/>
      <c r="C1454" s="4" t="n"/>
      <c r="D1454" s="4" t="n"/>
      <c r="E1454" s="4" t="n"/>
      <c r="F1454" s="6">
        <f>IF(B1454="","",IFERROR(INDEX(Products!$E:$E,MATCH(B1454,Products!$A:$A,0)),0))</f>
        <v/>
      </c>
      <c r="G1454" s="6">
        <f>IF(B1454="","",N(C1454)*N(F1454))</f>
        <v/>
      </c>
      <c r="H1454">
        <f>IF(B1454="","",IFERROR(INDEX(Products!$B:$B,MATCH(B1454,Products!$A:$A,0)),"SKU not found"))</f>
        <v/>
      </c>
    </row>
    <row r="1455">
      <c r="A1455" s="7" t="n"/>
      <c r="B1455" s="4" t="n"/>
      <c r="C1455" s="4" t="n"/>
      <c r="D1455" s="4" t="n"/>
      <c r="E1455" s="4" t="n"/>
      <c r="F1455" s="6">
        <f>IF(B1455="","",IFERROR(INDEX(Products!$E:$E,MATCH(B1455,Products!$A:$A,0)),0))</f>
        <v/>
      </c>
      <c r="G1455" s="6">
        <f>IF(B1455="","",N(C1455)*N(F1455))</f>
        <v/>
      </c>
      <c r="H1455">
        <f>IF(B1455="","",IFERROR(INDEX(Products!$B:$B,MATCH(B1455,Products!$A:$A,0)),"SKU not found"))</f>
        <v/>
      </c>
    </row>
    <row r="1456">
      <c r="A1456" s="7" t="n"/>
      <c r="B1456" s="4" t="n"/>
      <c r="C1456" s="4" t="n"/>
      <c r="D1456" s="4" t="n"/>
      <c r="E1456" s="4" t="n"/>
      <c r="F1456" s="6">
        <f>IF(B1456="","",IFERROR(INDEX(Products!$E:$E,MATCH(B1456,Products!$A:$A,0)),0))</f>
        <v/>
      </c>
      <c r="G1456" s="6">
        <f>IF(B1456="","",N(C1456)*N(F1456))</f>
        <v/>
      </c>
      <c r="H1456">
        <f>IF(B1456="","",IFERROR(INDEX(Products!$B:$B,MATCH(B1456,Products!$A:$A,0)),"SKU not found"))</f>
        <v/>
      </c>
    </row>
    <row r="1457">
      <c r="A1457" s="7" t="n"/>
      <c r="B1457" s="4" t="n"/>
      <c r="C1457" s="4" t="n"/>
      <c r="D1457" s="4" t="n"/>
      <c r="E1457" s="4" t="n"/>
      <c r="F1457" s="6">
        <f>IF(B1457="","",IFERROR(INDEX(Products!$E:$E,MATCH(B1457,Products!$A:$A,0)),0))</f>
        <v/>
      </c>
      <c r="G1457" s="6">
        <f>IF(B1457="","",N(C1457)*N(F1457))</f>
        <v/>
      </c>
      <c r="H1457">
        <f>IF(B1457="","",IFERROR(INDEX(Products!$B:$B,MATCH(B1457,Products!$A:$A,0)),"SKU not found"))</f>
        <v/>
      </c>
    </row>
    <row r="1458">
      <c r="A1458" s="7" t="n"/>
      <c r="B1458" s="4" t="n"/>
      <c r="C1458" s="4" t="n"/>
      <c r="D1458" s="4" t="n"/>
      <c r="E1458" s="4" t="n"/>
      <c r="F1458" s="6">
        <f>IF(B1458="","",IFERROR(INDEX(Products!$E:$E,MATCH(B1458,Products!$A:$A,0)),0))</f>
        <v/>
      </c>
      <c r="G1458" s="6">
        <f>IF(B1458="","",N(C1458)*N(F1458))</f>
        <v/>
      </c>
      <c r="H1458">
        <f>IF(B1458="","",IFERROR(INDEX(Products!$B:$B,MATCH(B1458,Products!$A:$A,0)),"SKU not found"))</f>
        <v/>
      </c>
    </row>
    <row r="1459">
      <c r="A1459" s="7" t="n"/>
      <c r="B1459" s="4" t="n"/>
      <c r="C1459" s="4" t="n"/>
      <c r="D1459" s="4" t="n"/>
      <c r="E1459" s="4" t="n"/>
      <c r="F1459" s="6">
        <f>IF(B1459="","",IFERROR(INDEX(Products!$E:$E,MATCH(B1459,Products!$A:$A,0)),0))</f>
        <v/>
      </c>
      <c r="G1459" s="6">
        <f>IF(B1459="","",N(C1459)*N(F1459))</f>
        <v/>
      </c>
      <c r="H1459">
        <f>IF(B1459="","",IFERROR(INDEX(Products!$B:$B,MATCH(B1459,Products!$A:$A,0)),"SKU not found"))</f>
        <v/>
      </c>
    </row>
    <row r="1460">
      <c r="A1460" s="7" t="n"/>
      <c r="B1460" s="4" t="n"/>
      <c r="C1460" s="4" t="n"/>
      <c r="D1460" s="4" t="n"/>
      <c r="E1460" s="4" t="n"/>
      <c r="F1460" s="6">
        <f>IF(B1460="","",IFERROR(INDEX(Products!$E:$E,MATCH(B1460,Products!$A:$A,0)),0))</f>
        <v/>
      </c>
      <c r="G1460" s="6">
        <f>IF(B1460="","",N(C1460)*N(F1460))</f>
        <v/>
      </c>
      <c r="H1460">
        <f>IF(B1460="","",IFERROR(INDEX(Products!$B:$B,MATCH(B1460,Products!$A:$A,0)),"SKU not found"))</f>
        <v/>
      </c>
    </row>
    <row r="1461">
      <c r="A1461" s="7" t="n"/>
      <c r="B1461" s="4" t="n"/>
      <c r="C1461" s="4" t="n"/>
      <c r="D1461" s="4" t="n"/>
      <c r="E1461" s="4" t="n"/>
      <c r="F1461" s="6">
        <f>IF(B1461="","",IFERROR(INDEX(Products!$E:$E,MATCH(B1461,Products!$A:$A,0)),0))</f>
        <v/>
      </c>
      <c r="G1461" s="6">
        <f>IF(B1461="","",N(C1461)*N(F1461))</f>
        <v/>
      </c>
      <c r="H1461">
        <f>IF(B1461="","",IFERROR(INDEX(Products!$B:$B,MATCH(B1461,Products!$A:$A,0)),"SKU not found"))</f>
        <v/>
      </c>
    </row>
    <row r="1462">
      <c r="A1462" s="7" t="n"/>
      <c r="B1462" s="4" t="n"/>
      <c r="C1462" s="4" t="n"/>
      <c r="D1462" s="4" t="n"/>
      <c r="E1462" s="4" t="n"/>
      <c r="F1462" s="6">
        <f>IF(B1462="","",IFERROR(INDEX(Products!$E:$E,MATCH(B1462,Products!$A:$A,0)),0))</f>
        <v/>
      </c>
      <c r="G1462" s="6">
        <f>IF(B1462="","",N(C1462)*N(F1462))</f>
        <v/>
      </c>
      <c r="H1462">
        <f>IF(B1462="","",IFERROR(INDEX(Products!$B:$B,MATCH(B1462,Products!$A:$A,0)),"SKU not found"))</f>
        <v/>
      </c>
    </row>
    <row r="1463">
      <c r="A1463" s="7" t="n"/>
      <c r="B1463" s="4" t="n"/>
      <c r="C1463" s="4" t="n"/>
      <c r="D1463" s="4" t="n"/>
      <c r="E1463" s="4" t="n"/>
      <c r="F1463" s="6">
        <f>IF(B1463="","",IFERROR(INDEX(Products!$E:$E,MATCH(B1463,Products!$A:$A,0)),0))</f>
        <v/>
      </c>
      <c r="G1463" s="6">
        <f>IF(B1463="","",N(C1463)*N(F1463))</f>
        <v/>
      </c>
      <c r="H1463">
        <f>IF(B1463="","",IFERROR(INDEX(Products!$B:$B,MATCH(B1463,Products!$A:$A,0)),"SKU not found"))</f>
        <v/>
      </c>
    </row>
    <row r="1464">
      <c r="A1464" s="7" t="n"/>
      <c r="B1464" s="4" t="n"/>
      <c r="C1464" s="4" t="n"/>
      <c r="D1464" s="4" t="n"/>
      <c r="E1464" s="4" t="n"/>
      <c r="F1464" s="6">
        <f>IF(B1464="","",IFERROR(INDEX(Products!$E:$E,MATCH(B1464,Products!$A:$A,0)),0))</f>
        <v/>
      </c>
      <c r="G1464" s="6">
        <f>IF(B1464="","",N(C1464)*N(F1464))</f>
        <v/>
      </c>
      <c r="H1464">
        <f>IF(B1464="","",IFERROR(INDEX(Products!$B:$B,MATCH(B1464,Products!$A:$A,0)),"SKU not found"))</f>
        <v/>
      </c>
    </row>
    <row r="1465">
      <c r="A1465" s="7" t="n"/>
      <c r="B1465" s="4" t="n"/>
      <c r="C1465" s="4" t="n"/>
      <c r="D1465" s="4" t="n"/>
      <c r="E1465" s="4" t="n"/>
      <c r="F1465" s="6">
        <f>IF(B1465="","",IFERROR(INDEX(Products!$E:$E,MATCH(B1465,Products!$A:$A,0)),0))</f>
        <v/>
      </c>
      <c r="G1465" s="6">
        <f>IF(B1465="","",N(C1465)*N(F1465))</f>
        <v/>
      </c>
      <c r="H1465">
        <f>IF(B1465="","",IFERROR(INDEX(Products!$B:$B,MATCH(B1465,Products!$A:$A,0)),"SKU not found"))</f>
        <v/>
      </c>
    </row>
    <row r="1466">
      <c r="A1466" s="7" t="n"/>
      <c r="B1466" s="4" t="n"/>
      <c r="C1466" s="4" t="n"/>
      <c r="D1466" s="4" t="n"/>
      <c r="E1466" s="4" t="n"/>
      <c r="F1466" s="6">
        <f>IF(B1466="","",IFERROR(INDEX(Products!$E:$E,MATCH(B1466,Products!$A:$A,0)),0))</f>
        <v/>
      </c>
      <c r="G1466" s="6">
        <f>IF(B1466="","",N(C1466)*N(F1466))</f>
        <v/>
      </c>
      <c r="H1466">
        <f>IF(B1466="","",IFERROR(INDEX(Products!$B:$B,MATCH(B1466,Products!$A:$A,0)),"SKU not found"))</f>
        <v/>
      </c>
    </row>
    <row r="1467">
      <c r="A1467" s="7" t="n"/>
      <c r="B1467" s="4" t="n"/>
      <c r="C1467" s="4" t="n"/>
      <c r="D1467" s="4" t="n"/>
      <c r="E1467" s="4" t="n"/>
      <c r="F1467" s="6">
        <f>IF(B1467="","",IFERROR(INDEX(Products!$E:$E,MATCH(B1467,Products!$A:$A,0)),0))</f>
        <v/>
      </c>
      <c r="G1467" s="6">
        <f>IF(B1467="","",N(C1467)*N(F1467))</f>
        <v/>
      </c>
      <c r="H1467">
        <f>IF(B1467="","",IFERROR(INDEX(Products!$B:$B,MATCH(B1467,Products!$A:$A,0)),"SKU not found"))</f>
        <v/>
      </c>
    </row>
    <row r="1468">
      <c r="A1468" s="7" t="n"/>
      <c r="B1468" s="4" t="n"/>
      <c r="C1468" s="4" t="n"/>
      <c r="D1468" s="4" t="n"/>
      <c r="E1468" s="4" t="n"/>
      <c r="F1468" s="6">
        <f>IF(B1468="","",IFERROR(INDEX(Products!$E:$E,MATCH(B1468,Products!$A:$A,0)),0))</f>
        <v/>
      </c>
      <c r="G1468" s="6">
        <f>IF(B1468="","",N(C1468)*N(F1468))</f>
        <v/>
      </c>
      <c r="H1468">
        <f>IF(B1468="","",IFERROR(INDEX(Products!$B:$B,MATCH(B1468,Products!$A:$A,0)),"SKU not found"))</f>
        <v/>
      </c>
    </row>
    <row r="1469">
      <c r="A1469" s="7" t="n"/>
      <c r="B1469" s="4" t="n"/>
      <c r="C1469" s="4" t="n"/>
      <c r="D1469" s="4" t="n"/>
      <c r="E1469" s="4" t="n"/>
      <c r="F1469" s="6">
        <f>IF(B1469="","",IFERROR(INDEX(Products!$E:$E,MATCH(B1469,Products!$A:$A,0)),0))</f>
        <v/>
      </c>
      <c r="G1469" s="6">
        <f>IF(B1469="","",N(C1469)*N(F1469))</f>
        <v/>
      </c>
      <c r="H1469">
        <f>IF(B1469="","",IFERROR(INDEX(Products!$B:$B,MATCH(B1469,Products!$A:$A,0)),"SKU not found"))</f>
        <v/>
      </c>
    </row>
    <row r="1470">
      <c r="A1470" s="7" t="n"/>
      <c r="B1470" s="4" t="n"/>
      <c r="C1470" s="4" t="n"/>
      <c r="D1470" s="4" t="n"/>
      <c r="E1470" s="4" t="n"/>
      <c r="F1470" s="6">
        <f>IF(B1470="","",IFERROR(INDEX(Products!$E:$E,MATCH(B1470,Products!$A:$A,0)),0))</f>
        <v/>
      </c>
      <c r="G1470" s="6">
        <f>IF(B1470="","",N(C1470)*N(F1470))</f>
        <v/>
      </c>
      <c r="H1470">
        <f>IF(B1470="","",IFERROR(INDEX(Products!$B:$B,MATCH(B1470,Products!$A:$A,0)),"SKU not found"))</f>
        <v/>
      </c>
    </row>
    <row r="1471">
      <c r="A1471" s="7" t="n"/>
      <c r="B1471" s="4" t="n"/>
      <c r="C1471" s="4" t="n"/>
      <c r="D1471" s="4" t="n"/>
      <c r="E1471" s="4" t="n"/>
      <c r="F1471" s="6">
        <f>IF(B1471="","",IFERROR(INDEX(Products!$E:$E,MATCH(B1471,Products!$A:$A,0)),0))</f>
        <v/>
      </c>
      <c r="G1471" s="6">
        <f>IF(B1471="","",N(C1471)*N(F1471))</f>
        <v/>
      </c>
      <c r="H1471">
        <f>IF(B1471="","",IFERROR(INDEX(Products!$B:$B,MATCH(B1471,Products!$A:$A,0)),"SKU not found"))</f>
        <v/>
      </c>
    </row>
    <row r="1472">
      <c r="A1472" s="7" t="n"/>
      <c r="B1472" s="4" t="n"/>
      <c r="C1472" s="4" t="n"/>
      <c r="D1472" s="4" t="n"/>
      <c r="E1472" s="4" t="n"/>
      <c r="F1472" s="6">
        <f>IF(B1472="","",IFERROR(INDEX(Products!$E:$E,MATCH(B1472,Products!$A:$A,0)),0))</f>
        <v/>
      </c>
      <c r="G1472" s="6">
        <f>IF(B1472="","",N(C1472)*N(F1472))</f>
        <v/>
      </c>
      <c r="H1472">
        <f>IF(B1472="","",IFERROR(INDEX(Products!$B:$B,MATCH(B1472,Products!$A:$A,0)),"SKU not found"))</f>
        <v/>
      </c>
    </row>
    <row r="1473">
      <c r="A1473" s="7" t="n"/>
      <c r="B1473" s="4" t="n"/>
      <c r="C1473" s="4" t="n"/>
      <c r="D1473" s="4" t="n"/>
      <c r="E1473" s="4" t="n"/>
      <c r="F1473" s="6">
        <f>IF(B1473="","",IFERROR(INDEX(Products!$E:$E,MATCH(B1473,Products!$A:$A,0)),0))</f>
        <v/>
      </c>
      <c r="G1473" s="6">
        <f>IF(B1473="","",N(C1473)*N(F1473))</f>
        <v/>
      </c>
      <c r="H1473">
        <f>IF(B1473="","",IFERROR(INDEX(Products!$B:$B,MATCH(B1473,Products!$A:$A,0)),"SKU not found"))</f>
        <v/>
      </c>
    </row>
    <row r="1474">
      <c r="A1474" s="7" t="n"/>
      <c r="B1474" s="4" t="n"/>
      <c r="C1474" s="4" t="n"/>
      <c r="D1474" s="4" t="n"/>
      <c r="E1474" s="4" t="n"/>
      <c r="F1474" s="6">
        <f>IF(B1474="","",IFERROR(INDEX(Products!$E:$E,MATCH(B1474,Products!$A:$A,0)),0))</f>
        <v/>
      </c>
      <c r="G1474" s="6">
        <f>IF(B1474="","",N(C1474)*N(F1474))</f>
        <v/>
      </c>
      <c r="H1474">
        <f>IF(B1474="","",IFERROR(INDEX(Products!$B:$B,MATCH(B1474,Products!$A:$A,0)),"SKU not found"))</f>
        <v/>
      </c>
    </row>
    <row r="1475">
      <c r="A1475" s="7" t="n"/>
      <c r="B1475" s="4" t="n"/>
      <c r="C1475" s="4" t="n"/>
      <c r="D1475" s="4" t="n"/>
      <c r="E1475" s="4" t="n"/>
      <c r="F1475" s="6">
        <f>IF(B1475="","",IFERROR(INDEX(Products!$E:$E,MATCH(B1475,Products!$A:$A,0)),0))</f>
        <v/>
      </c>
      <c r="G1475" s="6">
        <f>IF(B1475="","",N(C1475)*N(F1475))</f>
        <v/>
      </c>
      <c r="H1475">
        <f>IF(B1475="","",IFERROR(INDEX(Products!$B:$B,MATCH(B1475,Products!$A:$A,0)),"SKU not found"))</f>
        <v/>
      </c>
    </row>
    <row r="1476">
      <c r="A1476" s="7" t="n"/>
      <c r="B1476" s="4" t="n"/>
      <c r="C1476" s="4" t="n"/>
      <c r="D1476" s="4" t="n"/>
      <c r="E1476" s="4" t="n"/>
      <c r="F1476" s="6">
        <f>IF(B1476="","",IFERROR(INDEX(Products!$E:$E,MATCH(B1476,Products!$A:$A,0)),0))</f>
        <v/>
      </c>
      <c r="G1476" s="6">
        <f>IF(B1476="","",N(C1476)*N(F1476))</f>
        <v/>
      </c>
      <c r="H1476">
        <f>IF(B1476="","",IFERROR(INDEX(Products!$B:$B,MATCH(B1476,Products!$A:$A,0)),"SKU not found"))</f>
        <v/>
      </c>
    </row>
    <row r="1477">
      <c r="A1477" s="7" t="n"/>
      <c r="B1477" s="4" t="n"/>
      <c r="C1477" s="4" t="n"/>
      <c r="D1477" s="4" t="n"/>
      <c r="E1477" s="4" t="n"/>
      <c r="F1477" s="6">
        <f>IF(B1477="","",IFERROR(INDEX(Products!$E:$E,MATCH(B1477,Products!$A:$A,0)),0))</f>
        <v/>
      </c>
      <c r="G1477" s="6">
        <f>IF(B1477="","",N(C1477)*N(F1477))</f>
        <v/>
      </c>
      <c r="H1477">
        <f>IF(B1477="","",IFERROR(INDEX(Products!$B:$B,MATCH(B1477,Products!$A:$A,0)),"SKU not found"))</f>
        <v/>
      </c>
    </row>
    <row r="1478">
      <c r="A1478" s="7" t="n"/>
      <c r="B1478" s="4" t="n"/>
      <c r="C1478" s="4" t="n"/>
      <c r="D1478" s="4" t="n"/>
      <c r="E1478" s="4" t="n"/>
      <c r="F1478" s="6">
        <f>IF(B1478="","",IFERROR(INDEX(Products!$E:$E,MATCH(B1478,Products!$A:$A,0)),0))</f>
        <v/>
      </c>
      <c r="G1478" s="6">
        <f>IF(B1478="","",N(C1478)*N(F1478))</f>
        <v/>
      </c>
      <c r="H1478">
        <f>IF(B1478="","",IFERROR(INDEX(Products!$B:$B,MATCH(B1478,Products!$A:$A,0)),"SKU not found"))</f>
        <v/>
      </c>
    </row>
    <row r="1479">
      <c r="A1479" s="7" t="n"/>
      <c r="B1479" s="4" t="n"/>
      <c r="C1479" s="4" t="n"/>
      <c r="D1479" s="4" t="n"/>
      <c r="E1479" s="4" t="n"/>
      <c r="F1479" s="6">
        <f>IF(B1479="","",IFERROR(INDEX(Products!$E:$E,MATCH(B1479,Products!$A:$A,0)),0))</f>
        <v/>
      </c>
      <c r="G1479" s="6">
        <f>IF(B1479="","",N(C1479)*N(F1479))</f>
        <v/>
      </c>
      <c r="H1479">
        <f>IF(B1479="","",IFERROR(INDEX(Products!$B:$B,MATCH(B1479,Products!$A:$A,0)),"SKU not found"))</f>
        <v/>
      </c>
    </row>
    <row r="1480">
      <c r="A1480" s="7" t="n"/>
      <c r="B1480" s="4" t="n"/>
      <c r="C1480" s="4" t="n"/>
      <c r="D1480" s="4" t="n"/>
      <c r="E1480" s="4" t="n"/>
      <c r="F1480" s="6">
        <f>IF(B1480="","",IFERROR(INDEX(Products!$E:$E,MATCH(B1480,Products!$A:$A,0)),0))</f>
        <v/>
      </c>
      <c r="G1480" s="6">
        <f>IF(B1480="","",N(C1480)*N(F1480))</f>
        <v/>
      </c>
      <c r="H1480">
        <f>IF(B1480="","",IFERROR(INDEX(Products!$B:$B,MATCH(B1480,Products!$A:$A,0)),"SKU not found"))</f>
        <v/>
      </c>
    </row>
    <row r="1481">
      <c r="A1481" s="7" t="n"/>
      <c r="B1481" s="4" t="n"/>
      <c r="C1481" s="4" t="n"/>
      <c r="D1481" s="4" t="n"/>
      <c r="E1481" s="4" t="n"/>
      <c r="F1481" s="6">
        <f>IF(B1481="","",IFERROR(INDEX(Products!$E:$E,MATCH(B1481,Products!$A:$A,0)),0))</f>
        <v/>
      </c>
      <c r="G1481" s="6">
        <f>IF(B1481="","",N(C1481)*N(F1481))</f>
        <v/>
      </c>
      <c r="H1481">
        <f>IF(B1481="","",IFERROR(INDEX(Products!$B:$B,MATCH(B1481,Products!$A:$A,0)),"SKU not found"))</f>
        <v/>
      </c>
    </row>
    <row r="1482">
      <c r="A1482" s="7" t="n"/>
      <c r="B1482" s="4" t="n"/>
      <c r="C1482" s="4" t="n"/>
      <c r="D1482" s="4" t="n"/>
      <c r="E1482" s="4" t="n"/>
      <c r="F1482" s="6">
        <f>IF(B1482="","",IFERROR(INDEX(Products!$E:$E,MATCH(B1482,Products!$A:$A,0)),0))</f>
        <v/>
      </c>
      <c r="G1482" s="6">
        <f>IF(B1482="","",N(C1482)*N(F1482))</f>
        <v/>
      </c>
      <c r="H1482">
        <f>IF(B1482="","",IFERROR(INDEX(Products!$B:$B,MATCH(B1482,Products!$A:$A,0)),"SKU not found"))</f>
        <v/>
      </c>
    </row>
    <row r="1483">
      <c r="A1483" s="7" t="n"/>
      <c r="B1483" s="4" t="n"/>
      <c r="C1483" s="4" t="n"/>
      <c r="D1483" s="4" t="n"/>
      <c r="E1483" s="4" t="n"/>
      <c r="F1483" s="6">
        <f>IF(B1483="","",IFERROR(INDEX(Products!$E:$E,MATCH(B1483,Products!$A:$A,0)),0))</f>
        <v/>
      </c>
      <c r="G1483" s="6">
        <f>IF(B1483="","",N(C1483)*N(F1483))</f>
        <v/>
      </c>
      <c r="H1483">
        <f>IF(B1483="","",IFERROR(INDEX(Products!$B:$B,MATCH(B1483,Products!$A:$A,0)),"SKU not found"))</f>
        <v/>
      </c>
    </row>
    <row r="1484">
      <c r="A1484" s="7" t="n"/>
      <c r="B1484" s="4" t="n"/>
      <c r="C1484" s="4" t="n"/>
      <c r="D1484" s="4" t="n"/>
      <c r="E1484" s="4" t="n"/>
      <c r="F1484" s="6">
        <f>IF(B1484="","",IFERROR(INDEX(Products!$E:$E,MATCH(B1484,Products!$A:$A,0)),0))</f>
        <v/>
      </c>
      <c r="G1484" s="6">
        <f>IF(B1484="","",N(C1484)*N(F1484))</f>
        <v/>
      </c>
      <c r="H1484">
        <f>IF(B1484="","",IFERROR(INDEX(Products!$B:$B,MATCH(B1484,Products!$A:$A,0)),"SKU not found"))</f>
        <v/>
      </c>
    </row>
    <row r="1485">
      <c r="A1485" s="7" t="n"/>
      <c r="B1485" s="4" t="n"/>
      <c r="C1485" s="4" t="n"/>
      <c r="D1485" s="4" t="n"/>
      <c r="E1485" s="4" t="n"/>
      <c r="F1485" s="6">
        <f>IF(B1485="","",IFERROR(INDEX(Products!$E:$E,MATCH(B1485,Products!$A:$A,0)),0))</f>
        <v/>
      </c>
      <c r="G1485" s="6">
        <f>IF(B1485="","",N(C1485)*N(F1485))</f>
        <v/>
      </c>
      <c r="H1485">
        <f>IF(B1485="","",IFERROR(INDEX(Products!$B:$B,MATCH(B1485,Products!$A:$A,0)),"SKU not found"))</f>
        <v/>
      </c>
    </row>
    <row r="1486">
      <c r="A1486" s="7" t="n"/>
      <c r="B1486" s="4" t="n"/>
      <c r="C1486" s="4" t="n"/>
      <c r="D1486" s="4" t="n"/>
      <c r="E1486" s="4" t="n"/>
      <c r="F1486" s="6">
        <f>IF(B1486="","",IFERROR(INDEX(Products!$E:$E,MATCH(B1486,Products!$A:$A,0)),0))</f>
        <v/>
      </c>
      <c r="G1486" s="6">
        <f>IF(B1486="","",N(C1486)*N(F1486))</f>
        <v/>
      </c>
      <c r="H1486">
        <f>IF(B1486="","",IFERROR(INDEX(Products!$B:$B,MATCH(B1486,Products!$A:$A,0)),"SKU not found"))</f>
        <v/>
      </c>
    </row>
    <row r="1487">
      <c r="A1487" s="7" t="n"/>
      <c r="B1487" s="4" t="n"/>
      <c r="C1487" s="4" t="n"/>
      <c r="D1487" s="4" t="n"/>
      <c r="E1487" s="4" t="n"/>
      <c r="F1487" s="6">
        <f>IF(B1487="","",IFERROR(INDEX(Products!$E:$E,MATCH(B1487,Products!$A:$A,0)),0))</f>
        <v/>
      </c>
      <c r="G1487" s="6">
        <f>IF(B1487="","",N(C1487)*N(F1487))</f>
        <v/>
      </c>
      <c r="H1487">
        <f>IF(B1487="","",IFERROR(INDEX(Products!$B:$B,MATCH(B1487,Products!$A:$A,0)),"SKU not found"))</f>
        <v/>
      </c>
    </row>
    <row r="1488">
      <c r="A1488" s="7" t="n"/>
      <c r="B1488" s="4" t="n"/>
      <c r="C1488" s="4" t="n"/>
      <c r="D1488" s="4" t="n"/>
      <c r="E1488" s="4" t="n"/>
      <c r="F1488" s="6">
        <f>IF(B1488="","",IFERROR(INDEX(Products!$E:$E,MATCH(B1488,Products!$A:$A,0)),0))</f>
        <v/>
      </c>
      <c r="G1488" s="6">
        <f>IF(B1488="","",N(C1488)*N(F1488))</f>
        <v/>
      </c>
      <c r="H1488">
        <f>IF(B1488="","",IFERROR(INDEX(Products!$B:$B,MATCH(B1488,Products!$A:$A,0)),"SKU not found"))</f>
        <v/>
      </c>
    </row>
    <row r="1489">
      <c r="A1489" s="7" t="n"/>
      <c r="B1489" s="4" t="n"/>
      <c r="C1489" s="4" t="n"/>
      <c r="D1489" s="4" t="n"/>
      <c r="E1489" s="4" t="n"/>
      <c r="F1489" s="6">
        <f>IF(B1489="","",IFERROR(INDEX(Products!$E:$E,MATCH(B1489,Products!$A:$A,0)),0))</f>
        <v/>
      </c>
      <c r="G1489" s="6">
        <f>IF(B1489="","",N(C1489)*N(F1489))</f>
        <v/>
      </c>
      <c r="H1489">
        <f>IF(B1489="","",IFERROR(INDEX(Products!$B:$B,MATCH(B1489,Products!$A:$A,0)),"SKU not found"))</f>
        <v/>
      </c>
    </row>
    <row r="1490">
      <c r="A1490" s="7" t="n"/>
      <c r="B1490" s="4" t="n"/>
      <c r="C1490" s="4" t="n"/>
      <c r="D1490" s="4" t="n"/>
      <c r="E1490" s="4" t="n"/>
      <c r="F1490" s="6">
        <f>IF(B1490="","",IFERROR(INDEX(Products!$E:$E,MATCH(B1490,Products!$A:$A,0)),0))</f>
        <v/>
      </c>
      <c r="G1490" s="6">
        <f>IF(B1490="","",N(C1490)*N(F1490))</f>
        <v/>
      </c>
      <c r="H1490">
        <f>IF(B1490="","",IFERROR(INDEX(Products!$B:$B,MATCH(B1490,Products!$A:$A,0)),"SKU not found"))</f>
        <v/>
      </c>
    </row>
    <row r="1491">
      <c r="A1491" s="7" t="n"/>
      <c r="B1491" s="4" t="n"/>
      <c r="C1491" s="4" t="n"/>
      <c r="D1491" s="4" t="n"/>
      <c r="E1491" s="4" t="n"/>
      <c r="F1491" s="6">
        <f>IF(B1491="","",IFERROR(INDEX(Products!$E:$E,MATCH(B1491,Products!$A:$A,0)),0))</f>
        <v/>
      </c>
      <c r="G1491" s="6">
        <f>IF(B1491="","",N(C1491)*N(F1491))</f>
        <v/>
      </c>
      <c r="H1491">
        <f>IF(B1491="","",IFERROR(INDEX(Products!$B:$B,MATCH(B1491,Products!$A:$A,0)),"SKU not found"))</f>
        <v/>
      </c>
    </row>
    <row r="1492">
      <c r="A1492" s="7" t="n"/>
      <c r="B1492" s="4" t="n"/>
      <c r="C1492" s="4" t="n"/>
      <c r="D1492" s="4" t="n"/>
      <c r="E1492" s="4" t="n"/>
      <c r="F1492" s="6">
        <f>IF(B1492="","",IFERROR(INDEX(Products!$E:$E,MATCH(B1492,Products!$A:$A,0)),0))</f>
        <v/>
      </c>
      <c r="G1492" s="6">
        <f>IF(B1492="","",N(C1492)*N(F1492))</f>
        <v/>
      </c>
      <c r="H1492">
        <f>IF(B1492="","",IFERROR(INDEX(Products!$B:$B,MATCH(B1492,Products!$A:$A,0)),"SKU not found"))</f>
        <v/>
      </c>
    </row>
    <row r="1493">
      <c r="A1493" s="7" t="n"/>
      <c r="B1493" s="4" t="n"/>
      <c r="C1493" s="4" t="n"/>
      <c r="D1493" s="4" t="n"/>
      <c r="E1493" s="4" t="n"/>
      <c r="F1493" s="6">
        <f>IF(B1493="","",IFERROR(INDEX(Products!$E:$E,MATCH(B1493,Products!$A:$A,0)),0))</f>
        <v/>
      </c>
      <c r="G1493" s="6">
        <f>IF(B1493="","",N(C1493)*N(F1493))</f>
        <v/>
      </c>
      <c r="H1493">
        <f>IF(B1493="","",IFERROR(INDEX(Products!$B:$B,MATCH(B1493,Products!$A:$A,0)),"SKU not found"))</f>
        <v/>
      </c>
    </row>
    <row r="1494">
      <c r="A1494" s="7" t="n"/>
      <c r="B1494" s="4" t="n"/>
      <c r="C1494" s="4" t="n"/>
      <c r="D1494" s="4" t="n"/>
      <c r="E1494" s="4" t="n"/>
      <c r="F1494" s="6">
        <f>IF(B1494="","",IFERROR(INDEX(Products!$E:$E,MATCH(B1494,Products!$A:$A,0)),0))</f>
        <v/>
      </c>
      <c r="G1494" s="6">
        <f>IF(B1494="","",N(C1494)*N(F1494))</f>
        <v/>
      </c>
      <c r="H1494">
        <f>IF(B1494="","",IFERROR(INDEX(Products!$B:$B,MATCH(B1494,Products!$A:$A,0)),"SKU not found"))</f>
        <v/>
      </c>
    </row>
    <row r="1495">
      <c r="A1495" s="7" t="n"/>
      <c r="B1495" s="4" t="n"/>
      <c r="C1495" s="4" t="n"/>
      <c r="D1495" s="4" t="n"/>
      <c r="E1495" s="4" t="n"/>
      <c r="F1495" s="6">
        <f>IF(B1495="","",IFERROR(INDEX(Products!$E:$E,MATCH(B1495,Products!$A:$A,0)),0))</f>
        <v/>
      </c>
      <c r="G1495" s="6">
        <f>IF(B1495="","",N(C1495)*N(F1495))</f>
        <v/>
      </c>
      <c r="H1495">
        <f>IF(B1495="","",IFERROR(INDEX(Products!$B:$B,MATCH(B1495,Products!$A:$A,0)),"SKU not found"))</f>
        <v/>
      </c>
    </row>
    <row r="1496">
      <c r="A1496" s="7" t="n"/>
      <c r="B1496" s="4" t="n"/>
      <c r="C1496" s="4" t="n"/>
      <c r="D1496" s="4" t="n"/>
      <c r="E1496" s="4" t="n"/>
      <c r="F1496" s="6">
        <f>IF(B1496="","",IFERROR(INDEX(Products!$E:$E,MATCH(B1496,Products!$A:$A,0)),0))</f>
        <v/>
      </c>
      <c r="G1496" s="6">
        <f>IF(B1496="","",N(C1496)*N(F1496))</f>
        <v/>
      </c>
      <c r="H1496">
        <f>IF(B1496="","",IFERROR(INDEX(Products!$B:$B,MATCH(B1496,Products!$A:$A,0)),"SKU not found"))</f>
        <v/>
      </c>
    </row>
    <row r="1497">
      <c r="A1497" s="7" t="n"/>
      <c r="B1497" s="4" t="n"/>
      <c r="C1497" s="4" t="n"/>
      <c r="D1497" s="4" t="n"/>
      <c r="E1497" s="4" t="n"/>
      <c r="F1497" s="6">
        <f>IF(B1497="","",IFERROR(INDEX(Products!$E:$E,MATCH(B1497,Products!$A:$A,0)),0))</f>
        <v/>
      </c>
      <c r="G1497" s="6">
        <f>IF(B1497="","",N(C1497)*N(F1497))</f>
        <v/>
      </c>
      <c r="H1497">
        <f>IF(B1497="","",IFERROR(INDEX(Products!$B:$B,MATCH(B1497,Products!$A:$A,0)),"SKU not found"))</f>
        <v/>
      </c>
    </row>
    <row r="1498">
      <c r="A1498" s="7" t="n"/>
      <c r="B1498" s="4" t="n"/>
      <c r="C1498" s="4" t="n"/>
      <c r="D1498" s="4" t="n"/>
      <c r="E1498" s="4" t="n"/>
      <c r="F1498" s="6">
        <f>IF(B1498="","",IFERROR(INDEX(Products!$E:$E,MATCH(B1498,Products!$A:$A,0)),0))</f>
        <v/>
      </c>
      <c r="G1498" s="6">
        <f>IF(B1498="","",N(C1498)*N(F1498))</f>
        <v/>
      </c>
      <c r="H1498">
        <f>IF(B1498="","",IFERROR(INDEX(Products!$B:$B,MATCH(B1498,Products!$A:$A,0)),"SKU not found"))</f>
        <v/>
      </c>
    </row>
    <row r="1499">
      <c r="A1499" s="7" t="n"/>
      <c r="B1499" s="4" t="n"/>
      <c r="C1499" s="4" t="n"/>
      <c r="D1499" s="4" t="n"/>
      <c r="E1499" s="4" t="n"/>
      <c r="F1499" s="6">
        <f>IF(B1499="","",IFERROR(INDEX(Products!$E:$E,MATCH(B1499,Products!$A:$A,0)),0))</f>
        <v/>
      </c>
      <c r="G1499" s="6">
        <f>IF(B1499="","",N(C1499)*N(F1499))</f>
        <v/>
      </c>
      <c r="H1499">
        <f>IF(B1499="","",IFERROR(INDEX(Products!$B:$B,MATCH(B1499,Products!$A:$A,0)),"SKU not found"))</f>
        <v/>
      </c>
    </row>
    <row r="1500">
      <c r="A1500" s="7" t="n"/>
      <c r="B1500" s="4" t="n"/>
      <c r="C1500" s="4" t="n"/>
      <c r="D1500" s="4" t="n"/>
      <c r="E1500" s="4" t="n"/>
      <c r="F1500" s="6">
        <f>IF(B1500="","",IFERROR(INDEX(Products!$E:$E,MATCH(B1500,Products!$A:$A,0)),0))</f>
        <v/>
      </c>
      <c r="G1500" s="6">
        <f>IF(B1500="","",N(C1500)*N(F1500))</f>
        <v/>
      </c>
      <c r="H1500">
        <f>IF(B1500="","",IFERROR(INDEX(Products!$B:$B,MATCH(B1500,Products!$A:$A,0)),"SKU not found"))</f>
        <v/>
      </c>
    </row>
    <row r="1501">
      <c r="A1501" s="7" t="n"/>
      <c r="B1501" s="4" t="n"/>
      <c r="C1501" s="4" t="n"/>
      <c r="D1501" s="4" t="n"/>
      <c r="E1501" s="4" t="n"/>
      <c r="F1501" s="6">
        <f>IF(B1501="","",IFERROR(INDEX(Products!$E:$E,MATCH(B1501,Products!$A:$A,0)),0))</f>
        <v/>
      </c>
      <c r="G1501" s="6">
        <f>IF(B1501="","",N(C1501)*N(F1501))</f>
        <v/>
      </c>
      <c r="H1501">
        <f>IF(B1501="","",IFERROR(INDEX(Products!$B:$B,MATCH(B1501,Products!$A:$A,0)),"SKU not found"))</f>
        <v/>
      </c>
    </row>
    <row r="1502">
      <c r="A1502" s="7" t="n"/>
      <c r="B1502" s="4" t="n"/>
      <c r="C1502" s="4" t="n"/>
      <c r="D1502" s="4" t="n"/>
      <c r="E1502" s="4" t="n"/>
      <c r="F1502" s="6">
        <f>IF(B1502="","",IFERROR(INDEX(Products!$E:$E,MATCH(B1502,Products!$A:$A,0)),0))</f>
        <v/>
      </c>
      <c r="G1502" s="6">
        <f>IF(B1502="","",N(C1502)*N(F1502))</f>
        <v/>
      </c>
      <c r="H1502">
        <f>IF(B1502="","",IFERROR(INDEX(Products!$B:$B,MATCH(B1502,Products!$A:$A,0)),"SKU not found"))</f>
        <v/>
      </c>
    </row>
    <row r="1503">
      <c r="A1503" s="7" t="n"/>
      <c r="B1503" s="4" t="n"/>
      <c r="C1503" s="4" t="n"/>
      <c r="D1503" s="4" t="n"/>
      <c r="E1503" s="4" t="n"/>
      <c r="F1503" s="6">
        <f>IF(B1503="","",IFERROR(INDEX(Products!$E:$E,MATCH(B1503,Products!$A:$A,0)),0))</f>
        <v/>
      </c>
      <c r="G1503" s="6">
        <f>IF(B1503="","",N(C1503)*N(F1503))</f>
        <v/>
      </c>
      <c r="H1503">
        <f>IF(B1503="","",IFERROR(INDEX(Products!$B:$B,MATCH(B1503,Products!$A:$A,0)),"SKU not found"))</f>
        <v/>
      </c>
    </row>
    <row r="1504">
      <c r="A1504" s="7" t="n"/>
      <c r="B1504" s="4" t="n"/>
      <c r="C1504" s="4" t="n"/>
      <c r="D1504" s="4" t="n"/>
      <c r="E1504" s="4" t="n"/>
      <c r="F1504" s="6">
        <f>IF(B1504="","",IFERROR(INDEX(Products!$E:$E,MATCH(B1504,Products!$A:$A,0)),0))</f>
        <v/>
      </c>
      <c r="G1504" s="6">
        <f>IF(B1504="","",N(C1504)*N(F1504))</f>
        <v/>
      </c>
      <c r="H1504">
        <f>IF(B1504="","",IFERROR(INDEX(Products!$B:$B,MATCH(B1504,Products!$A:$A,0)),"SKU not found"))</f>
        <v/>
      </c>
    </row>
    <row r="1505">
      <c r="A1505" s="7" t="n"/>
      <c r="B1505" s="4" t="n"/>
      <c r="C1505" s="4" t="n"/>
      <c r="D1505" s="4" t="n"/>
      <c r="E1505" s="4" t="n"/>
      <c r="F1505" s="6">
        <f>IF(B1505="","",IFERROR(INDEX(Products!$E:$E,MATCH(B1505,Products!$A:$A,0)),0))</f>
        <v/>
      </c>
      <c r="G1505" s="6">
        <f>IF(B1505="","",N(C1505)*N(F1505))</f>
        <v/>
      </c>
      <c r="H1505">
        <f>IF(B1505="","",IFERROR(INDEX(Products!$B:$B,MATCH(B1505,Products!$A:$A,0)),"SKU not found"))</f>
        <v/>
      </c>
    </row>
    <row r="1506">
      <c r="A1506" s="7" t="n"/>
      <c r="B1506" s="4" t="n"/>
      <c r="C1506" s="4" t="n"/>
      <c r="D1506" s="4" t="n"/>
      <c r="E1506" s="4" t="n"/>
      <c r="F1506" s="6">
        <f>IF(B1506="","",IFERROR(INDEX(Products!$E:$E,MATCH(B1506,Products!$A:$A,0)),0))</f>
        <v/>
      </c>
      <c r="G1506" s="6">
        <f>IF(B1506="","",N(C1506)*N(F1506))</f>
        <v/>
      </c>
      <c r="H1506">
        <f>IF(B1506="","",IFERROR(INDEX(Products!$B:$B,MATCH(B1506,Products!$A:$A,0)),"SKU not found"))</f>
        <v/>
      </c>
    </row>
    <row r="1507">
      <c r="A1507" s="7" t="n"/>
      <c r="B1507" s="4" t="n"/>
      <c r="C1507" s="4" t="n"/>
      <c r="D1507" s="4" t="n"/>
      <c r="E1507" s="4" t="n"/>
      <c r="F1507" s="6">
        <f>IF(B1507="","",IFERROR(INDEX(Products!$E:$E,MATCH(B1507,Products!$A:$A,0)),0))</f>
        <v/>
      </c>
      <c r="G1507" s="6">
        <f>IF(B1507="","",N(C1507)*N(F1507))</f>
        <v/>
      </c>
      <c r="H1507">
        <f>IF(B1507="","",IFERROR(INDEX(Products!$B:$B,MATCH(B1507,Products!$A:$A,0)),"SKU not found"))</f>
        <v/>
      </c>
    </row>
    <row r="1508">
      <c r="A1508" s="7" t="n"/>
      <c r="B1508" s="4" t="n"/>
      <c r="C1508" s="4" t="n"/>
      <c r="D1508" s="4" t="n"/>
      <c r="E1508" s="4" t="n"/>
      <c r="F1508" s="6">
        <f>IF(B1508="","",IFERROR(INDEX(Products!$E:$E,MATCH(B1508,Products!$A:$A,0)),0))</f>
        <v/>
      </c>
      <c r="G1508" s="6">
        <f>IF(B1508="","",N(C1508)*N(F1508))</f>
        <v/>
      </c>
      <c r="H1508">
        <f>IF(B1508="","",IFERROR(INDEX(Products!$B:$B,MATCH(B1508,Products!$A:$A,0)),"SKU not found"))</f>
        <v/>
      </c>
    </row>
    <row r="1509">
      <c r="A1509" s="7" t="n"/>
      <c r="B1509" s="4" t="n"/>
      <c r="C1509" s="4" t="n"/>
      <c r="D1509" s="4" t="n"/>
      <c r="E1509" s="4" t="n"/>
      <c r="F1509" s="6">
        <f>IF(B1509="","",IFERROR(INDEX(Products!$E:$E,MATCH(B1509,Products!$A:$A,0)),0))</f>
        <v/>
      </c>
      <c r="G1509" s="6">
        <f>IF(B1509="","",N(C1509)*N(F1509))</f>
        <v/>
      </c>
      <c r="H1509">
        <f>IF(B1509="","",IFERROR(INDEX(Products!$B:$B,MATCH(B1509,Products!$A:$A,0)),"SKU not found"))</f>
        <v/>
      </c>
    </row>
    <row r="1510">
      <c r="A1510" s="7" t="n"/>
      <c r="B1510" s="4" t="n"/>
      <c r="C1510" s="4" t="n"/>
      <c r="D1510" s="4" t="n"/>
      <c r="E1510" s="4" t="n"/>
      <c r="F1510" s="6">
        <f>IF(B1510="","",IFERROR(INDEX(Products!$E:$E,MATCH(B1510,Products!$A:$A,0)),0))</f>
        <v/>
      </c>
      <c r="G1510" s="6">
        <f>IF(B1510="","",N(C1510)*N(F1510))</f>
        <v/>
      </c>
      <c r="H1510">
        <f>IF(B1510="","",IFERROR(INDEX(Products!$B:$B,MATCH(B1510,Products!$A:$A,0)),"SKU not found"))</f>
        <v/>
      </c>
    </row>
    <row r="1511">
      <c r="A1511" s="7" t="n"/>
      <c r="B1511" s="4" t="n"/>
      <c r="C1511" s="4" t="n"/>
      <c r="D1511" s="4" t="n"/>
      <c r="E1511" s="4" t="n"/>
      <c r="F1511" s="6">
        <f>IF(B1511="","",IFERROR(INDEX(Products!$E:$E,MATCH(B1511,Products!$A:$A,0)),0))</f>
        <v/>
      </c>
      <c r="G1511" s="6">
        <f>IF(B1511="","",N(C1511)*N(F1511))</f>
        <v/>
      </c>
      <c r="H1511">
        <f>IF(B1511="","",IFERROR(INDEX(Products!$B:$B,MATCH(B1511,Products!$A:$A,0)),"SKU not found"))</f>
        <v/>
      </c>
    </row>
    <row r="1512">
      <c r="A1512" s="7" t="n"/>
      <c r="B1512" s="4" t="n"/>
      <c r="C1512" s="4" t="n"/>
      <c r="D1512" s="4" t="n"/>
      <c r="E1512" s="4" t="n"/>
      <c r="F1512" s="6">
        <f>IF(B1512="","",IFERROR(INDEX(Products!$E:$E,MATCH(B1512,Products!$A:$A,0)),0))</f>
        <v/>
      </c>
      <c r="G1512" s="6">
        <f>IF(B1512="","",N(C1512)*N(F1512))</f>
        <v/>
      </c>
      <c r="H1512">
        <f>IF(B1512="","",IFERROR(INDEX(Products!$B:$B,MATCH(B1512,Products!$A:$A,0)),"SKU not found"))</f>
        <v/>
      </c>
    </row>
    <row r="1513">
      <c r="A1513" s="7" t="n"/>
      <c r="B1513" s="4" t="n"/>
      <c r="C1513" s="4" t="n"/>
      <c r="D1513" s="4" t="n"/>
      <c r="E1513" s="4" t="n"/>
      <c r="F1513" s="6">
        <f>IF(B1513="","",IFERROR(INDEX(Products!$E:$E,MATCH(B1513,Products!$A:$A,0)),0))</f>
        <v/>
      </c>
      <c r="G1513" s="6">
        <f>IF(B1513="","",N(C1513)*N(F1513))</f>
        <v/>
      </c>
      <c r="H1513">
        <f>IF(B1513="","",IFERROR(INDEX(Products!$B:$B,MATCH(B1513,Products!$A:$A,0)),"SKU not found"))</f>
        <v/>
      </c>
    </row>
    <row r="1514">
      <c r="A1514" s="7" t="n"/>
      <c r="B1514" s="4" t="n"/>
      <c r="C1514" s="4" t="n"/>
      <c r="D1514" s="4" t="n"/>
      <c r="E1514" s="4" t="n"/>
      <c r="F1514" s="6">
        <f>IF(B1514="","",IFERROR(INDEX(Products!$E:$E,MATCH(B1514,Products!$A:$A,0)),0))</f>
        <v/>
      </c>
      <c r="G1514" s="6">
        <f>IF(B1514="","",N(C1514)*N(F1514))</f>
        <v/>
      </c>
      <c r="H1514">
        <f>IF(B1514="","",IFERROR(INDEX(Products!$B:$B,MATCH(B1514,Products!$A:$A,0)),"SKU not found"))</f>
        <v/>
      </c>
    </row>
    <row r="1515">
      <c r="A1515" s="7" t="n"/>
      <c r="B1515" s="4" t="n"/>
      <c r="C1515" s="4" t="n"/>
      <c r="D1515" s="4" t="n"/>
      <c r="E1515" s="4" t="n"/>
      <c r="F1515" s="6">
        <f>IF(B1515="","",IFERROR(INDEX(Products!$E:$E,MATCH(B1515,Products!$A:$A,0)),0))</f>
        <v/>
      </c>
      <c r="G1515" s="6">
        <f>IF(B1515="","",N(C1515)*N(F1515))</f>
        <v/>
      </c>
      <c r="H1515">
        <f>IF(B1515="","",IFERROR(INDEX(Products!$B:$B,MATCH(B1515,Products!$A:$A,0)),"SKU not found"))</f>
        <v/>
      </c>
    </row>
    <row r="1516">
      <c r="A1516" s="7" t="n"/>
      <c r="B1516" s="4" t="n"/>
      <c r="C1516" s="4" t="n"/>
      <c r="D1516" s="4" t="n"/>
      <c r="E1516" s="4" t="n"/>
      <c r="F1516" s="6">
        <f>IF(B1516="","",IFERROR(INDEX(Products!$E:$E,MATCH(B1516,Products!$A:$A,0)),0))</f>
        <v/>
      </c>
      <c r="G1516" s="6">
        <f>IF(B1516="","",N(C1516)*N(F1516))</f>
        <v/>
      </c>
      <c r="H1516">
        <f>IF(B1516="","",IFERROR(INDEX(Products!$B:$B,MATCH(B1516,Products!$A:$A,0)),"SKU not found"))</f>
        <v/>
      </c>
    </row>
    <row r="1517">
      <c r="A1517" s="7" t="n"/>
      <c r="B1517" s="4" t="n"/>
      <c r="C1517" s="4" t="n"/>
      <c r="D1517" s="4" t="n"/>
      <c r="E1517" s="4" t="n"/>
      <c r="F1517" s="6">
        <f>IF(B1517="","",IFERROR(INDEX(Products!$E:$E,MATCH(B1517,Products!$A:$A,0)),0))</f>
        <v/>
      </c>
      <c r="G1517" s="6">
        <f>IF(B1517="","",N(C1517)*N(F1517))</f>
        <v/>
      </c>
      <c r="H1517">
        <f>IF(B1517="","",IFERROR(INDEX(Products!$B:$B,MATCH(B1517,Products!$A:$A,0)),"SKU not found"))</f>
        <v/>
      </c>
    </row>
    <row r="1518">
      <c r="A1518" s="7" t="n"/>
      <c r="B1518" s="4" t="n"/>
      <c r="C1518" s="4" t="n"/>
      <c r="D1518" s="4" t="n"/>
      <c r="E1518" s="4" t="n"/>
      <c r="F1518" s="6">
        <f>IF(B1518="","",IFERROR(INDEX(Products!$E:$E,MATCH(B1518,Products!$A:$A,0)),0))</f>
        <v/>
      </c>
      <c r="G1518" s="6">
        <f>IF(B1518="","",N(C1518)*N(F1518))</f>
        <v/>
      </c>
      <c r="H1518">
        <f>IF(B1518="","",IFERROR(INDEX(Products!$B:$B,MATCH(B1518,Products!$A:$A,0)),"SKU not found"))</f>
        <v/>
      </c>
    </row>
    <row r="1519">
      <c r="A1519" s="7" t="n"/>
      <c r="B1519" s="4" t="n"/>
      <c r="C1519" s="4" t="n"/>
      <c r="D1519" s="4" t="n"/>
      <c r="E1519" s="4" t="n"/>
      <c r="F1519" s="6">
        <f>IF(B1519="","",IFERROR(INDEX(Products!$E:$E,MATCH(B1519,Products!$A:$A,0)),0))</f>
        <v/>
      </c>
      <c r="G1519" s="6">
        <f>IF(B1519="","",N(C1519)*N(F1519))</f>
        <v/>
      </c>
      <c r="H1519">
        <f>IF(B1519="","",IFERROR(INDEX(Products!$B:$B,MATCH(B1519,Products!$A:$A,0)),"SKU not found"))</f>
        <v/>
      </c>
    </row>
    <row r="1520">
      <c r="A1520" s="7" t="n"/>
      <c r="B1520" s="4" t="n"/>
      <c r="C1520" s="4" t="n"/>
      <c r="D1520" s="4" t="n"/>
      <c r="E1520" s="4" t="n"/>
      <c r="F1520" s="6">
        <f>IF(B1520="","",IFERROR(INDEX(Products!$E:$E,MATCH(B1520,Products!$A:$A,0)),0))</f>
        <v/>
      </c>
      <c r="G1520" s="6">
        <f>IF(B1520="","",N(C1520)*N(F1520))</f>
        <v/>
      </c>
      <c r="H1520">
        <f>IF(B1520="","",IFERROR(INDEX(Products!$B:$B,MATCH(B1520,Products!$A:$A,0)),"SKU not found"))</f>
        <v/>
      </c>
    </row>
    <row r="1521">
      <c r="A1521" s="7" t="n"/>
      <c r="B1521" s="4" t="n"/>
      <c r="C1521" s="4" t="n"/>
      <c r="D1521" s="4" t="n"/>
      <c r="E1521" s="4" t="n"/>
      <c r="F1521" s="6">
        <f>IF(B1521="","",IFERROR(INDEX(Products!$E:$E,MATCH(B1521,Products!$A:$A,0)),0))</f>
        <v/>
      </c>
      <c r="G1521" s="6">
        <f>IF(B1521="","",N(C1521)*N(F1521))</f>
        <v/>
      </c>
      <c r="H1521">
        <f>IF(B1521="","",IFERROR(INDEX(Products!$B:$B,MATCH(B1521,Products!$A:$A,0)),"SKU not found"))</f>
        <v/>
      </c>
    </row>
    <row r="1522">
      <c r="A1522" s="7" t="n"/>
      <c r="B1522" s="4" t="n"/>
      <c r="C1522" s="4" t="n"/>
      <c r="D1522" s="4" t="n"/>
      <c r="E1522" s="4" t="n"/>
      <c r="F1522" s="6">
        <f>IF(B1522="","",IFERROR(INDEX(Products!$E:$E,MATCH(B1522,Products!$A:$A,0)),0))</f>
        <v/>
      </c>
      <c r="G1522" s="6">
        <f>IF(B1522="","",N(C1522)*N(F1522))</f>
        <v/>
      </c>
      <c r="H1522">
        <f>IF(B1522="","",IFERROR(INDEX(Products!$B:$B,MATCH(B1522,Products!$A:$A,0)),"SKU not found"))</f>
        <v/>
      </c>
    </row>
    <row r="1523">
      <c r="A1523" s="7" t="n"/>
      <c r="B1523" s="4" t="n"/>
      <c r="C1523" s="4" t="n"/>
      <c r="D1523" s="4" t="n"/>
      <c r="E1523" s="4" t="n"/>
      <c r="F1523" s="6">
        <f>IF(B1523="","",IFERROR(INDEX(Products!$E:$E,MATCH(B1523,Products!$A:$A,0)),0))</f>
        <v/>
      </c>
      <c r="G1523" s="6">
        <f>IF(B1523="","",N(C1523)*N(F1523))</f>
        <v/>
      </c>
      <c r="H1523">
        <f>IF(B1523="","",IFERROR(INDEX(Products!$B:$B,MATCH(B1523,Products!$A:$A,0)),"SKU not found"))</f>
        <v/>
      </c>
    </row>
    <row r="1524">
      <c r="A1524" s="7" t="n"/>
      <c r="B1524" s="4" t="n"/>
      <c r="C1524" s="4" t="n"/>
      <c r="D1524" s="4" t="n"/>
      <c r="E1524" s="4" t="n"/>
      <c r="F1524" s="6">
        <f>IF(B1524="","",IFERROR(INDEX(Products!$E:$E,MATCH(B1524,Products!$A:$A,0)),0))</f>
        <v/>
      </c>
      <c r="G1524" s="6">
        <f>IF(B1524="","",N(C1524)*N(F1524))</f>
        <v/>
      </c>
      <c r="H1524">
        <f>IF(B1524="","",IFERROR(INDEX(Products!$B:$B,MATCH(B1524,Products!$A:$A,0)),"SKU not found"))</f>
        <v/>
      </c>
    </row>
    <row r="1525">
      <c r="A1525" s="7" t="n"/>
      <c r="B1525" s="4" t="n"/>
      <c r="C1525" s="4" t="n"/>
      <c r="D1525" s="4" t="n"/>
      <c r="E1525" s="4" t="n"/>
      <c r="F1525" s="6">
        <f>IF(B1525="","",IFERROR(INDEX(Products!$E:$E,MATCH(B1525,Products!$A:$A,0)),0))</f>
        <v/>
      </c>
      <c r="G1525" s="6">
        <f>IF(B1525="","",N(C1525)*N(F1525))</f>
        <v/>
      </c>
      <c r="H1525">
        <f>IF(B1525="","",IFERROR(INDEX(Products!$B:$B,MATCH(B1525,Products!$A:$A,0)),"SKU not found"))</f>
        <v/>
      </c>
    </row>
    <row r="1526">
      <c r="A1526" s="7" t="n"/>
      <c r="B1526" s="4" t="n"/>
      <c r="C1526" s="4" t="n"/>
      <c r="D1526" s="4" t="n"/>
      <c r="E1526" s="4" t="n"/>
      <c r="F1526" s="6">
        <f>IF(B1526="","",IFERROR(INDEX(Products!$E:$E,MATCH(B1526,Products!$A:$A,0)),0))</f>
        <v/>
      </c>
      <c r="G1526" s="6">
        <f>IF(B1526="","",N(C1526)*N(F1526))</f>
        <v/>
      </c>
      <c r="H1526">
        <f>IF(B1526="","",IFERROR(INDEX(Products!$B:$B,MATCH(B1526,Products!$A:$A,0)),"SKU not found"))</f>
        <v/>
      </c>
    </row>
    <row r="1527">
      <c r="A1527" s="7" t="n"/>
      <c r="B1527" s="4" t="n"/>
      <c r="C1527" s="4" t="n"/>
      <c r="D1527" s="4" t="n"/>
      <c r="E1527" s="4" t="n"/>
      <c r="F1527" s="6">
        <f>IF(B1527="","",IFERROR(INDEX(Products!$E:$E,MATCH(B1527,Products!$A:$A,0)),0))</f>
        <v/>
      </c>
      <c r="G1527" s="6">
        <f>IF(B1527="","",N(C1527)*N(F1527))</f>
        <v/>
      </c>
      <c r="H1527">
        <f>IF(B1527="","",IFERROR(INDEX(Products!$B:$B,MATCH(B1527,Products!$A:$A,0)),"SKU not found"))</f>
        <v/>
      </c>
    </row>
    <row r="1528">
      <c r="A1528" s="7" t="n"/>
      <c r="B1528" s="4" t="n"/>
      <c r="C1528" s="4" t="n"/>
      <c r="D1528" s="4" t="n"/>
      <c r="E1528" s="4" t="n"/>
      <c r="F1528" s="6">
        <f>IF(B1528="","",IFERROR(INDEX(Products!$E:$E,MATCH(B1528,Products!$A:$A,0)),0))</f>
        <v/>
      </c>
      <c r="G1528" s="6">
        <f>IF(B1528="","",N(C1528)*N(F1528))</f>
        <v/>
      </c>
      <c r="H1528">
        <f>IF(B1528="","",IFERROR(INDEX(Products!$B:$B,MATCH(B1528,Products!$A:$A,0)),"SKU not found"))</f>
        <v/>
      </c>
    </row>
    <row r="1529">
      <c r="A1529" s="7" t="n"/>
      <c r="B1529" s="4" t="n"/>
      <c r="C1529" s="4" t="n"/>
      <c r="D1529" s="4" t="n"/>
      <c r="E1529" s="4" t="n"/>
      <c r="F1529" s="6">
        <f>IF(B1529="","",IFERROR(INDEX(Products!$E:$E,MATCH(B1529,Products!$A:$A,0)),0))</f>
        <v/>
      </c>
      <c r="G1529" s="6">
        <f>IF(B1529="","",N(C1529)*N(F1529))</f>
        <v/>
      </c>
      <c r="H1529">
        <f>IF(B1529="","",IFERROR(INDEX(Products!$B:$B,MATCH(B1529,Products!$A:$A,0)),"SKU not found"))</f>
        <v/>
      </c>
    </row>
    <row r="1530">
      <c r="A1530" s="7" t="n"/>
      <c r="B1530" s="4" t="n"/>
      <c r="C1530" s="4" t="n"/>
      <c r="D1530" s="4" t="n"/>
      <c r="E1530" s="4" t="n"/>
      <c r="F1530" s="6">
        <f>IF(B1530="","",IFERROR(INDEX(Products!$E:$E,MATCH(B1530,Products!$A:$A,0)),0))</f>
        <v/>
      </c>
      <c r="G1530" s="6">
        <f>IF(B1530="","",N(C1530)*N(F1530))</f>
        <v/>
      </c>
      <c r="H1530">
        <f>IF(B1530="","",IFERROR(INDEX(Products!$B:$B,MATCH(B1530,Products!$A:$A,0)),"SKU not found"))</f>
        <v/>
      </c>
    </row>
    <row r="1531">
      <c r="A1531" s="7" t="n"/>
      <c r="B1531" s="4" t="n"/>
      <c r="C1531" s="4" t="n"/>
      <c r="D1531" s="4" t="n"/>
      <c r="E1531" s="4" t="n"/>
      <c r="F1531" s="6">
        <f>IF(B1531="","",IFERROR(INDEX(Products!$E:$E,MATCH(B1531,Products!$A:$A,0)),0))</f>
        <v/>
      </c>
      <c r="G1531" s="6">
        <f>IF(B1531="","",N(C1531)*N(F1531))</f>
        <v/>
      </c>
      <c r="H1531">
        <f>IF(B1531="","",IFERROR(INDEX(Products!$B:$B,MATCH(B1531,Products!$A:$A,0)),"SKU not found"))</f>
        <v/>
      </c>
    </row>
    <row r="1532">
      <c r="A1532" s="7" t="n"/>
      <c r="B1532" s="4" t="n"/>
      <c r="C1532" s="4" t="n"/>
      <c r="D1532" s="4" t="n"/>
      <c r="E1532" s="4" t="n"/>
      <c r="F1532" s="6">
        <f>IF(B1532="","",IFERROR(INDEX(Products!$E:$E,MATCH(B1532,Products!$A:$A,0)),0))</f>
        <v/>
      </c>
      <c r="G1532" s="6">
        <f>IF(B1532="","",N(C1532)*N(F1532))</f>
        <v/>
      </c>
      <c r="H1532">
        <f>IF(B1532="","",IFERROR(INDEX(Products!$B:$B,MATCH(B1532,Products!$A:$A,0)),"SKU not found"))</f>
        <v/>
      </c>
    </row>
    <row r="1533">
      <c r="A1533" s="7" t="n"/>
      <c r="B1533" s="4" t="n"/>
      <c r="C1533" s="4" t="n"/>
      <c r="D1533" s="4" t="n"/>
      <c r="E1533" s="4" t="n"/>
      <c r="F1533" s="6">
        <f>IF(B1533="","",IFERROR(INDEX(Products!$E:$E,MATCH(B1533,Products!$A:$A,0)),0))</f>
        <v/>
      </c>
      <c r="G1533" s="6">
        <f>IF(B1533="","",N(C1533)*N(F1533))</f>
        <v/>
      </c>
      <c r="H1533">
        <f>IF(B1533="","",IFERROR(INDEX(Products!$B:$B,MATCH(B1533,Products!$A:$A,0)),"SKU not found"))</f>
        <v/>
      </c>
    </row>
    <row r="1534">
      <c r="A1534" s="7" t="n"/>
      <c r="B1534" s="4" t="n"/>
      <c r="C1534" s="4" t="n"/>
      <c r="D1534" s="4" t="n"/>
      <c r="E1534" s="4" t="n"/>
      <c r="F1534" s="6">
        <f>IF(B1534="","",IFERROR(INDEX(Products!$E:$E,MATCH(B1534,Products!$A:$A,0)),0))</f>
        <v/>
      </c>
      <c r="G1534" s="6">
        <f>IF(B1534="","",N(C1534)*N(F1534))</f>
        <v/>
      </c>
      <c r="H1534">
        <f>IF(B1534="","",IFERROR(INDEX(Products!$B:$B,MATCH(B1534,Products!$A:$A,0)),"SKU not found"))</f>
        <v/>
      </c>
    </row>
    <row r="1535">
      <c r="A1535" s="7" t="n"/>
      <c r="B1535" s="4" t="n"/>
      <c r="C1535" s="4" t="n"/>
      <c r="D1535" s="4" t="n"/>
      <c r="E1535" s="4" t="n"/>
      <c r="F1535" s="6">
        <f>IF(B1535="","",IFERROR(INDEX(Products!$E:$E,MATCH(B1535,Products!$A:$A,0)),0))</f>
        <v/>
      </c>
      <c r="G1535" s="6">
        <f>IF(B1535="","",N(C1535)*N(F1535))</f>
        <v/>
      </c>
      <c r="H1535">
        <f>IF(B1535="","",IFERROR(INDEX(Products!$B:$B,MATCH(B1535,Products!$A:$A,0)),"SKU not found"))</f>
        <v/>
      </c>
    </row>
    <row r="1536">
      <c r="A1536" s="7" t="n"/>
      <c r="B1536" s="4" t="n"/>
      <c r="C1536" s="4" t="n"/>
      <c r="D1536" s="4" t="n"/>
      <c r="E1536" s="4" t="n"/>
      <c r="F1536" s="6">
        <f>IF(B1536="","",IFERROR(INDEX(Products!$E:$E,MATCH(B1536,Products!$A:$A,0)),0))</f>
        <v/>
      </c>
      <c r="G1536" s="6">
        <f>IF(B1536="","",N(C1536)*N(F1536))</f>
        <v/>
      </c>
      <c r="H1536">
        <f>IF(B1536="","",IFERROR(INDEX(Products!$B:$B,MATCH(B1536,Products!$A:$A,0)),"SKU not found"))</f>
        <v/>
      </c>
    </row>
    <row r="1537">
      <c r="A1537" s="7" t="n"/>
      <c r="B1537" s="4" t="n"/>
      <c r="C1537" s="4" t="n"/>
      <c r="D1537" s="4" t="n"/>
      <c r="E1537" s="4" t="n"/>
      <c r="F1537" s="6">
        <f>IF(B1537="","",IFERROR(INDEX(Products!$E:$E,MATCH(B1537,Products!$A:$A,0)),0))</f>
        <v/>
      </c>
      <c r="G1537" s="6">
        <f>IF(B1537="","",N(C1537)*N(F1537))</f>
        <v/>
      </c>
      <c r="H1537">
        <f>IF(B1537="","",IFERROR(INDEX(Products!$B:$B,MATCH(B1537,Products!$A:$A,0)),"SKU not found"))</f>
        <v/>
      </c>
    </row>
    <row r="1538">
      <c r="A1538" s="7" t="n"/>
      <c r="B1538" s="4" t="n"/>
      <c r="C1538" s="4" t="n"/>
      <c r="D1538" s="4" t="n"/>
      <c r="E1538" s="4" t="n"/>
      <c r="F1538" s="6">
        <f>IF(B1538="","",IFERROR(INDEX(Products!$E:$E,MATCH(B1538,Products!$A:$A,0)),0))</f>
        <v/>
      </c>
      <c r="G1538" s="6">
        <f>IF(B1538="","",N(C1538)*N(F1538))</f>
        <v/>
      </c>
      <c r="H1538">
        <f>IF(B1538="","",IFERROR(INDEX(Products!$B:$B,MATCH(B1538,Products!$A:$A,0)),"SKU not found"))</f>
        <v/>
      </c>
    </row>
    <row r="1539">
      <c r="A1539" s="7" t="n"/>
      <c r="B1539" s="4" t="n"/>
      <c r="C1539" s="4" t="n"/>
      <c r="D1539" s="4" t="n"/>
      <c r="E1539" s="4" t="n"/>
      <c r="F1539" s="6">
        <f>IF(B1539="","",IFERROR(INDEX(Products!$E:$E,MATCH(B1539,Products!$A:$A,0)),0))</f>
        <v/>
      </c>
      <c r="G1539" s="6">
        <f>IF(B1539="","",N(C1539)*N(F1539))</f>
        <v/>
      </c>
      <c r="H1539">
        <f>IF(B1539="","",IFERROR(INDEX(Products!$B:$B,MATCH(B1539,Products!$A:$A,0)),"SKU not found"))</f>
        <v/>
      </c>
    </row>
    <row r="1540">
      <c r="A1540" s="7" t="n"/>
      <c r="B1540" s="4" t="n"/>
      <c r="C1540" s="4" t="n"/>
      <c r="D1540" s="4" t="n"/>
      <c r="E1540" s="4" t="n"/>
      <c r="F1540" s="6">
        <f>IF(B1540="","",IFERROR(INDEX(Products!$E:$E,MATCH(B1540,Products!$A:$A,0)),0))</f>
        <v/>
      </c>
      <c r="G1540" s="6">
        <f>IF(B1540="","",N(C1540)*N(F1540))</f>
        <v/>
      </c>
      <c r="H1540">
        <f>IF(B1540="","",IFERROR(INDEX(Products!$B:$B,MATCH(B1540,Products!$A:$A,0)),"SKU not found"))</f>
        <v/>
      </c>
    </row>
    <row r="1541">
      <c r="A1541" s="7" t="n"/>
      <c r="B1541" s="4" t="n"/>
      <c r="C1541" s="4" t="n"/>
      <c r="D1541" s="4" t="n"/>
      <c r="E1541" s="4" t="n"/>
      <c r="F1541" s="6">
        <f>IF(B1541="","",IFERROR(INDEX(Products!$E:$E,MATCH(B1541,Products!$A:$A,0)),0))</f>
        <v/>
      </c>
      <c r="G1541" s="6">
        <f>IF(B1541="","",N(C1541)*N(F1541))</f>
        <v/>
      </c>
      <c r="H1541">
        <f>IF(B1541="","",IFERROR(INDEX(Products!$B:$B,MATCH(B1541,Products!$A:$A,0)),"SKU not found"))</f>
        <v/>
      </c>
    </row>
    <row r="1542">
      <c r="A1542" s="7" t="n"/>
      <c r="B1542" s="4" t="n"/>
      <c r="C1542" s="4" t="n"/>
      <c r="D1542" s="4" t="n"/>
      <c r="E1542" s="4" t="n"/>
      <c r="F1542" s="6">
        <f>IF(B1542="","",IFERROR(INDEX(Products!$E:$E,MATCH(B1542,Products!$A:$A,0)),0))</f>
        <v/>
      </c>
      <c r="G1542" s="6">
        <f>IF(B1542="","",N(C1542)*N(F1542))</f>
        <v/>
      </c>
      <c r="H1542">
        <f>IF(B1542="","",IFERROR(INDEX(Products!$B:$B,MATCH(B1542,Products!$A:$A,0)),"SKU not found"))</f>
        <v/>
      </c>
    </row>
    <row r="1543">
      <c r="A1543" s="7" t="n"/>
      <c r="B1543" s="4" t="n"/>
      <c r="C1543" s="4" t="n"/>
      <c r="D1543" s="4" t="n"/>
      <c r="E1543" s="4" t="n"/>
      <c r="F1543" s="6">
        <f>IF(B1543="","",IFERROR(INDEX(Products!$E:$E,MATCH(B1543,Products!$A:$A,0)),0))</f>
        <v/>
      </c>
      <c r="G1543" s="6">
        <f>IF(B1543="","",N(C1543)*N(F1543))</f>
        <v/>
      </c>
      <c r="H1543">
        <f>IF(B1543="","",IFERROR(INDEX(Products!$B:$B,MATCH(B1543,Products!$A:$A,0)),"SKU not found"))</f>
        <v/>
      </c>
    </row>
    <row r="1544">
      <c r="A1544" s="7" t="n"/>
      <c r="B1544" s="4" t="n"/>
      <c r="C1544" s="4" t="n"/>
      <c r="D1544" s="4" t="n"/>
      <c r="E1544" s="4" t="n"/>
      <c r="F1544" s="6">
        <f>IF(B1544="","",IFERROR(INDEX(Products!$E:$E,MATCH(B1544,Products!$A:$A,0)),0))</f>
        <v/>
      </c>
      <c r="G1544" s="6">
        <f>IF(B1544="","",N(C1544)*N(F1544))</f>
        <v/>
      </c>
      <c r="H1544">
        <f>IF(B1544="","",IFERROR(INDEX(Products!$B:$B,MATCH(B1544,Products!$A:$A,0)),"SKU not found"))</f>
        <v/>
      </c>
    </row>
    <row r="1545">
      <c r="A1545" s="7" t="n"/>
      <c r="B1545" s="4" t="n"/>
      <c r="C1545" s="4" t="n"/>
      <c r="D1545" s="4" t="n"/>
      <c r="E1545" s="4" t="n"/>
      <c r="F1545" s="6">
        <f>IF(B1545="","",IFERROR(INDEX(Products!$E:$E,MATCH(B1545,Products!$A:$A,0)),0))</f>
        <v/>
      </c>
      <c r="G1545" s="6">
        <f>IF(B1545="","",N(C1545)*N(F1545))</f>
        <v/>
      </c>
      <c r="H1545">
        <f>IF(B1545="","",IFERROR(INDEX(Products!$B:$B,MATCH(B1545,Products!$A:$A,0)),"SKU not found"))</f>
        <v/>
      </c>
    </row>
    <row r="1546">
      <c r="A1546" s="7" t="n"/>
      <c r="B1546" s="4" t="n"/>
      <c r="C1546" s="4" t="n"/>
      <c r="D1546" s="4" t="n"/>
      <c r="E1546" s="4" t="n"/>
      <c r="F1546" s="6">
        <f>IF(B1546="","",IFERROR(INDEX(Products!$E:$E,MATCH(B1546,Products!$A:$A,0)),0))</f>
        <v/>
      </c>
      <c r="G1546" s="6">
        <f>IF(B1546="","",N(C1546)*N(F1546))</f>
        <v/>
      </c>
      <c r="H1546">
        <f>IF(B1546="","",IFERROR(INDEX(Products!$B:$B,MATCH(B1546,Products!$A:$A,0)),"SKU not found"))</f>
        <v/>
      </c>
    </row>
    <row r="1547">
      <c r="A1547" s="7" t="n"/>
      <c r="B1547" s="4" t="n"/>
      <c r="C1547" s="4" t="n"/>
      <c r="D1547" s="4" t="n"/>
      <c r="E1547" s="4" t="n"/>
      <c r="F1547" s="6">
        <f>IF(B1547="","",IFERROR(INDEX(Products!$E:$E,MATCH(B1547,Products!$A:$A,0)),0))</f>
        <v/>
      </c>
      <c r="G1547" s="6">
        <f>IF(B1547="","",N(C1547)*N(F1547))</f>
        <v/>
      </c>
      <c r="H1547">
        <f>IF(B1547="","",IFERROR(INDEX(Products!$B:$B,MATCH(B1547,Products!$A:$A,0)),"SKU not found"))</f>
        <v/>
      </c>
    </row>
    <row r="1548">
      <c r="A1548" s="7" t="n"/>
      <c r="B1548" s="4" t="n"/>
      <c r="C1548" s="4" t="n"/>
      <c r="D1548" s="4" t="n"/>
      <c r="E1548" s="4" t="n"/>
      <c r="F1548" s="6">
        <f>IF(B1548="","",IFERROR(INDEX(Products!$E:$E,MATCH(B1548,Products!$A:$A,0)),0))</f>
        <v/>
      </c>
      <c r="G1548" s="6">
        <f>IF(B1548="","",N(C1548)*N(F1548))</f>
        <v/>
      </c>
      <c r="H1548">
        <f>IF(B1548="","",IFERROR(INDEX(Products!$B:$B,MATCH(B1548,Products!$A:$A,0)),"SKU not found"))</f>
        <v/>
      </c>
    </row>
    <row r="1549">
      <c r="A1549" s="7" t="n"/>
      <c r="B1549" s="4" t="n"/>
      <c r="C1549" s="4" t="n"/>
      <c r="D1549" s="4" t="n"/>
      <c r="E1549" s="4" t="n"/>
      <c r="F1549" s="6">
        <f>IF(B1549="","",IFERROR(INDEX(Products!$E:$E,MATCH(B1549,Products!$A:$A,0)),0))</f>
        <v/>
      </c>
      <c r="G1549" s="6">
        <f>IF(B1549="","",N(C1549)*N(F1549))</f>
        <v/>
      </c>
      <c r="H1549">
        <f>IF(B1549="","",IFERROR(INDEX(Products!$B:$B,MATCH(B1549,Products!$A:$A,0)),"SKU not found"))</f>
        <v/>
      </c>
    </row>
    <row r="1550">
      <c r="A1550" s="7" t="n"/>
      <c r="B1550" s="4" t="n"/>
      <c r="C1550" s="4" t="n"/>
      <c r="D1550" s="4" t="n"/>
      <c r="E1550" s="4" t="n"/>
      <c r="F1550" s="6">
        <f>IF(B1550="","",IFERROR(INDEX(Products!$E:$E,MATCH(B1550,Products!$A:$A,0)),0))</f>
        <v/>
      </c>
      <c r="G1550" s="6">
        <f>IF(B1550="","",N(C1550)*N(F1550))</f>
        <v/>
      </c>
      <c r="H1550">
        <f>IF(B1550="","",IFERROR(INDEX(Products!$B:$B,MATCH(B1550,Products!$A:$A,0)),"SKU not found"))</f>
        <v/>
      </c>
    </row>
    <row r="1551">
      <c r="A1551" s="7" t="n"/>
      <c r="B1551" s="4" t="n"/>
      <c r="C1551" s="4" t="n"/>
      <c r="D1551" s="4" t="n"/>
      <c r="E1551" s="4" t="n"/>
      <c r="F1551" s="6">
        <f>IF(B1551="","",IFERROR(INDEX(Products!$E:$E,MATCH(B1551,Products!$A:$A,0)),0))</f>
        <v/>
      </c>
      <c r="G1551" s="6">
        <f>IF(B1551="","",N(C1551)*N(F1551))</f>
        <v/>
      </c>
      <c r="H1551">
        <f>IF(B1551="","",IFERROR(INDEX(Products!$B:$B,MATCH(B1551,Products!$A:$A,0)),"SKU not found"))</f>
        <v/>
      </c>
    </row>
    <row r="1552">
      <c r="A1552" s="7" t="n"/>
      <c r="B1552" s="4" t="n"/>
      <c r="C1552" s="4" t="n"/>
      <c r="D1552" s="4" t="n"/>
      <c r="E1552" s="4" t="n"/>
      <c r="F1552" s="6">
        <f>IF(B1552="","",IFERROR(INDEX(Products!$E:$E,MATCH(B1552,Products!$A:$A,0)),0))</f>
        <v/>
      </c>
      <c r="G1552" s="6">
        <f>IF(B1552="","",N(C1552)*N(F1552))</f>
        <v/>
      </c>
      <c r="H1552">
        <f>IF(B1552="","",IFERROR(INDEX(Products!$B:$B,MATCH(B1552,Products!$A:$A,0)),"SKU not found"))</f>
        <v/>
      </c>
    </row>
    <row r="1553">
      <c r="A1553" s="7" t="n"/>
      <c r="B1553" s="4" t="n"/>
      <c r="C1553" s="4" t="n"/>
      <c r="D1553" s="4" t="n"/>
      <c r="E1553" s="4" t="n"/>
      <c r="F1553" s="6">
        <f>IF(B1553="","",IFERROR(INDEX(Products!$E:$E,MATCH(B1553,Products!$A:$A,0)),0))</f>
        <v/>
      </c>
      <c r="G1553" s="6">
        <f>IF(B1553="","",N(C1553)*N(F1553))</f>
        <v/>
      </c>
      <c r="H1553">
        <f>IF(B1553="","",IFERROR(INDEX(Products!$B:$B,MATCH(B1553,Products!$A:$A,0)),"SKU not found"))</f>
        <v/>
      </c>
    </row>
    <row r="1554">
      <c r="A1554" s="7" t="n"/>
      <c r="B1554" s="4" t="n"/>
      <c r="C1554" s="4" t="n"/>
      <c r="D1554" s="4" t="n"/>
      <c r="E1554" s="4" t="n"/>
      <c r="F1554" s="6">
        <f>IF(B1554="","",IFERROR(INDEX(Products!$E:$E,MATCH(B1554,Products!$A:$A,0)),0))</f>
        <v/>
      </c>
      <c r="G1554" s="6">
        <f>IF(B1554="","",N(C1554)*N(F1554))</f>
        <v/>
      </c>
      <c r="H1554">
        <f>IF(B1554="","",IFERROR(INDEX(Products!$B:$B,MATCH(B1554,Products!$A:$A,0)),"SKU not found"))</f>
        <v/>
      </c>
    </row>
    <row r="1555">
      <c r="A1555" s="7" t="n"/>
      <c r="B1555" s="4" t="n"/>
      <c r="C1555" s="4" t="n"/>
      <c r="D1555" s="4" t="n"/>
      <c r="E1555" s="4" t="n"/>
      <c r="F1555" s="6">
        <f>IF(B1555="","",IFERROR(INDEX(Products!$E:$E,MATCH(B1555,Products!$A:$A,0)),0))</f>
        <v/>
      </c>
      <c r="G1555" s="6">
        <f>IF(B1555="","",N(C1555)*N(F1555))</f>
        <v/>
      </c>
      <c r="H1555">
        <f>IF(B1555="","",IFERROR(INDEX(Products!$B:$B,MATCH(B1555,Products!$A:$A,0)),"SKU not found"))</f>
        <v/>
      </c>
    </row>
    <row r="1556">
      <c r="A1556" s="7" t="n"/>
      <c r="B1556" s="4" t="n"/>
      <c r="C1556" s="4" t="n"/>
      <c r="D1556" s="4" t="n"/>
      <c r="E1556" s="4" t="n"/>
      <c r="F1556" s="6">
        <f>IF(B1556="","",IFERROR(INDEX(Products!$E:$E,MATCH(B1556,Products!$A:$A,0)),0))</f>
        <v/>
      </c>
      <c r="G1556" s="6">
        <f>IF(B1556="","",N(C1556)*N(F1556))</f>
        <v/>
      </c>
      <c r="H1556">
        <f>IF(B1556="","",IFERROR(INDEX(Products!$B:$B,MATCH(B1556,Products!$A:$A,0)),"SKU not found"))</f>
        <v/>
      </c>
    </row>
    <row r="1557">
      <c r="A1557" s="7" t="n"/>
      <c r="B1557" s="4" t="n"/>
      <c r="C1557" s="4" t="n"/>
      <c r="D1557" s="4" t="n"/>
      <c r="E1557" s="4" t="n"/>
      <c r="F1557" s="6">
        <f>IF(B1557="","",IFERROR(INDEX(Products!$E:$E,MATCH(B1557,Products!$A:$A,0)),0))</f>
        <v/>
      </c>
      <c r="G1557" s="6">
        <f>IF(B1557="","",N(C1557)*N(F1557))</f>
        <v/>
      </c>
      <c r="H1557">
        <f>IF(B1557="","",IFERROR(INDEX(Products!$B:$B,MATCH(B1557,Products!$A:$A,0)),"SKU not found"))</f>
        <v/>
      </c>
    </row>
    <row r="1558">
      <c r="A1558" s="7" t="n"/>
      <c r="B1558" s="4" t="n"/>
      <c r="C1558" s="4" t="n"/>
      <c r="D1558" s="4" t="n"/>
      <c r="E1558" s="4" t="n"/>
      <c r="F1558" s="6">
        <f>IF(B1558="","",IFERROR(INDEX(Products!$E:$E,MATCH(B1558,Products!$A:$A,0)),0))</f>
        <v/>
      </c>
      <c r="G1558" s="6">
        <f>IF(B1558="","",N(C1558)*N(F1558))</f>
        <v/>
      </c>
      <c r="H1558">
        <f>IF(B1558="","",IFERROR(INDEX(Products!$B:$B,MATCH(B1558,Products!$A:$A,0)),"SKU not found"))</f>
        <v/>
      </c>
    </row>
    <row r="1559">
      <c r="A1559" s="7" t="n"/>
      <c r="B1559" s="4" t="n"/>
      <c r="C1559" s="4" t="n"/>
      <c r="D1559" s="4" t="n"/>
      <c r="E1559" s="4" t="n"/>
      <c r="F1559" s="6">
        <f>IF(B1559="","",IFERROR(INDEX(Products!$E:$E,MATCH(B1559,Products!$A:$A,0)),0))</f>
        <v/>
      </c>
      <c r="G1559" s="6">
        <f>IF(B1559="","",N(C1559)*N(F1559))</f>
        <v/>
      </c>
      <c r="H1559">
        <f>IF(B1559="","",IFERROR(INDEX(Products!$B:$B,MATCH(B1559,Products!$A:$A,0)),"SKU not found"))</f>
        <v/>
      </c>
    </row>
    <row r="1560">
      <c r="A1560" s="7" t="n"/>
      <c r="B1560" s="4" t="n"/>
      <c r="C1560" s="4" t="n"/>
      <c r="D1560" s="4" t="n"/>
      <c r="E1560" s="4" t="n"/>
      <c r="F1560" s="6">
        <f>IF(B1560="","",IFERROR(INDEX(Products!$E:$E,MATCH(B1560,Products!$A:$A,0)),0))</f>
        <v/>
      </c>
      <c r="G1560" s="6">
        <f>IF(B1560="","",N(C1560)*N(F1560))</f>
        <v/>
      </c>
      <c r="H1560">
        <f>IF(B1560="","",IFERROR(INDEX(Products!$B:$B,MATCH(B1560,Products!$A:$A,0)),"SKU not found"))</f>
        <v/>
      </c>
    </row>
    <row r="1561">
      <c r="A1561" s="7" t="n"/>
      <c r="B1561" s="4" t="n"/>
      <c r="C1561" s="4" t="n"/>
      <c r="D1561" s="4" t="n"/>
      <c r="E1561" s="4" t="n"/>
      <c r="F1561" s="6">
        <f>IF(B1561="","",IFERROR(INDEX(Products!$E:$E,MATCH(B1561,Products!$A:$A,0)),0))</f>
        <v/>
      </c>
      <c r="G1561" s="6">
        <f>IF(B1561="","",N(C1561)*N(F1561))</f>
        <v/>
      </c>
      <c r="H1561">
        <f>IF(B1561="","",IFERROR(INDEX(Products!$B:$B,MATCH(B1561,Products!$A:$A,0)),"SKU not found"))</f>
        <v/>
      </c>
    </row>
    <row r="1562">
      <c r="A1562" s="7" t="n"/>
      <c r="B1562" s="4" t="n"/>
      <c r="C1562" s="4" t="n"/>
      <c r="D1562" s="4" t="n"/>
      <c r="E1562" s="4" t="n"/>
      <c r="F1562" s="6">
        <f>IF(B1562="","",IFERROR(INDEX(Products!$E:$E,MATCH(B1562,Products!$A:$A,0)),0))</f>
        <v/>
      </c>
      <c r="G1562" s="6">
        <f>IF(B1562="","",N(C1562)*N(F1562))</f>
        <v/>
      </c>
      <c r="H1562">
        <f>IF(B1562="","",IFERROR(INDEX(Products!$B:$B,MATCH(B1562,Products!$A:$A,0)),"SKU not found"))</f>
        <v/>
      </c>
    </row>
    <row r="1563">
      <c r="A1563" s="7" t="n"/>
      <c r="B1563" s="4" t="n"/>
      <c r="C1563" s="4" t="n"/>
      <c r="D1563" s="4" t="n"/>
      <c r="E1563" s="4" t="n"/>
      <c r="F1563" s="6">
        <f>IF(B1563="","",IFERROR(INDEX(Products!$E:$E,MATCH(B1563,Products!$A:$A,0)),0))</f>
        <v/>
      </c>
      <c r="G1563" s="6">
        <f>IF(B1563="","",N(C1563)*N(F1563))</f>
        <v/>
      </c>
      <c r="H1563">
        <f>IF(B1563="","",IFERROR(INDEX(Products!$B:$B,MATCH(B1563,Products!$A:$A,0)),"SKU not found"))</f>
        <v/>
      </c>
    </row>
    <row r="1564">
      <c r="A1564" s="7" t="n"/>
      <c r="B1564" s="4" t="n"/>
      <c r="C1564" s="4" t="n"/>
      <c r="D1564" s="4" t="n"/>
      <c r="E1564" s="4" t="n"/>
      <c r="F1564" s="6">
        <f>IF(B1564="","",IFERROR(INDEX(Products!$E:$E,MATCH(B1564,Products!$A:$A,0)),0))</f>
        <v/>
      </c>
      <c r="G1564" s="6">
        <f>IF(B1564="","",N(C1564)*N(F1564))</f>
        <v/>
      </c>
      <c r="H1564">
        <f>IF(B1564="","",IFERROR(INDEX(Products!$B:$B,MATCH(B1564,Products!$A:$A,0)),"SKU not found"))</f>
        <v/>
      </c>
    </row>
    <row r="1565">
      <c r="A1565" s="7" t="n"/>
      <c r="B1565" s="4" t="n"/>
      <c r="C1565" s="4" t="n"/>
      <c r="D1565" s="4" t="n"/>
      <c r="E1565" s="4" t="n"/>
      <c r="F1565" s="6">
        <f>IF(B1565="","",IFERROR(INDEX(Products!$E:$E,MATCH(B1565,Products!$A:$A,0)),0))</f>
        <v/>
      </c>
      <c r="G1565" s="6">
        <f>IF(B1565="","",N(C1565)*N(F1565))</f>
        <v/>
      </c>
      <c r="H1565">
        <f>IF(B1565="","",IFERROR(INDEX(Products!$B:$B,MATCH(B1565,Products!$A:$A,0)),"SKU not found"))</f>
        <v/>
      </c>
    </row>
    <row r="1566">
      <c r="A1566" s="7" t="n"/>
      <c r="B1566" s="4" t="n"/>
      <c r="C1566" s="4" t="n"/>
      <c r="D1566" s="4" t="n"/>
      <c r="E1566" s="4" t="n"/>
      <c r="F1566" s="6">
        <f>IF(B1566="","",IFERROR(INDEX(Products!$E:$E,MATCH(B1566,Products!$A:$A,0)),0))</f>
        <v/>
      </c>
      <c r="G1566" s="6">
        <f>IF(B1566="","",N(C1566)*N(F1566))</f>
        <v/>
      </c>
      <c r="H1566">
        <f>IF(B1566="","",IFERROR(INDEX(Products!$B:$B,MATCH(B1566,Products!$A:$A,0)),"SKU not found"))</f>
        <v/>
      </c>
    </row>
    <row r="1567">
      <c r="A1567" s="7" t="n"/>
      <c r="B1567" s="4" t="n"/>
      <c r="C1567" s="4" t="n"/>
      <c r="D1567" s="4" t="n"/>
      <c r="E1567" s="4" t="n"/>
      <c r="F1567" s="6">
        <f>IF(B1567="","",IFERROR(INDEX(Products!$E:$E,MATCH(B1567,Products!$A:$A,0)),0))</f>
        <v/>
      </c>
      <c r="G1567" s="6">
        <f>IF(B1567="","",N(C1567)*N(F1567))</f>
        <v/>
      </c>
      <c r="H1567">
        <f>IF(B1567="","",IFERROR(INDEX(Products!$B:$B,MATCH(B1567,Products!$A:$A,0)),"SKU not found"))</f>
        <v/>
      </c>
    </row>
    <row r="1568">
      <c r="A1568" s="7" t="n"/>
      <c r="B1568" s="4" t="n"/>
      <c r="C1568" s="4" t="n"/>
      <c r="D1568" s="4" t="n"/>
      <c r="E1568" s="4" t="n"/>
      <c r="F1568" s="6">
        <f>IF(B1568="","",IFERROR(INDEX(Products!$E:$E,MATCH(B1568,Products!$A:$A,0)),0))</f>
        <v/>
      </c>
      <c r="G1568" s="6">
        <f>IF(B1568="","",N(C1568)*N(F1568))</f>
        <v/>
      </c>
      <c r="H1568">
        <f>IF(B1568="","",IFERROR(INDEX(Products!$B:$B,MATCH(B1568,Products!$A:$A,0)),"SKU not found"))</f>
        <v/>
      </c>
    </row>
    <row r="1569">
      <c r="A1569" s="7" t="n"/>
      <c r="B1569" s="4" t="n"/>
      <c r="C1569" s="4" t="n"/>
      <c r="D1569" s="4" t="n"/>
      <c r="E1569" s="4" t="n"/>
      <c r="F1569" s="6">
        <f>IF(B1569="","",IFERROR(INDEX(Products!$E:$E,MATCH(B1569,Products!$A:$A,0)),0))</f>
        <v/>
      </c>
      <c r="G1569" s="6">
        <f>IF(B1569="","",N(C1569)*N(F1569))</f>
        <v/>
      </c>
      <c r="H1569">
        <f>IF(B1569="","",IFERROR(INDEX(Products!$B:$B,MATCH(B1569,Products!$A:$A,0)),"SKU not found"))</f>
        <v/>
      </c>
    </row>
    <row r="1570">
      <c r="A1570" s="7" t="n"/>
      <c r="B1570" s="4" t="n"/>
      <c r="C1570" s="4" t="n"/>
      <c r="D1570" s="4" t="n"/>
      <c r="E1570" s="4" t="n"/>
      <c r="F1570" s="6">
        <f>IF(B1570="","",IFERROR(INDEX(Products!$E:$E,MATCH(B1570,Products!$A:$A,0)),0))</f>
        <v/>
      </c>
      <c r="G1570" s="6">
        <f>IF(B1570="","",N(C1570)*N(F1570))</f>
        <v/>
      </c>
      <c r="H1570">
        <f>IF(B1570="","",IFERROR(INDEX(Products!$B:$B,MATCH(B1570,Products!$A:$A,0)),"SKU not found"))</f>
        <v/>
      </c>
    </row>
    <row r="1571">
      <c r="A1571" s="7" t="n"/>
      <c r="B1571" s="4" t="n"/>
      <c r="C1571" s="4" t="n"/>
      <c r="D1571" s="4" t="n"/>
      <c r="E1571" s="4" t="n"/>
      <c r="F1571" s="6">
        <f>IF(B1571="","",IFERROR(INDEX(Products!$E:$E,MATCH(B1571,Products!$A:$A,0)),0))</f>
        <v/>
      </c>
      <c r="G1571" s="6">
        <f>IF(B1571="","",N(C1571)*N(F1571))</f>
        <v/>
      </c>
      <c r="H1571">
        <f>IF(B1571="","",IFERROR(INDEX(Products!$B:$B,MATCH(B1571,Products!$A:$A,0)),"SKU not found"))</f>
        <v/>
      </c>
    </row>
    <row r="1572">
      <c r="A1572" s="7" t="n"/>
      <c r="B1572" s="4" t="n"/>
      <c r="C1572" s="4" t="n"/>
      <c r="D1572" s="4" t="n"/>
      <c r="E1572" s="4" t="n"/>
      <c r="F1572" s="6">
        <f>IF(B1572="","",IFERROR(INDEX(Products!$E:$E,MATCH(B1572,Products!$A:$A,0)),0))</f>
        <v/>
      </c>
      <c r="G1572" s="6">
        <f>IF(B1572="","",N(C1572)*N(F1572))</f>
        <v/>
      </c>
      <c r="H1572">
        <f>IF(B1572="","",IFERROR(INDEX(Products!$B:$B,MATCH(B1572,Products!$A:$A,0)),"SKU not found"))</f>
        <v/>
      </c>
    </row>
    <row r="1573">
      <c r="A1573" s="7" t="n"/>
      <c r="B1573" s="4" t="n"/>
      <c r="C1573" s="4" t="n"/>
      <c r="D1573" s="4" t="n"/>
      <c r="E1573" s="4" t="n"/>
      <c r="F1573" s="6">
        <f>IF(B1573="","",IFERROR(INDEX(Products!$E:$E,MATCH(B1573,Products!$A:$A,0)),0))</f>
        <v/>
      </c>
      <c r="G1573" s="6">
        <f>IF(B1573="","",N(C1573)*N(F1573))</f>
        <v/>
      </c>
      <c r="H1573">
        <f>IF(B1573="","",IFERROR(INDEX(Products!$B:$B,MATCH(B1573,Products!$A:$A,0)),"SKU not found"))</f>
        <v/>
      </c>
    </row>
    <row r="1574">
      <c r="A1574" s="7" t="n"/>
      <c r="B1574" s="4" t="n"/>
      <c r="C1574" s="4" t="n"/>
      <c r="D1574" s="4" t="n"/>
      <c r="E1574" s="4" t="n"/>
      <c r="F1574" s="6">
        <f>IF(B1574="","",IFERROR(INDEX(Products!$E:$E,MATCH(B1574,Products!$A:$A,0)),0))</f>
        <v/>
      </c>
      <c r="G1574" s="6">
        <f>IF(B1574="","",N(C1574)*N(F1574))</f>
        <v/>
      </c>
      <c r="H1574">
        <f>IF(B1574="","",IFERROR(INDEX(Products!$B:$B,MATCH(B1574,Products!$A:$A,0)),"SKU not found"))</f>
        <v/>
      </c>
    </row>
    <row r="1575">
      <c r="A1575" s="7" t="n"/>
      <c r="B1575" s="4" t="n"/>
      <c r="C1575" s="4" t="n"/>
      <c r="D1575" s="4" t="n"/>
      <c r="E1575" s="4" t="n"/>
      <c r="F1575" s="6">
        <f>IF(B1575="","",IFERROR(INDEX(Products!$E:$E,MATCH(B1575,Products!$A:$A,0)),0))</f>
        <v/>
      </c>
      <c r="G1575" s="6">
        <f>IF(B1575="","",N(C1575)*N(F1575))</f>
        <v/>
      </c>
      <c r="H1575">
        <f>IF(B1575="","",IFERROR(INDEX(Products!$B:$B,MATCH(B1575,Products!$A:$A,0)),"SKU not found"))</f>
        <v/>
      </c>
    </row>
    <row r="1576">
      <c r="A1576" s="7" t="n"/>
      <c r="B1576" s="4" t="n"/>
      <c r="C1576" s="4" t="n"/>
      <c r="D1576" s="4" t="n"/>
      <c r="E1576" s="4" t="n"/>
      <c r="F1576" s="6">
        <f>IF(B1576="","",IFERROR(INDEX(Products!$E:$E,MATCH(B1576,Products!$A:$A,0)),0))</f>
        <v/>
      </c>
      <c r="G1576" s="6">
        <f>IF(B1576="","",N(C1576)*N(F1576))</f>
        <v/>
      </c>
      <c r="H1576">
        <f>IF(B1576="","",IFERROR(INDEX(Products!$B:$B,MATCH(B1576,Products!$A:$A,0)),"SKU not found"))</f>
        <v/>
      </c>
    </row>
    <row r="1577">
      <c r="A1577" s="7" t="n"/>
      <c r="B1577" s="4" t="n"/>
      <c r="C1577" s="4" t="n"/>
      <c r="D1577" s="4" t="n"/>
      <c r="E1577" s="4" t="n"/>
      <c r="F1577" s="6">
        <f>IF(B1577="","",IFERROR(INDEX(Products!$E:$E,MATCH(B1577,Products!$A:$A,0)),0))</f>
        <v/>
      </c>
      <c r="G1577" s="6">
        <f>IF(B1577="","",N(C1577)*N(F1577))</f>
        <v/>
      </c>
      <c r="H1577">
        <f>IF(B1577="","",IFERROR(INDEX(Products!$B:$B,MATCH(B1577,Products!$A:$A,0)),"SKU not found"))</f>
        <v/>
      </c>
    </row>
    <row r="1578">
      <c r="A1578" s="7" t="n"/>
      <c r="B1578" s="4" t="n"/>
      <c r="C1578" s="4" t="n"/>
      <c r="D1578" s="4" t="n"/>
      <c r="E1578" s="4" t="n"/>
      <c r="F1578" s="6">
        <f>IF(B1578="","",IFERROR(INDEX(Products!$E:$E,MATCH(B1578,Products!$A:$A,0)),0))</f>
        <v/>
      </c>
      <c r="G1578" s="6">
        <f>IF(B1578="","",N(C1578)*N(F1578))</f>
        <v/>
      </c>
      <c r="H1578">
        <f>IF(B1578="","",IFERROR(INDEX(Products!$B:$B,MATCH(B1578,Products!$A:$A,0)),"SKU not found"))</f>
        <v/>
      </c>
    </row>
    <row r="1579">
      <c r="A1579" s="7" t="n"/>
      <c r="B1579" s="4" t="n"/>
      <c r="C1579" s="4" t="n"/>
      <c r="D1579" s="4" t="n"/>
      <c r="E1579" s="4" t="n"/>
      <c r="F1579" s="6">
        <f>IF(B1579="","",IFERROR(INDEX(Products!$E:$E,MATCH(B1579,Products!$A:$A,0)),0))</f>
        <v/>
      </c>
      <c r="G1579" s="6">
        <f>IF(B1579="","",N(C1579)*N(F1579))</f>
        <v/>
      </c>
      <c r="H1579">
        <f>IF(B1579="","",IFERROR(INDEX(Products!$B:$B,MATCH(B1579,Products!$A:$A,0)),"SKU not found"))</f>
        <v/>
      </c>
    </row>
    <row r="1580">
      <c r="A1580" s="7" t="n"/>
      <c r="B1580" s="4" t="n"/>
      <c r="C1580" s="4" t="n"/>
      <c r="D1580" s="4" t="n"/>
      <c r="E1580" s="4" t="n"/>
      <c r="F1580" s="6">
        <f>IF(B1580="","",IFERROR(INDEX(Products!$E:$E,MATCH(B1580,Products!$A:$A,0)),0))</f>
        <v/>
      </c>
      <c r="G1580" s="6">
        <f>IF(B1580="","",N(C1580)*N(F1580))</f>
        <v/>
      </c>
      <c r="H1580">
        <f>IF(B1580="","",IFERROR(INDEX(Products!$B:$B,MATCH(B1580,Products!$A:$A,0)),"SKU not found"))</f>
        <v/>
      </c>
    </row>
    <row r="1581">
      <c r="A1581" s="7" t="n"/>
      <c r="B1581" s="4" t="n"/>
      <c r="C1581" s="4" t="n"/>
      <c r="D1581" s="4" t="n"/>
      <c r="E1581" s="4" t="n"/>
      <c r="F1581" s="6">
        <f>IF(B1581="","",IFERROR(INDEX(Products!$E:$E,MATCH(B1581,Products!$A:$A,0)),0))</f>
        <v/>
      </c>
      <c r="G1581" s="6">
        <f>IF(B1581="","",N(C1581)*N(F1581))</f>
        <v/>
      </c>
      <c r="H1581">
        <f>IF(B1581="","",IFERROR(INDEX(Products!$B:$B,MATCH(B1581,Products!$A:$A,0)),"SKU not found"))</f>
        <v/>
      </c>
    </row>
    <row r="1582">
      <c r="A1582" s="7" t="n"/>
      <c r="B1582" s="4" t="n"/>
      <c r="C1582" s="4" t="n"/>
      <c r="D1582" s="4" t="n"/>
      <c r="E1582" s="4" t="n"/>
      <c r="F1582" s="6">
        <f>IF(B1582="","",IFERROR(INDEX(Products!$E:$E,MATCH(B1582,Products!$A:$A,0)),0))</f>
        <v/>
      </c>
      <c r="G1582" s="6">
        <f>IF(B1582="","",N(C1582)*N(F1582))</f>
        <v/>
      </c>
      <c r="H1582">
        <f>IF(B1582="","",IFERROR(INDEX(Products!$B:$B,MATCH(B1582,Products!$A:$A,0)),"SKU not found"))</f>
        <v/>
      </c>
    </row>
    <row r="1583">
      <c r="A1583" s="7" t="n"/>
      <c r="B1583" s="4" t="n"/>
      <c r="C1583" s="4" t="n"/>
      <c r="D1583" s="4" t="n"/>
      <c r="E1583" s="4" t="n"/>
      <c r="F1583" s="6">
        <f>IF(B1583="","",IFERROR(INDEX(Products!$E:$E,MATCH(B1583,Products!$A:$A,0)),0))</f>
        <v/>
      </c>
      <c r="G1583" s="6">
        <f>IF(B1583="","",N(C1583)*N(F1583))</f>
        <v/>
      </c>
      <c r="H1583">
        <f>IF(B1583="","",IFERROR(INDEX(Products!$B:$B,MATCH(B1583,Products!$A:$A,0)),"SKU not found"))</f>
        <v/>
      </c>
    </row>
    <row r="1584">
      <c r="A1584" s="7" t="n"/>
      <c r="B1584" s="4" t="n"/>
      <c r="C1584" s="4" t="n"/>
      <c r="D1584" s="4" t="n"/>
      <c r="E1584" s="4" t="n"/>
      <c r="F1584" s="6">
        <f>IF(B1584="","",IFERROR(INDEX(Products!$E:$E,MATCH(B1584,Products!$A:$A,0)),0))</f>
        <v/>
      </c>
      <c r="G1584" s="6">
        <f>IF(B1584="","",N(C1584)*N(F1584))</f>
        <v/>
      </c>
      <c r="H1584">
        <f>IF(B1584="","",IFERROR(INDEX(Products!$B:$B,MATCH(B1584,Products!$A:$A,0)),"SKU not found"))</f>
        <v/>
      </c>
    </row>
    <row r="1585">
      <c r="A1585" s="7" t="n"/>
      <c r="B1585" s="4" t="n"/>
      <c r="C1585" s="4" t="n"/>
      <c r="D1585" s="4" t="n"/>
      <c r="E1585" s="4" t="n"/>
      <c r="F1585" s="6">
        <f>IF(B1585="","",IFERROR(INDEX(Products!$E:$E,MATCH(B1585,Products!$A:$A,0)),0))</f>
        <v/>
      </c>
      <c r="G1585" s="6">
        <f>IF(B1585="","",N(C1585)*N(F1585))</f>
        <v/>
      </c>
      <c r="H1585">
        <f>IF(B1585="","",IFERROR(INDEX(Products!$B:$B,MATCH(B1585,Products!$A:$A,0)),"SKU not found"))</f>
        <v/>
      </c>
    </row>
    <row r="1586">
      <c r="A1586" s="7" t="n"/>
      <c r="B1586" s="4" t="n"/>
      <c r="C1586" s="4" t="n"/>
      <c r="D1586" s="4" t="n"/>
      <c r="E1586" s="4" t="n"/>
      <c r="F1586" s="6">
        <f>IF(B1586="","",IFERROR(INDEX(Products!$E:$E,MATCH(B1586,Products!$A:$A,0)),0))</f>
        <v/>
      </c>
      <c r="G1586" s="6">
        <f>IF(B1586="","",N(C1586)*N(F1586))</f>
        <v/>
      </c>
      <c r="H1586">
        <f>IF(B1586="","",IFERROR(INDEX(Products!$B:$B,MATCH(B1586,Products!$A:$A,0)),"SKU not found"))</f>
        <v/>
      </c>
    </row>
    <row r="1587">
      <c r="A1587" s="7" t="n"/>
      <c r="B1587" s="4" t="n"/>
      <c r="C1587" s="4" t="n"/>
      <c r="D1587" s="4" t="n"/>
      <c r="E1587" s="4" t="n"/>
      <c r="F1587" s="6">
        <f>IF(B1587="","",IFERROR(INDEX(Products!$E:$E,MATCH(B1587,Products!$A:$A,0)),0))</f>
        <v/>
      </c>
      <c r="G1587" s="6">
        <f>IF(B1587="","",N(C1587)*N(F1587))</f>
        <v/>
      </c>
      <c r="H1587">
        <f>IF(B1587="","",IFERROR(INDEX(Products!$B:$B,MATCH(B1587,Products!$A:$A,0)),"SKU not found"))</f>
        <v/>
      </c>
    </row>
    <row r="1588">
      <c r="A1588" s="7" t="n"/>
      <c r="B1588" s="4" t="n"/>
      <c r="C1588" s="4" t="n"/>
      <c r="D1588" s="4" t="n"/>
      <c r="E1588" s="4" t="n"/>
      <c r="F1588" s="6">
        <f>IF(B1588="","",IFERROR(INDEX(Products!$E:$E,MATCH(B1588,Products!$A:$A,0)),0))</f>
        <v/>
      </c>
      <c r="G1588" s="6">
        <f>IF(B1588="","",N(C1588)*N(F1588))</f>
        <v/>
      </c>
      <c r="H1588">
        <f>IF(B1588="","",IFERROR(INDEX(Products!$B:$B,MATCH(B1588,Products!$A:$A,0)),"SKU not found"))</f>
        <v/>
      </c>
    </row>
    <row r="1589">
      <c r="A1589" s="7" t="n"/>
      <c r="B1589" s="4" t="n"/>
      <c r="C1589" s="4" t="n"/>
      <c r="D1589" s="4" t="n"/>
      <c r="E1589" s="4" t="n"/>
      <c r="F1589" s="6">
        <f>IF(B1589="","",IFERROR(INDEX(Products!$E:$E,MATCH(B1589,Products!$A:$A,0)),0))</f>
        <v/>
      </c>
      <c r="G1589" s="6">
        <f>IF(B1589="","",N(C1589)*N(F1589))</f>
        <v/>
      </c>
      <c r="H1589">
        <f>IF(B1589="","",IFERROR(INDEX(Products!$B:$B,MATCH(B1589,Products!$A:$A,0)),"SKU not found"))</f>
        <v/>
      </c>
    </row>
    <row r="1590">
      <c r="A1590" s="7" t="n"/>
      <c r="B1590" s="4" t="n"/>
      <c r="C1590" s="4" t="n"/>
      <c r="D1590" s="4" t="n"/>
      <c r="E1590" s="4" t="n"/>
      <c r="F1590" s="6">
        <f>IF(B1590="","",IFERROR(INDEX(Products!$E:$E,MATCH(B1590,Products!$A:$A,0)),0))</f>
        <v/>
      </c>
      <c r="G1590" s="6">
        <f>IF(B1590="","",N(C1590)*N(F1590))</f>
        <v/>
      </c>
      <c r="H1590">
        <f>IF(B1590="","",IFERROR(INDEX(Products!$B:$B,MATCH(B1590,Products!$A:$A,0)),"SKU not found"))</f>
        <v/>
      </c>
    </row>
    <row r="1591">
      <c r="A1591" s="7" t="n"/>
      <c r="B1591" s="4" t="n"/>
      <c r="C1591" s="4" t="n"/>
      <c r="D1591" s="4" t="n"/>
      <c r="E1591" s="4" t="n"/>
      <c r="F1591" s="6">
        <f>IF(B1591="","",IFERROR(INDEX(Products!$E:$E,MATCH(B1591,Products!$A:$A,0)),0))</f>
        <v/>
      </c>
      <c r="G1591" s="6">
        <f>IF(B1591="","",N(C1591)*N(F1591))</f>
        <v/>
      </c>
      <c r="H1591">
        <f>IF(B1591="","",IFERROR(INDEX(Products!$B:$B,MATCH(B1591,Products!$A:$A,0)),"SKU not found"))</f>
        <v/>
      </c>
    </row>
    <row r="1592">
      <c r="A1592" s="7" t="n"/>
      <c r="B1592" s="4" t="n"/>
      <c r="C1592" s="4" t="n"/>
      <c r="D1592" s="4" t="n"/>
      <c r="E1592" s="4" t="n"/>
      <c r="F1592" s="6">
        <f>IF(B1592="","",IFERROR(INDEX(Products!$E:$E,MATCH(B1592,Products!$A:$A,0)),0))</f>
        <v/>
      </c>
      <c r="G1592" s="6">
        <f>IF(B1592="","",N(C1592)*N(F1592))</f>
        <v/>
      </c>
      <c r="H1592">
        <f>IF(B1592="","",IFERROR(INDEX(Products!$B:$B,MATCH(B1592,Products!$A:$A,0)),"SKU not found"))</f>
        <v/>
      </c>
    </row>
    <row r="1593">
      <c r="A1593" s="7" t="n"/>
      <c r="B1593" s="4" t="n"/>
      <c r="C1593" s="4" t="n"/>
      <c r="D1593" s="4" t="n"/>
      <c r="E1593" s="4" t="n"/>
      <c r="F1593" s="6">
        <f>IF(B1593="","",IFERROR(INDEX(Products!$E:$E,MATCH(B1593,Products!$A:$A,0)),0))</f>
        <v/>
      </c>
      <c r="G1593" s="6">
        <f>IF(B1593="","",N(C1593)*N(F1593))</f>
        <v/>
      </c>
      <c r="H1593">
        <f>IF(B1593="","",IFERROR(INDEX(Products!$B:$B,MATCH(B1593,Products!$A:$A,0)),"SKU not found"))</f>
        <v/>
      </c>
    </row>
    <row r="1594">
      <c r="A1594" s="7" t="n"/>
      <c r="B1594" s="4" t="n"/>
      <c r="C1594" s="4" t="n"/>
      <c r="D1594" s="4" t="n"/>
      <c r="E1594" s="4" t="n"/>
      <c r="F1594" s="6">
        <f>IF(B1594="","",IFERROR(INDEX(Products!$E:$E,MATCH(B1594,Products!$A:$A,0)),0))</f>
        <v/>
      </c>
      <c r="G1594" s="6">
        <f>IF(B1594="","",N(C1594)*N(F1594))</f>
        <v/>
      </c>
      <c r="H1594">
        <f>IF(B1594="","",IFERROR(INDEX(Products!$B:$B,MATCH(B1594,Products!$A:$A,0)),"SKU not found"))</f>
        <v/>
      </c>
    </row>
    <row r="1595">
      <c r="A1595" s="7" t="n"/>
      <c r="B1595" s="4" t="n"/>
      <c r="C1595" s="4" t="n"/>
      <c r="D1595" s="4" t="n"/>
      <c r="E1595" s="4" t="n"/>
      <c r="F1595" s="6">
        <f>IF(B1595="","",IFERROR(INDEX(Products!$E:$E,MATCH(B1595,Products!$A:$A,0)),0))</f>
        <v/>
      </c>
      <c r="G1595" s="6">
        <f>IF(B1595="","",N(C1595)*N(F1595))</f>
        <v/>
      </c>
      <c r="H1595">
        <f>IF(B1595="","",IFERROR(INDEX(Products!$B:$B,MATCH(B1595,Products!$A:$A,0)),"SKU not found"))</f>
        <v/>
      </c>
    </row>
    <row r="1596">
      <c r="A1596" s="7" t="n"/>
      <c r="B1596" s="4" t="n"/>
      <c r="C1596" s="4" t="n"/>
      <c r="D1596" s="4" t="n"/>
      <c r="E1596" s="4" t="n"/>
      <c r="F1596" s="6">
        <f>IF(B1596="","",IFERROR(INDEX(Products!$E:$E,MATCH(B1596,Products!$A:$A,0)),0))</f>
        <v/>
      </c>
      <c r="G1596" s="6">
        <f>IF(B1596="","",N(C1596)*N(F1596))</f>
        <v/>
      </c>
      <c r="H1596">
        <f>IF(B1596="","",IFERROR(INDEX(Products!$B:$B,MATCH(B1596,Products!$A:$A,0)),"SKU not found"))</f>
        <v/>
      </c>
    </row>
    <row r="1597">
      <c r="A1597" s="7" t="n"/>
      <c r="B1597" s="4" t="n"/>
      <c r="C1597" s="4" t="n"/>
      <c r="D1597" s="4" t="n"/>
      <c r="E1597" s="4" t="n"/>
      <c r="F1597" s="6">
        <f>IF(B1597="","",IFERROR(INDEX(Products!$E:$E,MATCH(B1597,Products!$A:$A,0)),0))</f>
        <v/>
      </c>
      <c r="G1597" s="6">
        <f>IF(B1597="","",N(C1597)*N(F1597))</f>
        <v/>
      </c>
      <c r="H1597">
        <f>IF(B1597="","",IFERROR(INDEX(Products!$B:$B,MATCH(B1597,Products!$A:$A,0)),"SKU not found"))</f>
        <v/>
      </c>
    </row>
    <row r="1598">
      <c r="A1598" s="7" t="n"/>
      <c r="B1598" s="4" t="n"/>
      <c r="C1598" s="4" t="n"/>
      <c r="D1598" s="4" t="n"/>
      <c r="E1598" s="4" t="n"/>
      <c r="F1598" s="6">
        <f>IF(B1598="","",IFERROR(INDEX(Products!$E:$E,MATCH(B1598,Products!$A:$A,0)),0))</f>
        <v/>
      </c>
      <c r="G1598" s="6">
        <f>IF(B1598="","",N(C1598)*N(F1598))</f>
        <v/>
      </c>
      <c r="H1598">
        <f>IF(B1598="","",IFERROR(INDEX(Products!$B:$B,MATCH(B1598,Products!$A:$A,0)),"SKU not found"))</f>
        <v/>
      </c>
    </row>
    <row r="1599">
      <c r="A1599" s="7" t="n"/>
      <c r="B1599" s="4" t="n"/>
      <c r="C1599" s="4" t="n"/>
      <c r="D1599" s="4" t="n"/>
      <c r="E1599" s="4" t="n"/>
      <c r="F1599" s="6">
        <f>IF(B1599="","",IFERROR(INDEX(Products!$E:$E,MATCH(B1599,Products!$A:$A,0)),0))</f>
        <v/>
      </c>
      <c r="G1599" s="6">
        <f>IF(B1599="","",N(C1599)*N(F1599))</f>
        <v/>
      </c>
      <c r="H1599">
        <f>IF(B1599="","",IFERROR(INDEX(Products!$B:$B,MATCH(B1599,Products!$A:$A,0)),"SKU not found"))</f>
        <v/>
      </c>
    </row>
    <row r="1600">
      <c r="A1600" s="7" t="n"/>
      <c r="B1600" s="4" t="n"/>
      <c r="C1600" s="4" t="n"/>
      <c r="D1600" s="4" t="n"/>
      <c r="E1600" s="4" t="n"/>
      <c r="F1600" s="6">
        <f>IF(B1600="","",IFERROR(INDEX(Products!$E:$E,MATCH(B1600,Products!$A:$A,0)),0))</f>
        <v/>
      </c>
      <c r="G1600" s="6">
        <f>IF(B1600="","",N(C1600)*N(F1600))</f>
        <v/>
      </c>
      <c r="H1600">
        <f>IF(B1600="","",IFERROR(INDEX(Products!$B:$B,MATCH(B1600,Products!$A:$A,0)),"SKU not found"))</f>
        <v/>
      </c>
    </row>
    <row r="1601">
      <c r="A1601" s="7" t="n"/>
      <c r="B1601" s="4" t="n"/>
      <c r="C1601" s="4" t="n"/>
      <c r="D1601" s="4" t="n"/>
      <c r="E1601" s="4" t="n"/>
      <c r="F1601" s="6">
        <f>IF(B1601="","",IFERROR(INDEX(Products!$E:$E,MATCH(B1601,Products!$A:$A,0)),0))</f>
        <v/>
      </c>
      <c r="G1601" s="6">
        <f>IF(B1601="","",N(C1601)*N(F1601))</f>
        <v/>
      </c>
      <c r="H1601">
        <f>IF(B1601="","",IFERROR(INDEX(Products!$B:$B,MATCH(B1601,Products!$A:$A,0)),"SKU not found"))</f>
        <v/>
      </c>
    </row>
    <row r="1602">
      <c r="A1602" s="7" t="n"/>
      <c r="B1602" s="4" t="n"/>
      <c r="C1602" s="4" t="n"/>
      <c r="D1602" s="4" t="n"/>
      <c r="E1602" s="4" t="n"/>
      <c r="F1602" s="6">
        <f>IF(B1602="","",IFERROR(INDEX(Products!$E:$E,MATCH(B1602,Products!$A:$A,0)),0))</f>
        <v/>
      </c>
      <c r="G1602" s="6">
        <f>IF(B1602="","",N(C1602)*N(F1602))</f>
        <v/>
      </c>
      <c r="H1602">
        <f>IF(B1602="","",IFERROR(INDEX(Products!$B:$B,MATCH(B1602,Products!$A:$A,0)),"SKU not found"))</f>
        <v/>
      </c>
    </row>
    <row r="1603">
      <c r="A1603" s="7" t="n"/>
      <c r="B1603" s="4" t="n"/>
      <c r="C1603" s="4" t="n"/>
      <c r="D1603" s="4" t="n"/>
      <c r="E1603" s="4" t="n"/>
      <c r="F1603" s="6">
        <f>IF(B1603="","",IFERROR(INDEX(Products!$E:$E,MATCH(B1603,Products!$A:$A,0)),0))</f>
        <v/>
      </c>
      <c r="G1603" s="6">
        <f>IF(B1603="","",N(C1603)*N(F1603))</f>
        <v/>
      </c>
      <c r="H1603">
        <f>IF(B1603="","",IFERROR(INDEX(Products!$B:$B,MATCH(B1603,Products!$A:$A,0)),"SKU not found"))</f>
        <v/>
      </c>
    </row>
    <row r="1604">
      <c r="A1604" s="7" t="n"/>
      <c r="B1604" s="4" t="n"/>
      <c r="C1604" s="4" t="n"/>
      <c r="D1604" s="4" t="n"/>
      <c r="E1604" s="4" t="n"/>
      <c r="F1604" s="6">
        <f>IF(B1604="","",IFERROR(INDEX(Products!$E:$E,MATCH(B1604,Products!$A:$A,0)),0))</f>
        <v/>
      </c>
      <c r="G1604" s="6">
        <f>IF(B1604="","",N(C1604)*N(F1604))</f>
        <v/>
      </c>
      <c r="H1604">
        <f>IF(B1604="","",IFERROR(INDEX(Products!$B:$B,MATCH(B1604,Products!$A:$A,0)),"SKU not found"))</f>
        <v/>
      </c>
    </row>
    <row r="1605">
      <c r="A1605" s="7" t="n"/>
      <c r="B1605" s="4" t="n"/>
      <c r="C1605" s="4" t="n"/>
      <c r="D1605" s="4" t="n"/>
      <c r="E1605" s="4" t="n"/>
      <c r="F1605" s="6">
        <f>IF(B1605="","",IFERROR(INDEX(Products!$E:$E,MATCH(B1605,Products!$A:$A,0)),0))</f>
        <v/>
      </c>
      <c r="G1605" s="6">
        <f>IF(B1605="","",N(C1605)*N(F1605))</f>
        <v/>
      </c>
      <c r="H1605">
        <f>IF(B1605="","",IFERROR(INDEX(Products!$B:$B,MATCH(B1605,Products!$A:$A,0)),"SKU not found"))</f>
        <v/>
      </c>
    </row>
    <row r="1606">
      <c r="A1606" s="7" t="n"/>
      <c r="B1606" s="4" t="n"/>
      <c r="C1606" s="4" t="n"/>
      <c r="D1606" s="4" t="n"/>
      <c r="E1606" s="4" t="n"/>
      <c r="F1606" s="6">
        <f>IF(B1606="","",IFERROR(INDEX(Products!$E:$E,MATCH(B1606,Products!$A:$A,0)),0))</f>
        <v/>
      </c>
      <c r="G1606" s="6">
        <f>IF(B1606="","",N(C1606)*N(F1606))</f>
        <v/>
      </c>
      <c r="H1606">
        <f>IF(B1606="","",IFERROR(INDEX(Products!$B:$B,MATCH(B1606,Products!$A:$A,0)),"SKU not found"))</f>
        <v/>
      </c>
    </row>
    <row r="1607">
      <c r="A1607" s="7" t="n"/>
      <c r="B1607" s="4" t="n"/>
      <c r="C1607" s="4" t="n"/>
      <c r="D1607" s="4" t="n"/>
      <c r="E1607" s="4" t="n"/>
      <c r="F1607" s="6">
        <f>IF(B1607="","",IFERROR(INDEX(Products!$E:$E,MATCH(B1607,Products!$A:$A,0)),0))</f>
        <v/>
      </c>
      <c r="G1607" s="6">
        <f>IF(B1607="","",N(C1607)*N(F1607))</f>
        <v/>
      </c>
      <c r="H1607">
        <f>IF(B1607="","",IFERROR(INDEX(Products!$B:$B,MATCH(B1607,Products!$A:$A,0)),"SKU not found"))</f>
        <v/>
      </c>
    </row>
    <row r="1608">
      <c r="A1608" s="7" t="n"/>
      <c r="B1608" s="4" t="n"/>
      <c r="C1608" s="4" t="n"/>
      <c r="D1608" s="4" t="n"/>
      <c r="E1608" s="4" t="n"/>
      <c r="F1608" s="6">
        <f>IF(B1608="","",IFERROR(INDEX(Products!$E:$E,MATCH(B1608,Products!$A:$A,0)),0))</f>
        <v/>
      </c>
      <c r="G1608" s="6">
        <f>IF(B1608="","",N(C1608)*N(F1608))</f>
        <v/>
      </c>
      <c r="H1608">
        <f>IF(B1608="","",IFERROR(INDEX(Products!$B:$B,MATCH(B1608,Products!$A:$A,0)),"SKU not found"))</f>
        <v/>
      </c>
    </row>
    <row r="1609">
      <c r="A1609" s="7" t="n"/>
      <c r="B1609" s="4" t="n"/>
      <c r="C1609" s="4" t="n"/>
      <c r="D1609" s="4" t="n"/>
      <c r="E1609" s="4" t="n"/>
      <c r="F1609" s="6">
        <f>IF(B1609="","",IFERROR(INDEX(Products!$E:$E,MATCH(B1609,Products!$A:$A,0)),0))</f>
        <v/>
      </c>
      <c r="G1609" s="6">
        <f>IF(B1609="","",N(C1609)*N(F1609))</f>
        <v/>
      </c>
      <c r="H1609">
        <f>IF(B1609="","",IFERROR(INDEX(Products!$B:$B,MATCH(B1609,Products!$A:$A,0)),"SKU not found"))</f>
        <v/>
      </c>
    </row>
    <row r="1610">
      <c r="A1610" s="7" t="n"/>
      <c r="B1610" s="4" t="n"/>
      <c r="C1610" s="4" t="n"/>
      <c r="D1610" s="4" t="n"/>
      <c r="E1610" s="4" t="n"/>
      <c r="F1610" s="6">
        <f>IF(B1610="","",IFERROR(INDEX(Products!$E:$E,MATCH(B1610,Products!$A:$A,0)),0))</f>
        <v/>
      </c>
      <c r="G1610" s="6">
        <f>IF(B1610="","",N(C1610)*N(F1610))</f>
        <v/>
      </c>
      <c r="H1610">
        <f>IF(B1610="","",IFERROR(INDEX(Products!$B:$B,MATCH(B1610,Products!$A:$A,0)),"SKU not found"))</f>
        <v/>
      </c>
    </row>
    <row r="1611">
      <c r="A1611" s="7" t="n"/>
      <c r="B1611" s="4" t="n"/>
      <c r="C1611" s="4" t="n"/>
      <c r="D1611" s="4" t="n"/>
      <c r="E1611" s="4" t="n"/>
      <c r="F1611" s="6">
        <f>IF(B1611="","",IFERROR(INDEX(Products!$E:$E,MATCH(B1611,Products!$A:$A,0)),0))</f>
        <v/>
      </c>
      <c r="G1611" s="6">
        <f>IF(B1611="","",N(C1611)*N(F1611))</f>
        <v/>
      </c>
      <c r="H1611">
        <f>IF(B1611="","",IFERROR(INDEX(Products!$B:$B,MATCH(B1611,Products!$A:$A,0)),"SKU not found"))</f>
        <v/>
      </c>
    </row>
    <row r="1612">
      <c r="A1612" s="7" t="n"/>
      <c r="B1612" s="4" t="n"/>
      <c r="C1612" s="4" t="n"/>
      <c r="D1612" s="4" t="n"/>
      <c r="E1612" s="4" t="n"/>
      <c r="F1612" s="6">
        <f>IF(B1612="","",IFERROR(INDEX(Products!$E:$E,MATCH(B1612,Products!$A:$A,0)),0))</f>
        <v/>
      </c>
      <c r="G1612" s="6">
        <f>IF(B1612="","",N(C1612)*N(F1612))</f>
        <v/>
      </c>
      <c r="H1612">
        <f>IF(B1612="","",IFERROR(INDEX(Products!$B:$B,MATCH(B1612,Products!$A:$A,0)),"SKU not found"))</f>
        <v/>
      </c>
    </row>
    <row r="1613">
      <c r="A1613" s="7" t="n"/>
      <c r="B1613" s="4" t="n"/>
      <c r="C1613" s="4" t="n"/>
      <c r="D1613" s="4" t="n"/>
      <c r="E1613" s="4" t="n"/>
      <c r="F1613" s="6">
        <f>IF(B1613="","",IFERROR(INDEX(Products!$E:$E,MATCH(B1613,Products!$A:$A,0)),0))</f>
        <v/>
      </c>
      <c r="G1613" s="6">
        <f>IF(B1613="","",N(C1613)*N(F1613))</f>
        <v/>
      </c>
      <c r="H1613">
        <f>IF(B1613="","",IFERROR(INDEX(Products!$B:$B,MATCH(B1613,Products!$A:$A,0)),"SKU not found"))</f>
        <v/>
      </c>
    </row>
    <row r="1614">
      <c r="A1614" s="7" t="n"/>
      <c r="B1614" s="4" t="n"/>
      <c r="C1614" s="4" t="n"/>
      <c r="D1614" s="4" t="n"/>
      <c r="E1614" s="4" t="n"/>
      <c r="F1614" s="6">
        <f>IF(B1614="","",IFERROR(INDEX(Products!$E:$E,MATCH(B1614,Products!$A:$A,0)),0))</f>
        <v/>
      </c>
      <c r="G1614" s="6">
        <f>IF(B1614="","",N(C1614)*N(F1614))</f>
        <v/>
      </c>
      <c r="H1614">
        <f>IF(B1614="","",IFERROR(INDEX(Products!$B:$B,MATCH(B1614,Products!$A:$A,0)),"SKU not found"))</f>
        <v/>
      </c>
    </row>
    <row r="1615">
      <c r="A1615" s="7" t="n"/>
      <c r="B1615" s="4" t="n"/>
      <c r="C1615" s="4" t="n"/>
      <c r="D1615" s="4" t="n"/>
      <c r="E1615" s="4" t="n"/>
      <c r="F1615" s="6">
        <f>IF(B1615="","",IFERROR(INDEX(Products!$E:$E,MATCH(B1615,Products!$A:$A,0)),0))</f>
        <v/>
      </c>
      <c r="G1615" s="6">
        <f>IF(B1615="","",N(C1615)*N(F1615))</f>
        <v/>
      </c>
      <c r="H1615">
        <f>IF(B1615="","",IFERROR(INDEX(Products!$B:$B,MATCH(B1615,Products!$A:$A,0)),"SKU not found"))</f>
        <v/>
      </c>
    </row>
    <row r="1616">
      <c r="A1616" s="7" t="n"/>
      <c r="B1616" s="4" t="n"/>
      <c r="C1616" s="4" t="n"/>
      <c r="D1616" s="4" t="n"/>
      <c r="E1616" s="4" t="n"/>
      <c r="F1616" s="6">
        <f>IF(B1616="","",IFERROR(INDEX(Products!$E:$E,MATCH(B1616,Products!$A:$A,0)),0))</f>
        <v/>
      </c>
      <c r="G1616" s="6">
        <f>IF(B1616="","",N(C1616)*N(F1616))</f>
        <v/>
      </c>
      <c r="H1616">
        <f>IF(B1616="","",IFERROR(INDEX(Products!$B:$B,MATCH(B1616,Products!$A:$A,0)),"SKU not found"))</f>
        <v/>
      </c>
    </row>
    <row r="1617">
      <c r="A1617" s="7" t="n"/>
      <c r="B1617" s="4" t="n"/>
      <c r="C1617" s="4" t="n"/>
      <c r="D1617" s="4" t="n"/>
      <c r="E1617" s="4" t="n"/>
      <c r="F1617" s="6">
        <f>IF(B1617="","",IFERROR(INDEX(Products!$E:$E,MATCH(B1617,Products!$A:$A,0)),0))</f>
        <v/>
      </c>
      <c r="G1617" s="6">
        <f>IF(B1617="","",N(C1617)*N(F1617))</f>
        <v/>
      </c>
      <c r="H1617">
        <f>IF(B1617="","",IFERROR(INDEX(Products!$B:$B,MATCH(B1617,Products!$A:$A,0)),"SKU not found"))</f>
        <v/>
      </c>
    </row>
    <row r="1618">
      <c r="A1618" s="7" t="n"/>
      <c r="B1618" s="4" t="n"/>
      <c r="C1618" s="4" t="n"/>
      <c r="D1618" s="4" t="n"/>
      <c r="E1618" s="4" t="n"/>
      <c r="F1618" s="6">
        <f>IF(B1618="","",IFERROR(INDEX(Products!$E:$E,MATCH(B1618,Products!$A:$A,0)),0))</f>
        <v/>
      </c>
      <c r="G1618" s="6">
        <f>IF(B1618="","",N(C1618)*N(F1618))</f>
        <v/>
      </c>
      <c r="H1618">
        <f>IF(B1618="","",IFERROR(INDEX(Products!$B:$B,MATCH(B1618,Products!$A:$A,0)),"SKU not found"))</f>
        <v/>
      </c>
    </row>
    <row r="1619">
      <c r="A1619" s="7" t="n"/>
      <c r="B1619" s="4" t="n"/>
      <c r="C1619" s="4" t="n"/>
      <c r="D1619" s="4" t="n"/>
      <c r="E1619" s="4" t="n"/>
      <c r="F1619" s="6">
        <f>IF(B1619="","",IFERROR(INDEX(Products!$E:$E,MATCH(B1619,Products!$A:$A,0)),0))</f>
        <v/>
      </c>
      <c r="G1619" s="6">
        <f>IF(B1619="","",N(C1619)*N(F1619))</f>
        <v/>
      </c>
      <c r="H1619">
        <f>IF(B1619="","",IFERROR(INDEX(Products!$B:$B,MATCH(B1619,Products!$A:$A,0)),"SKU not found"))</f>
        <v/>
      </c>
    </row>
    <row r="1620">
      <c r="A1620" s="7" t="n"/>
      <c r="B1620" s="4" t="n"/>
      <c r="C1620" s="4" t="n"/>
      <c r="D1620" s="4" t="n"/>
      <c r="E1620" s="4" t="n"/>
      <c r="F1620" s="6">
        <f>IF(B1620="","",IFERROR(INDEX(Products!$E:$E,MATCH(B1620,Products!$A:$A,0)),0))</f>
        <v/>
      </c>
      <c r="G1620" s="6">
        <f>IF(B1620="","",N(C1620)*N(F1620))</f>
        <v/>
      </c>
      <c r="H1620">
        <f>IF(B1620="","",IFERROR(INDEX(Products!$B:$B,MATCH(B1620,Products!$A:$A,0)),"SKU not found"))</f>
        <v/>
      </c>
    </row>
    <row r="1621">
      <c r="A1621" s="7" t="n"/>
      <c r="B1621" s="4" t="n"/>
      <c r="C1621" s="4" t="n"/>
      <c r="D1621" s="4" t="n"/>
      <c r="E1621" s="4" t="n"/>
      <c r="F1621" s="6">
        <f>IF(B1621="","",IFERROR(INDEX(Products!$E:$E,MATCH(B1621,Products!$A:$A,0)),0))</f>
        <v/>
      </c>
      <c r="G1621" s="6">
        <f>IF(B1621="","",N(C1621)*N(F1621))</f>
        <v/>
      </c>
      <c r="H1621">
        <f>IF(B1621="","",IFERROR(INDEX(Products!$B:$B,MATCH(B1621,Products!$A:$A,0)),"SKU not found"))</f>
        <v/>
      </c>
    </row>
    <row r="1622">
      <c r="A1622" s="7" t="n"/>
      <c r="B1622" s="4" t="n"/>
      <c r="C1622" s="4" t="n"/>
      <c r="D1622" s="4" t="n"/>
      <c r="E1622" s="4" t="n"/>
      <c r="F1622" s="6">
        <f>IF(B1622="","",IFERROR(INDEX(Products!$E:$E,MATCH(B1622,Products!$A:$A,0)),0))</f>
        <v/>
      </c>
      <c r="G1622" s="6">
        <f>IF(B1622="","",N(C1622)*N(F1622))</f>
        <v/>
      </c>
      <c r="H1622">
        <f>IF(B1622="","",IFERROR(INDEX(Products!$B:$B,MATCH(B1622,Products!$A:$A,0)),"SKU not found"))</f>
        <v/>
      </c>
    </row>
    <row r="1623">
      <c r="A1623" s="7" t="n"/>
      <c r="B1623" s="4" t="n"/>
      <c r="C1623" s="4" t="n"/>
      <c r="D1623" s="4" t="n"/>
      <c r="E1623" s="4" t="n"/>
      <c r="F1623" s="6">
        <f>IF(B1623="","",IFERROR(INDEX(Products!$E:$E,MATCH(B1623,Products!$A:$A,0)),0))</f>
        <v/>
      </c>
      <c r="G1623" s="6">
        <f>IF(B1623="","",N(C1623)*N(F1623))</f>
        <v/>
      </c>
      <c r="H1623">
        <f>IF(B1623="","",IFERROR(INDEX(Products!$B:$B,MATCH(B1623,Products!$A:$A,0)),"SKU not found"))</f>
        <v/>
      </c>
    </row>
    <row r="1624">
      <c r="A1624" s="7" t="n"/>
      <c r="B1624" s="4" t="n"/>
      <c r="C1624" s="4" t="n"/>
      <c r="D1624" s="4" t="n"/>
      <c r="E1624" s="4" t="n"/>
      <c r="F1624" s="6">
        <f>IF(B1624="","",IFERROR(INDEX(Products!$E:$E,MATCH(B1624,Products!$A:$A,0)),0))</f>
        <v/>
      </c>
      <c r="G1624" s="6">
        <f>IF(B1624="","",N(C1624)*N(F1624))</f>
        <v/>
      </c>
      <c r="H1624">
        <f>IF(B1624="","",IFERROR(INDEX(Products!$B:$B,MATCH(B1624,Products!$A:$A,0)),"SKU not found"))</f>
        <v/>
      </c>
    </row>
    <row r="1625">
      <c r="A1625" s="7" t="n"/>
      <c r="B1625" s="4" t="n"/>
      <c r="C1625" s="4" t="n"/>
      <c r="D1625" s="4" t="n"/>
      <c r="E1625" s="4" t="n"/>
      <c r="F1625" s="6">
        <f>IF(B1625="","",IFERROR(INDEX(Products!$E:$E,MATCH(B1625,Products!$A:$A,0)),0))</f>
        <v/>
      </c>
      <c r="G1625" s="6">
        <f>IF(B1625="","",N(C1625)*N(F1625))</f>
        <v/>
      </c>
      <c r="H1625">
        <f>IF(B1625="","",IFERROR(INDEX(Products!$B:$B,MATCH(B1625,Products!$A:$A,0)),"SKU not found"))</f>
        <v/>
      </c>
    </row>
    <row r="1626">
      <c r="A1626" s="7" t="n"/>
      <c r="B1626" s="4" t="n"/>
      <c r="C1626" s="4" t="n"/>
      <c r="D1626" s="4" t="n"/>
      <c r="E1626" s="4" t="n"/>
      <c r="F1626" s="6">
        <f>IF(B1626="","",IFERROR(INDEX(Products!$E:$E,MATCH(B1626,Products!$A:$A,0)),0))</f>
        <v/>
      </c>
      <c r="G1626" s="6">
        <f>IF(B1626="","",N(C1626)*N(F1626))</f>
        <v/>
      </c>
      <c r="H1626">
        <f>IF(B1626="","",IFERROR(INDEX(Products!$B:$B,MATCH(B1626,Products!$A:$A,0)),"SKU not found"))</f>
        <v/>
      </c>
    </row>
    <row r="1627">
      <c r="A1627" s="7" t="n"/>
      <c r="B1627" s="4" t="n"/>
      <c r="C1627" s="4" t="n"/>
      <c r="D1627" s="4" t="n"/>
      <c r="E1627" s="4" t="n"/>
      <c r="F1627" s="6">
        <f>IF(B1627="","",IFERROR(INDEX(Products!$E:$E,MATCH(B1627,Products!$A:$A,0)),0))</f>
        <v/>
      </c>
      <c r="G1627" s="6">
        <f>IF(B1627="","",N(C1627)*N(F1627))</f>
        <v/>
      </c>
      <c r="H1627">
        <f>IF(B1627="","",IFERROR(INDEX(Products!$B:$B,MATCH(B1627,Products!$A:$A,0)),"SKU not found"))</f>
        <v/>
      </c>
    </row>
    <row r="1628">
      <c r="A1628" s="7" t="n"/>
      <c r="B1628" s="4" t="n"/>
      <c r="C1628" s="4" t="n"/>
      <c r="D1628" s="4" t="n"/>
      <c r="E1628" s="4" t="n"/>
      <c r="F1628" s="6">
        <f>IF(B1628="","",IFERROR(INDEX(Products!$E:$E,MATCH(B1628,Products!$A:$A,0)),0))</f>
        <v/>
      </c>
      <c r="G1628" s="6">
        <f>IF(B1628="","",N(C1628)*N(F1628))</f>
        <v/>
      </c>
      <c r="H1628">
        <f>IF(B1628="","",IFERROR(INDEX(Products!$B:$B,MATCH(B1628,Products!$A:$A,0)),"SKU not found"))</f>
        <v/>
      </c>
    </row>
    <row r="1629">
      <c r="A1629" s="7" t="n"/>
      <c r="B1629" s="4" t="n"/>
      <c r="C1629" s="4" t="n"/>
      <c r="D1629" s="4" t="n"/>
      <c r="E1629" s="4" t="n"/>
      <c r="F1629" s="6">
        <f>IF(B1629="","",IFERROR(INDEX(Products!$E:$E,MATCH(B1629,Products!$A:$A,0)),0))</f>
        <v/>
      </c>
      <c r="G1629" s="6">
        <f>IF(B1629="","",N(C1629)*N(F1629))</f>
        <v/>
      </c>
      <c r="H1629">
        <f>IF(B1629="","",IFERROR(INDEX(Products!$B:$B,MATCH(B1629,Products!$A:$A,0)),"SKU not found"))</f>
        <v/>
      </c>
    </row>
    <row r="1630">
      <c r="A1630" s="7" t="n"/>
      <c r="B1630" s="4" t="n"/>
      <c r="C1630" s="4" t="n"/>
      <c r="D1630" s="4" t="n"/>
      <c r="E1630" s="4" t="n"/>
      <c r="F1630" s="6">
        <f>IF(B1630="","",IFERROR(INDEX(Products!$E:$E,MATCH(B1630,Products!$A:$A,0)),0))</f>
        <v/>
      </c>
      <c r="G1630" s="6">
        <f>IF(B1630="","",N(C1630)*N(F1630))</f>
        <v/>
      </c>
      <c r="H1630">
        <f>IF(B1630="","",IFERROR(INDEX(Products!$B:$B,MATCH(B1630,Products!$A:$A,0)),"SKU not found"))</f>
        <v/>
      </c>
    </row>
    <row r="1631">
      <c r="A1631" s="7" t="n"/>
      <c r="B1631" s="4" t="n"/>
      <c r="C1631" s="4" t="n"/>
      <c r="D1631" s="4" t="n"/>
      <c r="E1631" s="4" t="n"/>
      <c r="F1631" s="6">
        <f>IF(B1631="","",IFERROR(INDEX(Products!$E:$E,MATCH(B1631,Products!$A:$A,0)),0))</f>
        <v/>
      </c>
      <c r="G1631" s="6">
        <f>IF(B1631="","",N(C1631)*N(F1631))</f>
        <v/>
      </c>
      <c r="H1631">
        <f>IF(B1631="","",IFERROR(INDEX(Products!$B:$B,MATCH(B1631,Products!$A:$A,0)),"SKU not found"))</f>
        <v/>
      </c>
    </row>
    <row r="1632">
      <c r="A1632" s="7" t="n"/>
      <c r="B1632" s="4" t="n"/>
      <c r="C1632" s="4" t="n"/>
      <c r="D1632" s="4" t="n"/>
      <c r="E1632" s="4" t="n"/>
      <c r="F1632" s="6">
        <f>IF(B1632="","",IFERROR(INDEX(Products!$E:$E,MATCH(B1632,Products!$A:$A,0)),0))</f>
        <v/>
      </c>
      <c r="G1632" s="6">
        <f>IF(B1632="","",N(C1632)*N(F1632))</f>
        <v/>
      </c>
      <c r="H1632">
        <f>IF(B1632="","",IFERROR(INDEX(Products!$B:$B,MATCH(B1632,Products!$A:$A,0)),"SKU not found"))</f>
        <v/>
      </c>
    </row>
    <row r="1633">
      <c r="A1633" s="7" t="n"/>
      <c r="B1633" s="4" t="n"/>
      <c r="C1633" s="4" t="n"/>
      <c r="D1633" s="4" t="n"/>
      <c r="E1633" s="4" t="n"/>
      <c r="F1633" s="6">
        <f>IF(B1633="","",IFERROR(INDEX(Products!$E:$E,MATCH(B1633,Products!$A:$A,0)),0))</f>
        <v/>
      </c>
      <c r="G1633" s="6">
        <f>IF(B1633="","",N(C1633)*N(F1633))</f>
        <v/>
      </c>
      <c r="H1633">
        <f>IF(B1633="","",IFERROR(INDEX(Products!$B:$B,MATCH(B1633,Products!$A:$A,0)),"SKU not found"))</f>
        <v/>
      </c>
    </row>
    <row r="1634">
      <c r="A1634" s="7" t="n"/>
      <c r="B1634" s="4" t="n"/>
      <c r="C1634" s="4" t="n"/>
      <c r="D1634" s="4" t="n"/>
      <c r="E1634" s="4" t="n"/>
      <c r="F1634" s="6">
        <f>IF(B1634="","",IFERROR(INDEX(Products!$E:$E,MATCH(B1634,Products!$A:$A,0)),0))</f>
        <v/>
      </c>
      <c r="G1634" s="6">
        <f>IF(B1634="","",N(C1634)*N(F1634))</f>
        <v/>
      </c>
      <c r="H1634">
        <f>IF(B1634="","",IFERROR(INDEX(Products!$B:$B,MATCH(B1634,Products!$A:$A,0)),"SKU not found"))</f>
        <v/>
      </c>
    </row>
    <row r="1635">
      <c r="A1635" s="7" t="n"/>
      <c r="B1635" s="4" t="n"/>
      <c r="C1635" s="4" t="n"/>
      <c r="D1635" s="4" t="n"/>
      <c r="E1635" s="4" t="n"/>
      <c r="F1635" s="6">
        <f>IF(B1635="","",IFERROR(INDEX(Products!$E:$E,MATCH(B1635,Products!$A:$A,0)),0))</f>
        <v/>
      </c>
      <c r="G1635" s="6">
        <f>IF(B1635="","",N(C1635)*N(F1635))</f>
        <v/>
      </c>
      <c r="H1635">
        <f>IF(B1635="","",IFERROR(INDEX(Products!$B:$B,MATCH(B1635,Products!$A:$A,0)),"SKU not found"))</f>
        <v/>
      </c>
    </row>
    <row r="1636">
      <c r="A1636" s="7" t="n"/>
      <c r="B1636" s="4" t="n"/>
      <c r="C1636" s="4" t="n"/>
      <c r="D1636" s="4" t="n"/>
      <c r="E1636" s="4" t="n"/>
      <c r="F1636" s="6">
        <f>IF(B1636="","",IFERROR(INDEX(Products!$E:$E,MATCH(B1636,Products!$A:$A,0)),0))</f>
        <v/>
      </c>
      <c r="G1636" s="6">
        <f>IF(B1636="","",N(C1636)*N(F1636))</f>
        <v/>
      </c>
      <c r="H1636">
        <f>IF(B1636="","",IFERROR(INDEX(Products!$B:$B,MATCH(B1636,Products!$A:$A,0)),"SKU not found"))</f>
        <v/>
      </c>
    </row>
    <row r="1637">
      <c r="A1637" s="7" t="n"/>
      <c r="B1637" s="4" t="n"/>
      <c r="C1637" s="4" t="n"/>
      <c r="D1637" s="4" t="n"/>
      <c r="E1637" s="4" t="n"/>
      <c r="F1637" s="6">
        <f>IF(B1637="","",IFERROR(INDEX(Products!$E:$E,MATCH(B1637,Products!$A:$A,0)),0))</f>
        <v/>
      </c>
      <c r="G1637" s="6">
        <f>IF(B1637="","",N(C1637)*N(F1637))</f>
        <v/>
      </c>
      <c r="H1637">
        <f>IF(B1637="","",IFERROR(INDEX(Products!$B:$B,MATCH(B1637,Products!$A:$A,0)),"SKU not found"))</f>
        <v/>
      </c>
    </row>
    <row r="1638">
      <c r="A1638" s="7" t="n"/>
      <c r="B1638" s="4" t="n"/>
      <c r="C1638" s="4" t="n"/>
      <c r="D1638" s="4" t="n"/>
      <c r="E1638" s="4" t="n"/>
      <c r="F1638" s="6">
        <f>IF(B1638="","",IFERROR(INDEX(Products!$E:$E,MATCH(B1638,Products!$A:$A,0)),0))</f>
        <v/>
      </c>
      <c r="G1638" s="6">
        <f>IF(B1638="","",N(C1638)*N(F1638))</f>
        <v/>
      </c>
      <c r="H1638">
        <f>IF(B1638="","",IFERROR(INDEX(Products!$B:$B,MATCH(B1638,Products!$A:$A,0)),"SKU not found"))</f>
        <v/>
      </c>
    </row>
    <row r="1639">
      <c r="A1639" s="7" t="n"/>
      <c r="B1639" s="4" t="n"/>
      <c r="C1639" s="4" t="n"/>
      <c r="D1639" s="4" t="n"/>
      <c r="E1639" s="4" t="n"/>
      <c r="F1639" s="6">
        <f>IF(B1639="","",IFERROR(INDEX(Products!$E:$E,MATCH(B1639,Products!$A:$A,0)),0))</f>
        <v/>
      </c>
      <c r="G1639" s="6">
        <f>IF(B1639="","",N(C1639)*N(F1639))</f>
        <v/>
      </c>
      <c r="H1639">
        <f>IF(B1639="","",IFERROR(INDEX(Products!$B:$B,MATCH(B1639,Products!$A:$A,0)),"SKU not found"))</f>
        <v/>
      </c>
    </row>
    <row r="1640">
      <c r="A1640" s="7" t="n"/>
      <c r="B1640" s="4" t="n"/>
      <c r="C1640" s="4" t="n"/>
      <c r="D1640" s="4" t="n"/>
      <c r="E1640" s="4" t="n"/>
      <c r="F1640" s="6">
        <f>IF(B1640="","",IFERROR(INDEX(Products!$E:$E,MATCH(B1640,Products!$A:$A,0)),0))</f>
        <v/>
      </c>
      <c r="G1640" s="6">
        <f>IF(B1640="","",N(C1640)*N(F1640))</f>
        <v/>
      </c>
      <c r="H1640">
        <f>IF(B1640="","",IFERROR(INDEX(Products!$B:$B,MATCH(B1640,Products!$A:$A,0)),"SKU not found"))</f>
        <v/>
      </c>
    </row>
    <row r="1641">
      <c r="A1641" s="7" t="n"/>
      <c r="B1641" s="4" t="n"/>
      <c r="C1641" s="4" t="n"/>
      <c r="D1641" s="4" t="n"/>
      <c r="E1641" s="4" t="n"/>
      <c r="F1641" s="6">
        <f>IF(B1641="","",IFERROR(INDEX(Products!$E:$E,MATCH(B1641,Products!$A:$A,0)),0))</f>
        <v/>
      </c>
      <c r="G1641" s="6">
        <f>IF(B1641="","",N(C1641)*N(F1641))</f>
        <v/>
      </c>
      <c r="H1641">
        <f>IF(B1641="","",IFERROR(INDEX(Products!$B:$B,MATCH(B1641,Products!$A:$A,0)),"SKU not found"))</f>
        <v/>
      </c>
    </row>
    <row r="1642">
      <c r="A1642" s="7" t="n"/>
      <c r="B1642" s="4" t="n"/>
      <c r="C1642" s="4" t="n"/>
      <c r="D1642" s="4" t="n"/>
      <c r="E1642" s="4" t="n"/>
      <c r="F1642" s="6">
        <f>IF(B1642="","",IFERROR(INDEX(Products!$E:$E,MATCH(B1642,Products!$A:$A,0)),0))</f>
        <v/>
      </c>
      <c r="G1642" s="6">
        <f>IF(B1642="","",N(C1642)*N(F1642))</f>
        <v/>
      </c>
      <c r="H1642">
        <f>IF(B1642="","",IFERROR(INDEX(Products!$B:$B,MATCH(B1642,Products!$A:$A,0)),"SKU not found"))</f>
        <v/>
      </c>
    </row>
    <row r="1643">
      <c r="A1643" s="7" t="n"/>
      <c r="B1643" s="4" t="n"/>
      <c r="C1643" s="4" t="n"/>
      <c r="D1643" s="4" t="n"/>
      <c r="E1643" s="4" t="n"/>
      <c r="F1643" s="6">
        <f>IF(B1643="","",IFERROR(INDEX(Products!$E:$E,MATCH(B1643,Products!$A:$A,0)),0))</f>
        <v/>
      </c>
      <c r="G1643" s="6">
        <f>IF(B1643="","",N(C1643)*N(F1643))</f>
        <v/>
      </c>
      <c r="H1643">
        <f>IF(B1643="","",IFERROR(INDEX(Products!$B:$B,MATCH(B1643,Products!$A:$A,0)),"SKU not found"))</f>
        <v/>
      </c>
    </row>
    <row r="1644">
      <c r="A1644" s="7" t="n"/>
      <c r="B1644" s="4" t="n"/>
      <c r="C1644" s="4" t="n"/>
      <c r="D1644" s="4" t="n"/>
      <c r="E1644" s="4" t="n"/>
      <c r="F1644" s="6">
        <f>IF(B1644="","",IFERROR(INDEX(Products!$E:$E,MATCH(B1644,Products!$A:$A,0)),0))</f>
        <v/>
      </c>
      <c r="G1644" s="6">
        <f>IF(B1644="","",N(C1644)*N(F1644))</f>
        <v/>
      </c>
      <c r="H1644">
        <f>IF(B1644="","",IFERROR(INDEX(Products!$B:$B,MATCH(B1644,Products!$A:$A,0)),"SKU not found"))</f>
        <v/>
      </c>
    </row>
    <row r="1645">
      <c r="A1645" s="7" t="n"/>
      <c r="B1645" s="4" t="n"/>
      <c r="C1645" s="4" t="n"/>
      <c r="D1645" s="4" t="n"/>
      <c r="E1645" s="4" t="n"/>
      <c r="F1645" s="6">
        <f>IF(B1645="","",IFERROR(INDEX(Products!$E:$E,MATCH(B1645,Products!$A:$A,0)),0))</f>
        <v/>
      </c>
      <c r="G1645" s="6">
        <f>IF(B1645="","",N(C1645)*N(F1645))</f>
        <v/>
      </c>
      <c r="H1645">
        <f>IF(B1645="","",IFERROR(INDEX(Products!$B:$B,MATCH(B1645,Products!$A:$A,0)),"SKU not found"))</f>
        <v/>
      </c>
    </row>
    <row r="1646">
      <c r="A1646" s="7" t="n"/>
      <c r="B1646" s="4" t="n"/>
      <c r="C1646" s="4" t="n"/>
      <c r="D1646" s="4" t="n"/>
      <c r="E1646" s="4" t="n"/>
      <c r="F1646" s="6">
        <f>IF(B1646="","",IFERROR(INDEX(Products!$E:$E,MATCH(B1646,Products!$A:$A,0)),0))</f>
        <v/>
      </c>
      <c r="G1646" s="6">
        <f>IF(B1646="","",N(C1646)*N(F1646))</f>
        <v/>
      </c>
      <c r="H1646">
        <f>IF(B1646="","",IFERROR(INDEX(Products!$B:$B,MATCH(B1646,Products!$A:$A,0)),"SKU not found"))</f>
        <v/>
      </c>
    </row>
    <row r="1647">
      <c r="A1647" s="7" t="n"/>
      <c r="B1647" s="4" t="n"/>
      <c r="C1647" s="4" t="n"/>
      <c r="D1647" s="4" t="n"/>
      <c r="E1647" s="4" t="n"/>
      <c r="F1647" s="6">
        <f>IF(B1647="","",IFERROR(INDEX(Products!$E:$E,MATCH(B1647,Products!$A:$A,0)),0))</f>
        <v/>
      </c>
      <c r="G1647" s="6">
        <f>IF(B1647="","",N(C1647)*N(F1647))</f>
        <v/>
      </c>
      <c r="H1647">
        <f>IF(B1647="","",IFERROR(INDEX(Products!$B:$B,MATCH(B1647,Products!$A:$A,0)),"SKU not found"))</f>
        <v/>
      </c>
    </row>
    <row r="1648">
      <c r="A1648" s="7" t="n"/>
      <c r="B1648" s="4" t="n"/>
      <c r="C1648" s="4" t="n"/>
      <c r="D1648" s="4" t="n"/>
      <c r="E1648" s="4" t="n"/>
      <c r="F1648" s="6">
        <f>IF(B1648="","",IFERROR(INDEX(Products!$E:$E,MATCH(B1648,Products!$A:$A,0)),0))</f>
        <v/>
      </c>
      <c r="G1648" s="6">
        <f>IF(B1648="","",N(C1648)*N(F1648))</f>
        <v/>
      </c>
      <c r="H1648">
        <f>IF(B1648="","",IFERROR(INDEX(Products!$B:$B,MATCH(B1648,Products!$A:$A,0)),"SKU not found"))</f>
        <v/>
      </c>
    </row>
    <row r="1649">
      <c r="A1649" s="7" t="n"/>
      <c r="B1649" s="4" t="n"/>
      <c r="C1649" s="4" t="n"/>
      <c r="D1649" s="4" t="n"/>
      <c r="E1649" s="4" t="n"/>
      <c r="F1649" s="6">
        <f>IF(B1649="","",IFERROR(INDEX(Products!$E:$E,MATCH(B1649,Products!$A:$A,0)),0))</f>
        <v/>
      </c>
      <c r="G1649" s="6">
        <f>IF(B1649="","",N(C1649)*N(F1649))</f>
        <v/>
      </c>
      <c r="H1649">
        <f>IF(B1649="","",IFERROR(INDEX(Products!$B:$B,MATCH(B1649,Products!$A:$A,0)),"SKU not found"))</f>
        <v/>
      </c>
    </row>
    <row r="1650">
      <c r="A1650" s="7" t="n"/>
      <c r="B1650" s="4" t="n"/>
      <c r="C1650" s="4" t="n"/>
      <c r="D1650" s="4" t="n"/>
      <c r="E1650" s="4" t="n"/>
      <c r="F1650" s="6">
        <f>IF(B1650="","",IFERROR(INDEX(Products!$E:$E,MATCH(B1650,Products!$A:$A,0)),0))</f>
        <v/>
      </c>
      <c r="G1650" s="6">
        <f>IF(B1650="","",N(C1650)*N(F1650))</f>
        <v/>
      </c>
      <c r="H1650">
        <f>IF(B1650="","",IFERROR(INDEX(Products!$B:$B,MATCH(B1650,Products!$A:$A,0)),"SKU not found"))</f>
        <v/>
      </c>
    </row>
    <row r="1651">
      <c r="A1651" s="7" t="n"/>
      <c r="B1651" s="4" t="n"/>
      <c r="C1651" s="4" t="n"/>
      <c r="D1651" s="4" t="n"/>
      <c r="E1651" s="4" t="n"/>
      <c r="F1651" s="6">
        <f>IF(B1651="","",IFERROR(INDEX(Products!$E:$E,MATCH(B1651,Products!$A:$A,0)),0))</f>
        <v/>
      </c>
      <c r="G1651" s="6">
        <f>IF(B1651="","",N(C1651)*N(F1651))</f>
        <v/>
      </c>
      <c r="H1651">
        <f>IF(B1651="","",IFERROR(INDEX(Products!$B:$B,MATCH(B1651,Products!$A:$A,0)),"SKU not found"))</f>
        <v/>
      </c>
    </row>
    <row r="1652">
      <c r="A1652" s="7" t="n"/>
      <c r="B1652" s="4" t="n"/>
      <c r="C1652" s="4" t="n"/>
      <c r="D1652" s="4" t="n"/>
      <c r="E1652" s="4" t="n"/>
      <c r="F1652" s="6">
        <f>IF(B1652="","",IFERROR(INDEX(Products!$E:$E,MATCH(B1652,Products!$A:$A,0)),0))</f>
        <v/>
      </c>
      <c r="G1652" s="6">
        <f>IF(B1652="","",N(C1652)*N(F1652))</f>
        <v/>
      </c>
      <c r="H1652">
        <f>IF(B1652="","",IFERROR(INDEX(Products!$B:$B,MATCH(B1652,Products!$A:$A,0)),"SKU not found"))</f>
        <v/>
      </c>
    </row>
    <row r="1653">
      <c r="A1653" s="7" t="n"/>
      <c r="B1653" s="4" t="n"/>
      <c r="C1653" s="4" t="n"/>
      <c r="D1653" s="4" t="n"/>
      <c r="E1653" s="4" t="n"/>
      <c r="F1653" s="6">
        <f>IF(B1653="","",IFERROR(INDEX(Products!$E:$E,MATCH(B1653,Products!$A:$A,0)),0))</f>
        <v/>
      </c>
      <c r="G1653" s="6">
        <f>IF(B1653="","",N(C1653)*N(F1653))</f>
        <v/>
      </c>
      <c r="H1653">
        <f>IF(B1653="","",IFERROR(INDEX(Products!$B:$B,MATCH(B1653,Products!$A:$A,0)),"SKU not found"))</f>
        <v/>
      </c>
    </row>
    <row r="1654">
      <c r="A1654" s="7" t="n"/>
      <c r="B1654" s="4" t="n"/>
      <c r="C1654" s="4" t="n"/>
      <c r="D1654" s="4" t="n"/>
      <c r="E1654" s="4" t="n"/>
      <c r="F1654" s="6">
        <f>IF(B1654="","",IFERROR(INDEX(Products!$E:$E,MATCH(B1654,Products!$A:$A,0)),0))</f>
        <v/>
      </c>
      <c r="G1654" s="6">
        <f>IF(B1654="","",N(C1654)*N(F1654))</f>
        <v/>
      </c>
      <c r="H1654">
        <f>IF(B1654="","",IFERROR(INDEX(Products!$B:$B,MATCH(B1654,Products!$A:$A,0)),"SKU not found"))</f>
        <v/>
      </c>
    </row>
    <row r="1655">
      <c r="A1655" s="7" t="n"/>
      <c r="B1655" s="4" t="n"/>
      <c r="C1655" s="4" t="n"/>
      <c r="D1655" s="4" t="n"/>
      <c r="E1655" s="4" t="n"/>
      <c r="F1655" s="6">
        <f>IF(B1655="","",IFERROR(INDEX(Products!$E:$E,MATCH(B1655,Products!$A:$A,0)),0))</f>
        <v/>
      </c>
      <c r="G1655" s="6">
        <f>IF(B1655="","",N(C1655)*N(F1655))</f>
        <v/>
      </c>
      <c r="H1655">
        <f>IF(B1655="","",IFERROR(INDEX(Products!$B:$B,MATCH(B1655,Products!$A:$A,0)),"SKU not found"))</f>
        <v/>
      </c>
    </row>
    <row r="1656">
      <c r="A1656" s="7" t="n"/>
      <c r="B1656" s="4" t="n"/>
      <c r="C1656" s="4" t="n"/>
      <c r="D1656" s="4" t="n"/>
      <c r="E1656" s="4" t="n"/>
      <c r="F1656" s="6">
        <f>IF(B1656="","",IFERROR(INDEX(Products!$E:$E,MATCH(B1656,Products!$A:$A,0)),0))</f>
        <v/>
      </c>
      <c r="G1656" s="6">
        <f>IF(B1656="","",N(C1656)*N(F1656))</f>
        <v/>
      </c>
      <c r="H1656">
        <f>IF(B1656="","",IFERROR(INDEX(Products!$B:$B,MATCH(B1656,Products!$A:$A,0)),"SKU not found"))</f>
        <v/>
      </c>
    </row>
    <row r="1657">
      <c r="A1657" s="7" t="n"/>
      <c r="B1657" s="4" t="n"/>
      <c r="C1657" s="4" t="n"/>
      <c r="D1657" s="4" t="n"/>
      <c r="E1657" s="4" t="n"/>
      <c r="F1657" s="6">
        <f>IF(B1657="","",IFERROR(INDEX(Products!$E:$E,MATCH(B1657,Products!$A:$A,0)),0))</f>
        <v/>
      </c>
      <c r="G1657" s="6">
        <f>IF(B1657="","",N(C1657)*N(F1657))</f>
        <v/>
      </c>
      <c r="H1657">
        <f>IF(B1657="","",IFERROR(INDEX(Products!$B:$B,MATCH(B1657,Products!$A:$A,0)),"SKU not found"))</f>
        <v/>
      </c>
    </row>
    <row r="1658">
      <c r="A1658" s="7" t="n"/>
      <c r="B1658" s="4" t="n"/>
      <c r="C1658" s="4" t="n"/>
      <c r="D1658" s="4" t="n"/>
      <c r="E1658" s="4" t="n"/>
      <c r="F1658" s="6">
        <f>IF(B1658="","",IFERROR(INDEX(Products!$E:$E,MATCH(B1658,Products!$A:$A,0)),0))</f>
        <v/>
      </c>
      <c r="G1658" s="6">
        <f>IF(B1658="","",N(C1658)*N(F1658))</f>
        <v/>
      </c>
      <c r="H1658">
        <f>IF(B1658="","",IFERROR(INDEX(Products!$B:$B,MATCH(B1658,Products!$A:$A,0)),"SKU not found"))</f>
        <v/>
      </c>
    </row>
    <row r="1659">
      <c r="A1659" s="7" t="n"/>
      <c r="B1659" s="4" t="n"/>
      <c r="C1659" s="4" t="n"/>
      <c r="D1659" s="4" t="n"/>
      <c r="E1659" s="4" t="n"/>
      <c r="F1659" s="6">
        <f>IF(B1659="","",IFERROR(INDEX(Products!$E:$E,MATCH(B1659,Products!$A:$A,0)),0))</f>
        <v/>
      </c>
      <c r="G1659" s="6">
        <f>IF(B1659="","",N(C1659)*N(F1659))</f>
        <v/>
      </c>
      <c r="H1659">
        <f>IF(B1659="","",IFERROR(INDEX(Products!$B:$B,MATCH(B1659,Products!$A:$A,0)),"SKU not found"))</f>
        <v/>
      </c>
    </row>
    <row r="1660">
      <c r="A1660" s="7" t="n"/>
      <c r="B1660" s="4" t="n"/>
      <c r="C1660" s="4" t="n"/>
      <c r="D1660" s="4" t="n"/>
      <c r="E1660" s="4" t="n"/>
      <c r="F1660" s="6">
        <f>IF(B1660="","",IFERROR(INDEX(Products!$E:$E,MATCH(B1660,Products!$A:$A,0)),0))</f>
        <v/>
      </c>
      <c r="G1660" s="6">
        <f>IF(B1660="","",N(C1660)*N(F1660))</f>
        <v/>
      </c>
      <c r="H1660">
        <f>IF(B1660="","",IFERROR(INDEX(Products!$B:$B,MATCH(B1660,Products!$A:$A,0)),"SKU not found"))</f>
        <v/>
      </c>
    </row>
    <row r="1661">
      <c r="A1661" s="7" t="n"/>
      <c r="B1661" s="4" t="n"/>
      <c r="C1661" s="4" t="n"/>
      <c r="D1661" s="4" t="n"/>
      <c r="E1661" s="4" t="n"/>
      <c r="F1661" s="6">
        <f>IF(B1661="","",IFERROR(INDEX(Products!$E:$E,MATCH(B1661,Products!$A:$A,0)),0))</f>
        <v/>
      </c>
      <c r="G1661" s="6">
        <f>IF(B1661="","",N(C1661)*N(F1661))</f>
        <v/>
      </c>
      <c r="H1661">
        <f>IF(B1661="","",IFERROR(INDEX(Products!$B:$B,MATCH(B1661,Products!$A:$A,0)),"SKU not found"))</f>
        <v/>
      </c>
    </row>
    <row r="1662">
      <c r="A1662" s="7" t="n"/>
      <c r="B1662" s="4" t="n"/>
      <c r="C1662" s="4" t="n"/>
      <c r="D1662" s="4" t="n"/>
      <c r="E1662" s="4" t="n"/>
      <c r="F1662" s="6">
        <f>IF(B1662="","",IFERROR(INDEX(Products!$E:$E,MATCH(B1662,Products!$A:$A,0)),0))</f>
        <v/>
      </c>
      <c r="G1662" s="6">
        <f>IF(B1662="","",N(C1662)*N(F1662))</f>
        <v/>
      </c>
      <c r="H1662">
        <f>IF(B1662="","",IFERROR(INDEX(Products!$B:$B,MATCH(B1662,Products!$A:$A,0)),"SKU not found"))</f>
        <v/>
      </c>
    </row>
    <row r="1663">
      <c r="A1663" s="7" t="n"/>
      <c r="B1663" s="4" t="n"/>
      <c r="C1663" s="4" t="n"/>
      <c r="D1663" s="4" t="n"/>
      <c r="E1663" s="4" t="n"/>
      <c r="F1663" s="6">
        <f>IF(B1663="","",IFERROR(INDEX(Products!$E:$E,MATCH(B1663,Products!$A:$A,0)),0))</f>
        <v/>
      </c>
      <c r="G1663" s="6">
        <f>IF(B1663="","",N(C1663)*N(F1663))</f>
        <v/>
      </c>
      <c r="H1663">
        <f>IF(B1663="","",IFERROR(INDEX(Products!$B:$B,MATCH(B1663,Products!$A:$A,0)),"SKU not found"))</f>
        <v/>
      </c>
    </row>
    <row r="1664">
      <c r="A1664" s="7" t="n"/>
      <c r="B1664" s="4" t="n"/>
      <c r="C1664" s="4" t="n"/>
      <c r="D1664" s="4" t="n"/>
      <c r="E1664" s="4" t="n"/>
      <c r="F1664" s="6">
        <f>IF(B1664="","",IFERROR(INDEX(Products!$E:$E,MATCH(B1664,Products!$A:$A,0)),0))</f>
        <v/>
      </c>
      <c r="G1664" s="6">
        <f>IF(B1664="","",N(C1664)*N(F1664))</f>
        <v/>
      </c>
      <c r="H1664">
        <f>IF(B1664="","",IFERROR(INDEX(Products!$B:$B,MATCH(B1664,Products!$A:$A,0)),"SKU not found"))</f>
        <v/>
      </c>
    </row>
    <row r="1665">
      <c r="A1665" s="7" t="n"/>
      <c r="B1665" s="4" t="n"/>
      <c r="C1665" s="4" t="n"/>
      <c r="D1665" s="4" t="n"/>
      <c r="E1665" s="4" t="n"/>
      <c r="F1665" s="6">
        <f>IF(B1665="","",IFERROR(INDEX(Products!$E:$E,MATCH(B1665,Products!$A:$A,0)),0))</f>
        <v/>
      </c>
      <c r="G1665" s="6">
        <f>IF(B1665="","",N(C1665)*N(F1665))</f>
        <v/>
      </c>
      <c r="H1665">
        <f>IF(B1665="","",IFERROR(INDEX(Products!$B:$B,MATCH(B1665,Products!$A:$A,0)),"SKU not found"))</f>
        <v/>
      </c>
    </row>
    <row r="1666">
      <c r="A1666" s="7" t="n"/>
      <c r="B1666" s="4" t="n"/>
      <c r="C1666" s="4" t="n"/>
      <c r="D1666" s="4" t="n"/>
      <c r="E1666" s="4" t="n"/>
      <c r="F1666" s="6">
        <f>IF(B1666="","",IFERROR(INDEX(Products!$E:$E,MATCH(B1666,Products!$A:$A,0)),0))</f>
        <v/>
      </c>
      <c r="G1666" s="6">
        <f>IF(B1666="","",N(C1666)*N(F1666))</f>
        <v/>
      </c>
      <c r="H1666">
        <f>IF(B1666="","",IFERROR(INDEX(Products!$B:$B,MATCH(B1666,Products!$A:$A,0)),"SKU not found"))</f>
        <v/>
      </c>
    </row>
    <row r="1667">
      <c r="A1667" s="7" t="n"/>
      <c r="B1667" s="4" t="n"/>
      <c r="C1667" s="4" t="n"/>
      <c r="D1667" s="4" t="n"/>
      <c r="E1667" s="4" t="n"/>
      <c r="F1667" s="6">
        <f>IF(B1667="","",IFERROR(INDEX(Products!$E:$E,MATCH(B1667,Products!$A:$A,0)),0))</f>
        <v/>
      </c>
      <c r="G1667" s="6">
        <f>IF(B1667="","",N(C1667)*N(F1667))</f>
        <v/>
      </c>
      <c r="H1667">
        <f>IF(B1667="","",IFERROR(INDEX(Products!$B:$B,MATCH(B1667,Products!$A:$A,0)),"SKU not found"))</f>
        <v/>
      </c>
    </row>
    <row r="1668">
      <c r="A1668" s="7" t="n"/>
      <c r="B1668" s="4" t="n"/>
      <c r="C1668" s="4" t="n"/>
      <c r="D1668" s="4" t="n"/>
      <c r="E1668" s="4" t="n"/>
      <c r="F1668" s="6">
        <f>IF(B1668="","",IFERROR(INDEX(Products!$E:$E,MATCH(B1668,Products!$A:$A,0)),0))</f>
        <v/>
      </c>
      <c r="G1668" s="6">
        <f>IF(B1668="","",N(C1668)*N(F1668))</f>
        <v/>
      </c>
      <c r="H1668">
        <f>IF(B1668="","",IFERROR(INDEX(Products!$B:$B,MATCH(B1668,Products!$A:$A,0)),"SKU not found"))</f>
        <v/>
      </c>
    </row>
    <row r="1669">
      <c r="A1669" s="7" t="n"/>
      <c r="B1669" s="4" t="n"/>
      <c r="C1669" s="4" t="n"/>
      <c r="D1669" s="4" t="n"/>
      <c r="E1669" s="4" t="n"/>
      <c r="F1669" s="6">
        <f>IF(B1669="","",IFERROR(INDEX(Products!$E:$E,MATCH(B1669,Products!$A:$A,0)),0))</f>
        <v/>
      </c>
      <c r="G1669" s="6">
        <f>IF(B1669="","",N(C1669)*N(F1669))</f>
        <v/>
      </c>
      <c r="H1669">
        <f>IF(B1669="","",IFERROR(INDEX(Products!$B:$B,MATCH(B1669,Products!$A:$A,0)),"SKU not found"))</f>
        <v/>
      </c>
    </row>
    <row r="1670">
      <c r="A1670" s="7" t="n"/>
      <c r="B1670" s="4" t="n"/>
      <c r="C1670" s="4" t="n"/>
      <c r="D1670" s="4" t="n"/>
      <c r="E1670" s="4" t="n"/>
      <c r="F1670" s="6">
        <f>IF(B1670="","",IFERROR(INDEX(Products!$E:$E,MATCH(B1670,Products!$A:$A,0)),0))</f>
        <v/>
      </c>
      <c r="G1670" s="6">
        <f>IF(B1670="","",N(C1670)*N(F1670))</f>
        <v/>
      </c>
      <c r="H1670">
        <f>IF(B1670="","",IFERROR(INDEX(Products!$B:$B,MATCH(B1670,Products!$A:$A,0)),"SKU not found"))</f>
        <v/>
      </c>
    </row>
    <row r="1671">
      <c r="A1671" s="7" t="n"/>
      <c r="B1671" s="4" t="n"/>
      <c r="C1671" s="4" t="n"/>
      <c r="D1671" s="4" t="n"/>
      <c r="E1671" s="4" t="n"/>
      <c r="F1671" s="6">
        <f>IF(B1671="","",IFERROR(INDEX(Products!$E:$E,MATCH(B1671,Products!$A:$A,0)),0))</f>
        <v/>
      </c>
      <c r="G1671" s="6">
        <f>IF(B1671="","",N(C1671)*N(F1671))</f>
        <v/>
      </c>
      <c r="H1671">
        <f>IF(B1671="","",IFERROR(INDEX(Products!$B:$B,MATCH(B1671,Products!$A:$A,0)),"SKU not found"))</f>
        <v/>
      </c>
    </row>
    <row r="1672">
      <c r="A1672" s="7" t="n"/>
      <c r="B1672" s="4" t="n"/>
      <c r="C1672" s="4" t="n"/>
      <c r="D1672" s="4" t="n"/>
      <c r="E1672" s="4" t="n"/>
      <c r="F1672" s="6">
        <f>IF(B1672="","",IFERROR(INDEX(Products!$E:$E,MATCH(B1672,Products!$A:$A,0)),0))</f>
        <v/>
      </c>
      <c r="G1672" s="6">
        <f>IF(B1672="","",N(C1672)*N(F1672))</f>
        <v/>
      </c>
      <c r="H1672">
        <f>IF(B1672="","",IFERROR(INDEX(Products!$B:$B,MATCH(B1672,Products!$A:$A,0)),"SKU not found"))</f>
        <v/>
      </c>
    </row>
    <row r="1673">
      <c r="A1673" s="7" t="n"/>
      <c r="B1673" s="4" t="n"/>
      <c r="C1673" s="4" t="n"/>
      <c r="D1673" s="4" t="n"/>
      <c r="E1673" s="4" t="n"/>
      <c r="F1673" s="6">
        <f>IF(B1673="","",IFERROR(INDEX(Products!$E:$E,MATCH(B1673,Products!$A:$A,0)),0))</f>
        <v/>
      </c>
      <c r="G1673" s="6">
        <f>IF(B1673="","",N(C1673)*N(F1673))</f>
        <v/>
      </c>
      <c r="H1673">
        <f>IF(B1673="","",IFERROR(INDEX(Products!$B:$B,MATCH(B1673,Products!$A:$A,0)),"SKU not found"))</f>
        <v/>
      </c>
    </row>
    <row r="1674">
      <c r="A1674" s="7" t="n"/>
      <c r="B1674" s="4" t="n"/>
      <c r="C1674" s="4" t="n"/>
      <c r="D1674" s="4" t="n"/>
      <c r="E1674" s="4" t="n"/>
      <c r="F1674" s="6">
        <f>IF(B1674="","",IFERROR(INDEX(Products!$E:$E,MATCH(B1674,Products!$A:$A,0)),0))</f>
        <v/>
      </c>
      <c r="G1674" s="6">
        <f>IF(B1674="","",N(C1674)*N(F1674))</f>
        <v/>
      </c>
      <c r="H1674">
        <f>IF(B1674="","",IFERROR(INDEX(Products!$B:$B,MATCH(B1674,Products!$A:$A,0)),"SKU not found"))</f>
        <v/>
      </c>
    </row>
    <row r="1675">
      <c r="A1675" s="7" t="n"/>
      <c r="B1675" s="4" t="n"/>
      <c r="C1675" s="4" t="n"/>
      <c r="D1675" s="4" t="n"/>
      <c r="E1675" s="4" t="n"/>
      <c r="F1675" s="6">
        <f>IF(B1675="","",IFERROR(INDEX(Products!$E:$E,MATCH(B1675,Products!$A:$A,0)),0))</f>
        <v/>
      </c>
      <c r="G1675" s="6">
        <f>IF(B1675="","",N(C1675)*N(F1675))</f>
        <v/>
      </c>
      <c r="H1675">
        <f>IF(B1675="","",IFERROR(INDEX(Products!$B:$B,MATCH(B1675,Products!$A:$A,0)),"SKU not found"))</f>
        <v/>
      </c>
    </row>
    <row r="1676">
      <c r="A1676" s="7" t="n"/>
      <c r="B1676" s="4" t="n"/>
      <c r="C1676" s="4" t="n"/>
      <c r="D1676" s="4" t="n"/>
      <c r="E1676" s="4" t="n"/>
      <c r="F1676" s="6">
        <f>IF(B1676="","",IFERROR(INDEX(Products!$E:$E,MATCH(B1676,Products!$A:$A,0)),0))</f>
        <v/>
      </c>
      <c r="G1676" s="6">
        <f>IF(B1676="","",N(C1676)*N(F1676))</f>
        <v/>
      </c>
      <c r="H1676">
        <f>IF(B1676="","",IFERROR(INDEX(Products!$B:$B,MATCH(B1676,Products!$A:$A,0)),"SKU not found"))</f>
        <v/>
      </c>
    </row>
    <row r="1677">
      <c r="A1677" s="7" t="n"/>
      <c r="B1677" s="4" t="n"/>
      <c r="C1677" s="4" t="n"/>
      <c r="D1677" s="4" t="n"/>
      <c r="E1677" s="4" t="n"/>
      <c r="F1677" s="6">
        <f>IF(B1677="","",IFERROR(INDEX(Products!$E:$E,MATCH(B1677,Products!$A:$A,0)),0))</f>
        <v/>
      </c>
      <c r="G1677" s="6">
        <f>IF(B1677="","",N(C1677)*N(F1677))</f>
        <v/>
      </c>
      <c r="H1677">
        <f>IF(B1677="","",IFERROR(INDEX(Products!$B:$B,MATCH(B1677,Products!$A:$A,0)),"SKU not found"))</f>
        <v/>
      </c>
    </row>
    <row r="1678">
      <c r="A1678" s="7" t="n"/>
      <c r="B1678" s="4" t="n"/>
      <c r="C1678" s="4" t="n"/>
      <c r="D1678" s="4" t="n"/>
      <c r="E1678" s="4" t="n"/>
      <c r="F1678" s="6">
        <f>IF(B1678="","",IFERROR(INDEX(Products!$E:$E,MATCH(B1678,Products!$A:$A,0)),0))</f>
        <v/>
      </c>
      <c r="G1678" s="6">
        <f>IF(B1678="","",N(C1678)*N(F1678))</f>
        <v/>
      </c>
      <c r="H1678">
        <f>IF(B1678="","",IFERROR(INDEX(Products!$B:$B,MATCH(B1678,Products!$A:$A,0)),"SKU not found"))</f>
        <v/>
      </c>
    </row>
    <row r="1679">
      <c r="A1679" s="7" t="n"/>
      <c r="B1679" s="4" t="n"/>
      <c r="C1679" s="4" t="n"/>
      <c r="D1679" s="4" t="n"/>
      <c r="E1679" s="4" t="n"/>
      <c r="F1679" s="6">
        <f>IF(B1679="","",IFERROR(INDEX(Products!$E:$E,MATCH(B1679,Products!$A:$A,0)),0))</f>
        <v/>
      </c>
      <c r="G1679" s="6">
        <f>IF(B1679="","",N(C1679)*N(F1679))</f>
        <v/>
      </c>
      <c r="H1679">
        <f>IF(B1679="","",IFERROR(INDEX(Products!$B:$B,MATCH(B1679,Products!$A:$A,0)),"SKU not found"))</f>
        <v/>
      </c>
    </row>
    <row r="1680">
      <c r="A1680" s="7" t="n"/>
      <c r="B1680" s="4" t="n"/>
      <c r="C1680" s="4" t="n"/>
      <c r="D1680" s="4" t="n"/>
      <c r="E1680" s="4" t="n"/>
      <c r="F1680" s="6">
        <f>IF(B1680="","",IFERROR(INDEX(Products!$E:$E,MATCH(B1680,Products!$A:$A,0)),0))</f>
        <v/>
      </c>
      <c r="G1680" s="6">
        <f>IF(B1680="","",N(C1680)*N(F1680))</f>
        <v/>
      </c>
      <c r="H1680">
        <f>IF(B1680="","",IFERROR(INDEX(Products!$B:$B,MATCH(B1680,Products!$A:$A,0)),"SKU not found"))</f>
        <v/>
      </c>
    </row>
    <row r="1681">
      <c r="A1681" s="7" t="n"/>
      <c r="B1681" s="4" t="n"/>
      <c r="C1681" s="4" t="n"/>
      <c r="D1681" s="4" t="n"/>
      <c r="E1681" s="4" t="n"/>
      <c r="F1681" s="6">
        <f>IF(B1681="","",IFERROR(INDEX(Products!$E:$E,MATCH(B1681,Products!$A:$A,0)),0))</f>
        <v/>
      </c>
      <c r="G1681" s="6">
        <f>IF(B1681="","",N(C1681)*N(F1681))</f>
        <v/>
      </c>
      <c r="H1681">
        <f>IF(B1681="","",IFERROR(INDEX(Products!$B:$B,MATCH(B1681,Products!$A:$A,0)),"SKU not found"))</f>
        <v/>
      </c>
    </row>
    <row r="1682">
      <c r="A1682" s="7" t="n"/>
      <c r="B1682" s="4" t="n"/>
      <c r="C1682" s="4" t="n"/>
      <c r="D1682" s="4" t="n"/>
      <c r="E1682" s="4" t="n"/>
      <c r="F1682" s="6">
        <f>IF(B1682="","",IFERROR(INDEX(Products!$E:$E,MATCH(B1682,Products!$A:$A,0)),0))</f>
        <v/>
      </c>
      <c r="G1682" s="6">
        <f>IF(B1682="","",N(C1682)*N(F1682))</f>
        <v/>
      </c>
      <c r="H1682">
        <f>IF(B1682="","",IFERROR(INDEX(Products!$B:$B,MATCH(B1682,Products!$A:$A,0)),"SKU not found"))</f>
        <v/>
      </c>
    </row>
    <row r="1683">
      <c r="A1683" s="7" t="n"/>
      <c r="B1683" s="4" t="n"/>
      <c r="C1683" s="4" t="n"/>
      <c r="D1683" s="4" t="n"/>
      <c r="E1683" s="4" t="n"/>
      <c r="F1683" s="6">
        <f>IF(B1683="","",IFERROR(INDEX(Products!$E:$E,MATCH(B1683,Products!$A:$A,0)),0))</f>
        <v/>
      </c>
      <c r="G1683" s="6">
        <f>IF(B1683="","",N(C1683)*N(F1683))</f>
        <v/>
      </c>
      <c r="H1683">
        <f>IF(B1683="","",IFERROR(INDEX(Products!$B:$B,MATCH(B1683,Products!$A:$A,0)),"SKU not found"))</f>
        <v/>
      </c>
    </row>
    <row r="1684">
      <c r="A1684" s="7" t="n"/>
      <c r="B1684" s="4" t="n"/>
      <c r="C1684" s="4" t="n"/>
      <c r="D1684" s="4" t="n"/>
      <c r="E1684" s="4" t="n"/>
      <c r="F1684" s="6">
        <f>IF(B1684="","",IFERROR(INDEX(Products!$E:$E,MATCH(B1684,Products!$A:$A,0)),0))</f>
        <v/>
      </c>
      <c r="G1684" s="6">
        <f>IF(B1684="","",N(C1684)*N(F1684))</f>
        <v/>
      </c>
      <c r="H1684">
        <f>IF(B1684="","",IFERROR(INDEX(Products!$B:$B,MATCH(B1684,Products!$A:$A,0)),"SKU not found"))</f>
        <v/>
      </c>
    </row>
    <row r="1685">
      <c r="A1685" s="7" t="n"/>
      <c r="B1685" s="4" t="n"/>
      <c r="C1685" s="4" t="n"/>
      <c r="D1685" s="4" t="n"/>
      <c r="E1685" s="4" t="n"/>
      <c r="F1685" s="6">
        <f>IF(B1685="","",IFERROR(INDEX(Products!$E:$E,MATCH(B1685,Products!$A:$A,0)),0))</f>
        <v/>
      </c>
      <c r="G1685" s="6">
        <f>IF(B1685="","",N(C1685)*N(F1685))</f>
        <v/>
      </c>
      <c r="H1685">
        <f>IF(B1685="","",IFERROR(INDEX(Products!$B:$B,MATCH(B1685,Products!$A:$A,0)),"SKU not found"))</f>
        <v/>
      </c>
    </row>
    <row r="1686">
      <c r="A1686" s="7" t="n"/>
      <c r="B1686" s="4" t="n"/>
      <c r="C1686" s="4" t="n"/>
      <c r="D1686" s="4" t="n"/>
      <c r="E1686" s="4" t="n"/>
      <c r="F1686" s="6">
        <f>IF(B1686="","",IFERROR(INDEX(Products!$E:$E,MATCH(B1686,Products!$A:$A,0)),0))</f>
        <v/>
      </c>
      <c r="G1686" s="6">
        <f>IF(B1686="","",N(C1686)*N(F1686))</f>
        <v/>
      </c>
      <c r="H1686">
        <f>IF(B1686="","",IFERROR(INDEX(Products!$B:$B,MATCH(B1686,Products!$A:$A,0)),"SKU not found"))</f>
        <v/>
      </c>
    </row>
    <row r="1687">
      <c r="A1687" s="7" t="n"/>
      <c r="B1687" s="4" t="n"/>
      <c r="C1687" s="4" t="n"/>
      <c r="D1687" s="4" t="n"/>
      <c r="E1687" s="4" t="n"/>
      <c r="F1687" s="6">
        <f>IF(B1687="","",IFERROR(INDEX(Products!$E:$E,MATCH(B1687,Products!$A:$A,0)),0))</f>
        <v/>
      </c>
      <c r="G1687" s="6">
        <f>IF(B1687="","",N(C1687)*N(F1687))</f>
        <v/>
      </c>
      <c r="H1687">
        <f>IF(B1687="","",IFERROR(INDEX(Products!$B:$B,MATCH(B1687,Products!$A:$A,0)),"SKU not found"))</f>
        <v/>
      </c>
    </row>
    <row r="1688">
      <c r="A1688" s="7" t="n"/>
      <c r="B1688" s="4" t="n"/>
      <c r="C1688" s="4" t="n"/>
      <c r="D1688" s="4" t="n"/>
      <c r="E1688" s="4" t="n"/>
      <c r="F1688" s="6">
        <f>IF(B1688="","",IFERROR(INDEX(Products!$E:$E,MATCH(B1688,Products!$A:$A,0)),0))</f>
        <v/>
      </c>
      <c r="G1688" s="6">
        <f>IF(B1688="","",N(C1688)*N(F1688))</f>
        <v/>
      </c>
      <c r="H1688">
        <f>IF(B1688="","",IFERROR(INDEX(Products!$B:$B,MATCH(B1688,Products!$A:$A,0)),"SKU not found"))</f>
        <v/>
      </c>
    </row>
    <row r="1689">
      <c r="A1689" s="7" t="n"/>
      <c r="B1689" s="4" t="n"/>
      <c r="C1689" s="4" t="n"/>
      <c r="D1689" s="4" t="n"/>
      <c r="E1689" s="4" t="n"/>
      <c r="F1689" s="6">
        <f>IF(B1689="","",IFERROR(INDEX(Products!$E:$E,MATCH(B1689,Products!$A:$A,0)),0))</f>
        <v/>
      </c>
      <c r="G1689" s="6">
        <f>IF(B1689="","",N(C1689)*N(F1689))</f>
        <v/>
      </c>
      <c r="H1689">
        <f>IF(B1689="","",IFERROR(INDEX(Products!$B:$B,MATCH(B1689,Products!$A:$A,0)),"SKU not found"))</f>
        <v/>
      </c>
    </row>
    <row r="1690">
      <c r="A1690" s="7" t="n"/>
      <c r="B1690" s="4" t="n"/>
      <c r="C1690" s="4" t="n"/>
      <c r="D1690" s="4" t="n"/>
      <c r="E1690" s="4" t="n"/>
      <c r="F1690" s="6">
        <f>IF(B1690="","",IFERROR(INDEX(Products!$E:$E,MATCH(B1690,Products!$A:$A,0)),0))</f>
        <v/>
      </c>
      <c r="G1690" s="6">
        <f>IF(B1690="","",N(C1690)*N(F1690))</f>
        <v/>
      </c>
      <c r="H1690">
        <f>IF(B1690="","",IFERROR(INDEX(Products!$B:$B,MATCH(B1690,Products!$A:$A,0)),"SKU not found"))</f>
        <v/>
      </c>
    </row>
    <row r="1691">
      <c r="A1691" s="7" t="n"/>
      <c r="B1691" s="4" t="n"/>
      <c r="C1691" s="4" t="n"/>
      <c r="D1691" s="4" t="n"/>
      <c r="E1691" s="4" t="n"/>
      <c r="F1691" s="6">
        <f>IF(B1691="","",IFERROR(INDEX(Products!$E:$E,MATCH(B1691,Products!$A:$A,0)),0))</f>
        <v/>
      </c>
      <c r="G1691" s="6">
        <f>IF(B1691="","",N(C1691)*N(F1691))</f>
        <v/>
      </c>
      <c r="H1691">
        <f>IF(B1691="","",IFERROR(INDEX(Products!$B:$B,MATCH(B1691,Products!$A:$A,0)),"SKU not found"))</f>
        <v/>
      </c>
    </row>
    <row r="1692">
      <c r="A1692" s="7" t="n"/>
      <c r="B1692" s="4" t="n"/>
      <c r="C1692" s="4" t="n"/>
      <c r="D1692" s="4" t="n"/>
      <c r="E1692" s="4" t="n"/>
      <c r="F1692" s="6">
        <f>IF(B1692="","",IFERROR(INDEX(Products!$E:$E,MATCH(B1692,Products!$A:$A,0)),0))</f>
        <v/>
      </c>
      <c r="G1692" s="6">
        <f>IF(B1692="","",N(C1692)*N(F1692))</f>
        <v/>
      </c>
      <c r="H1692">
        <f>IF(B1692="","",IFERROR(INDEX(Products!$B:$B,MATCH(B1692,Products!$A:$A,0)),"SKU not found"))</f>
        <v/>
      </c>
    </row>
    <row r="1693">
      <c r="A1693" s="7" t="n"/>
      <c r="B1693" s="4" t="n"/>
      <c r="C1693" s="4" t="n"/>
      <c r="D1693" s="4" t="n"/>
      <c r="E1693" s="4" t="n"/>
      <c r="F1693" s="6">
        <f>IF(B1693="","",IFERROR(INDEX(Products!$E:$E,MATCH(B1693,Products!$A:$A,0)),0))</f>
        <v/>
      </c>
      <c r="G1693" s="6">
        <f>IF(B1693="","",N(C1693)*N(F1693))</f>
        <v/>
      </c>
      <c r="H1693">
        <f>IF(B1693="","",IFERROR(INDEX(Products!$B:$B,MATCH(B1693,Products!$A:$A,0)),"SKU not found"))</f>
        <v/>
      </c>
    </row>
    <row r="1694">
      <c r="A1694" s="7" t="n"/>
      <c r="B1694" s="4" t="n"/>
      <c r="C1694" s="4" t="n"/>
      <c r="D1694" s="4" t="n"/>
      <c r="E1694" s="4" t="n"/>
      <c r="F1694" s="6">
        <f>IF(B1694="","",IFERROR(INDEX(Products!$E:$E,MATCH(B1694,Products!$A:$A,0)),0))</f>
        <v/>
      </c>
      <c r="G1694" s="6">
        <f>IF(B1694="","",N(C1694)*N(F1694))</f>
        <v/>
      </c>
      <c r="H1694">
        <f>IF(B1694="","",IFERROR(INDEX(Products!$B:$B,MATCH(B1694,Products!$A:$A,0)),"SKU not found"))</f>
        <v/>
      </c>
    </row>
    <row r="1695">
      <c r="A1695" s="7" t="n"/>
      <c r="B1695" s="4" t="n"/>
      <c r="C1695" s="4" t="n"/>
      <c r="D1695" s="4" t="n"/>
      <c r="E1695" s="4" t="n"/>
      <c r="F1695" s="6">
        <f>IF(B1695="","",IFERROR(INDEX(Products!$E:$E,MATCH(B1695,Products!$A:$A,0)),0))</f>
        <v/>
      </c>
      <c r="G1695" s="6">
        <f>IF(B1695="","",N(C1695)*N(F1695))</f>
        <v/>
      </c>
      <c r="H1695">
        <f>IF(B1695="","",IFERROR(INDEX(Products!$B:$B,MATCH(B1695,Products!$A:$A,0)),"SKU not found"))</f>
        <v/>
      </c>
    </row>
    <row r="1696">
      <c r="A1696" s="7" t="n"/>
      <c r="B1696" s="4" t="n"/>
      <c r="C1696" s="4" t="n"/>
      <c r="D1696" s="4" t="n"/>
      <c r="E1696" s="4" t="n"/>
      <c r="F1696" s="6">
        <f>IF(B1696="","",IFERROR(INDEX(Products!$E:$E,MATCH(B1696,Products!$A:$A,0)),0))</f>
        <v/>
      </c>
      <c r="G1696" s="6">
        <f>IF(B1696="","",N(C1696)*N(F1696))</f>
        <v/>
      </c>
      <c r="H1696">
        <f>IF(B1696="","",IFERROR(INDEX(Products!$B:$B,MATCH(B1696,Products!$A:$A,0)),"SKU not found"))</f>
        <v/>
      </c>
    </row>
    <row r="1697">
      <c r="A1697" s="7" t="n"/>
      <c r="B1697" s="4" t="n"/>
      <c r="C1697" s="4" t="n"/>
      <c r="D1697" s="4" t="n"/>
      <c r="E1697" s="4" t="n"/>
      <c r="F1697" s="6">
        <f>IF(B1697="","",IFERROR(INDEX(Products!$E:$E,MATCH(B1697,Products!$A:$A,0)),0))</f>
        <v/>
      </c>
      <c r="G1697" s="6">
        <f>IF(B1697="","",N(C1697)*N(F1697))</f>
        <v/>
      </c>
      <c r="H1697">
        <f>IF(B1697="","",IFERROR(INDEX(Products!$B:$B,MATCH(B1697,Products!$A:$A,0)),"SKU not found"))</f>
        <v/>
      </c>
    </row>
    <row r="1698">
      <c r="A1698" s="7" t="n"/>
      <c r="B1698" s="4" t="n"/>
      <c r="C1698" s="4" t="n"/>
      <c r="D1698" s="4" t="n"/>
      <c r="E1698" s="4" t="n"/>
      <c r="F1698" s="6">
        <f>IF(B1698="","",IFERROR(INDEX(Products!$E:$E,MATCH(B1698,Products!$A:$A,0)),0))</f>
        <v/>
      </c>
      <c r="G1698" s="6">
        <f>IF(B1698="","",N(C1698)*N(F1698))</f>
        <v/>
      </c>
      <c r="H1698">
        <f>IF(B1698="","",IFERROR(INDEX(Products!$B:$B,MATCH(B1698,Products!$A:$A,0)),"SKU not found"))</f>
        <v/>
      </c>
    </row>
    <row r="1699">
      <c r="A1699" s="7" t="n"/>
      <c r="B1699" s="4" t="n"/>
      <c r="C1699" s="4" t="n"/>
      <c r="D1699" s="4" t="n"/>
      <c r="E1699" s="4" t="n"/>
      <c r="F1699" s="6">
        <f>IF(B1699="","",IFERROR(INDEX(Products!$E:$E,MATCH(B1699,Products!$A:$A,0)),0))</f>
        <v/>
      </c>
      <c r="G1699" s="6">
        <f>IF(B1699="","",N(C1699)*N(F1699))</f>
        <v/>
      </c>
      <c r="H1699">
        <f>IF(B1699="","",IFERROR(INDEX(Products!$B:$B,MATCH(B1699,Products!$A:$A,0)),"SKU not found"))</f>
        <v/>
      </c>
    </row>
    <row r="1700">
      <c r="A1700" s="7" t="n"/>
      <c r="B1700" s="4" t="n"/>
      <c r="C1700" s="4" t="n"/>
      <c r="D1700" s="4" t="n"/>
      <c r="E1700" s="4" t="n"/>
      <c r="F1700" s="6">
        <f>IF(B1700="","",IFERROR(INDEX(Products!$E:$E,MATCH(B1700,Products!$A:$A,0)),0))</f>
        <v/>
      </c>
      <c r="G1700" s="6">
        <f>IF(B1700="","",N(C1700)*N(F1700))</f>
        <v/>
      </c>
      <c r="H1700">
        <f>IF(B1700="","",IFERROR(INDEX(Products!$B:$B,MATCH(B1700,Products!$A:$A,0)),"SKU not found"))</f>
        <v/>
      </c>
    </row>
    <row r="1701">
      <c r="A1701" s="7" t="n"/>
      <c r="B1701" s="4" t="n"/>
      <c r="C1701" s="4" t="n"/>
      <c r="D1701" s="4" t="n"/>
      <c r="E1701" s="4" t="n"/>
      <c r="F1701" s="6">
        <f>IF(B1701="","",IFERROR(INDEX(Products!$E:$E,MATCH(B1701,Products!$A:$A,0)),0))</f>
        <v/>
      </c>
      <c r="G1701" s="6">
        <f>IF(B1701="","",N(C1701)*N(F1701))</f>
        <v/>
      </c>
      <c r="H1701">
        <f>IF(B1701="","",IFERROR(INDEX(Products!$B:$B,MATCH(B1701,Products!$A:$A,0)),"SKU not found"))</f>
        <v/>
      </c>
    </row>
    <row r="1702">
      <c r="A1702" s="7" t="n"/>
      <c r="B1702" s="4" t="n"/>
      <c r="C1702" s="4" t="n"/>
      <c r="D1702" s="4" t="n"/>
      <c r="E1702" s="4" t="n"/>
      <c r="F1702" s="6">
        <f>IF(B1702="","",IFERROR(INDEX(Products!$E:$E,MATCH(B1702,Products!$A:$A,0)),0))</f>
        <v/>
      </c>
      <c r="G1702" s="6">
        <f>IF(B1702="","",N(C1702)*N(F1702))</f>
        <v/>
      </c>
      <c r="H1702">
        <f>IF(B1702="","",IFERROR(INDEX(Products!$B:$B,MATCH(B1702,Products!$A:$A,0)),"SKU not found"))</f>
        <v/>
      </c>
    </row>
    <row r="1703">
      <c r="A1703" s="7" t="n"/>
      <c r="B1703" s="4" t="n"/>
      <c r="C1703" s="4" t="n"/>
      <c r="D1703" s="4" t="n"/>
      <c r="E1703" s="4" t="n"/>
      <c r="F1703" s="6">
        <f>IF(B1703="","",IFERROR(INDEX(Products!$E:$E,MATCH(B1703,Products!$A:$A,0)),0))</f>
        <v/>
      </c>
      <c r="G1703" s="6">
        <f>IF(B1703="","",N(C1703)*N(F1703))</f>
        <v/>
      </c>
      <c r="H1703">
        <f>IF(B1703="","",IFERROR(INDEX(Products!$B:$B,MATCH(B1703,Products!$A:$A,0)),"SKU not found"))</f>
        <v/>
      </c>
    </row>
    <row r="1704">
      <c r="A1704" s="7" t="n"/>
      <c r="B1704" s="4" t="n"/>
      <c r="C1704" s="4" t="n"/>
      <c r="D1704" s="4" t="n"/>
      <c r="E1704" s="4" t="n"/>
      <c r="F1704" s="6">
        <f>IF(B1704="","",IFERROR(INDEX(Products!$E:$E,MATCH(B1704,Products!$A:$A,0)),0))</f>
        <v/>
      </c>
      <c r="G1704" s="6">
        <f>IF(B1704="","",N(C1704)*N(F1704))</f>
        <v/>
      </c>
      <c r="H1704">
        <f>IF(B1704="","",IFERROR(INDEX(Products!$B:$B,MATCH(B1704,Products!$A:$A,0)),"SKU not found"))</f>
        <v/>
      </c>
    </row>
    <row r="1705">
      <c r="A1705" s="7" t="n"/>
      <c r="B1705" s="4" t="n"/>
      <c r="C1705" s="4" t="n"/>
      <c r="D1705" s="4" t="n"/>
      <c r="E1705" s="4" t="n"/>
      <c r="F1705" s="6">
        <f>IF(B1705="","",IFERROR(INDEX(Products!$E:$E,MATCH(B1705,Products!$A:$A,0)),0))</f>
        <v/>
      </c>
      <c r="G1705" s="6">
        <f>IF(B1705="","",N(C1705)*N(F1705))</f>
        <v/>
      </c>
      <c r="H1705">
        <f>IF(B1705="","",IFERROR(INDEX(Products!$B:$B,MATCH(B1705,Products!$A:$A,0)),"SKU not found"))</f>
        <v/>
      </c>
    </row>
    <row r="1706">
      <c r="A1706" s="7" t="n"/>
      <c r="B1706" s="4" t="n"/>
      <c r="C1706" s="4" t="n"/>
      <c r="D1706" s="4" t="n"/>
      <c r="E1706" s="4" t="n"/>
      <c r="F1706" s="6">
        <f>IF(B1706="","",IFERROR(INDEX(Products!$E:$E,MATCH(B1706,Products!$A:$A,0)),0))</f>
        <v/>
      </c>
      <c r="G1706" s="6">
        <f>IF(B1706="","",N(C1706)*N(F1706))</f>
        <v/>
      </c>
      <c r="H1706">
        <f>IF(B1706="","",IFERROR(INDEX(Products!$B:$B,MATCH(B1706,Products!$A:$A,0)),"SKU not found"))</f>
        <v/>
      </c>
    </row>
    <row r="1707">
      <c r="A1707" s="7" t="n"/>
      <c r="B1707" s="4" t="n"/>
      <c r="C1707" s="4" t="n"/>
      <c r="D1707" s="4" t="n"/>
      <c r="E1707" s="4" t="n"/>
      <c r="F1707" s="6">
        <f>IF(B1707="","",IFERROR(INDEX(Products!$E:$E,MATCH(B1707,Products!$A:$A,0)),0))</f>
        <v/>
      </c>
      <c r="G1707" s="6">
        <f>IF(B1707="","",N(C1707)*N(F1707))</f>
        <v/>
      </c>
      <c r="H1707">
        <f>IF(B1707="","",IFERROR(INDEX(Products!$B:$B,MATCH(B1707,Products!$A:$A,0)),"SKU not found"))</f>
        <v/>
      </c>
    </row>
    <row r="1708">
      <c r="A1708" s="7" t="n"/>
      <c r="B1708" s="4" t="n"/>
      <c r="C1708" s="4" t="n"/>
      <c r="D1708" s="4" t="n"/>
      <c r="E1708" s="4" t="n"/>
      <c r="F1708" s="6">
        <f>IF(B1708="","",IFERROR(INDEX(Products!$E:$E,MATCH(B1708,Products!$A:$A,0)),0))</f>
        <v/>
      </c>
      <c r="G1708" s="6">
        <f>IF(B1708="","",N(C1708)*N(F1708))</f>
        <v/>
      </c>
      <c r="H1708">
        <f>IF(B1708="","",IFERROR(INDEX(Products!$B:$B,MATCH(B1708,Products!$A:$A,0)),"SKU not found"))</f>
        <v/>
      </c>
    </row>
    <row r="1709">
      <c r="A1709" s="7" t="n"/>
      <c r="B1709" s="4" t="n"/>
      <c r="C1709" s="4" t="n"/>
      <c r="D1709" s="4" t="n"/>
      <c r="E1709" s="4" t="n"/>
      <c r="F1709" s="6">
        <f>IF(B1709="","",IFERROR(INDEX(Products!$E:$E,MATCH(B1709,Products!$A:$A,0)),0))</f>
        <v/>
      </c>
      <c r="G1709" s="6">
        <f>IF(B1709="","",N(C1709)*N(F1709))</f>
        <v/>
      </c>
      <c r="H1709">
        <f>IF(B1709="","",IFERROR(INDEX(Products!$B:$B,MATCH(B1709,Products!$A:$A,0)),"SKU not found"))</f>
        <v/>
      </c>
    </row>
    <row r="1710">
      <c r="A1710" s="7" t="n"/>
      <c r="B1710" s="4" t="n"/>
      <c r="C1710" s="4" t="n"/>
      <c r="D1710" s="4" t="n"/>
      <c r="E1710" s="4" t="n"/>
      <c r="F1710" s="6">
        <f>IF(B1710="","",IFERROR(INDEX(Products!$E:$E,MATCH(B1710,Products!$A:$A,0)),0))</f>
        <v/>
      </c>
      <c r="G1710" s="6">
        <f>IF(B1710="","",N(C1710)*N(F1710))</f>
        <v/>
      </c>
      <c r="H1710">
        <f>IF(B1710="","",IFERROR(INDEX(Products!$B:$B,MATCH(B1710,Products!$A:$A,0)),"SKU not found"))</f>
        <v/>
      </c>
    </row>
    <row r="1711">
      <c r="A1711" s="7" t="n"/>
      <c r="B1711" s="4" t="n"/>
      <c r="C1711" s="4" t="n"/>
      <c r="D1711" s="4" t="n"/>
      <c r="E1711" s="4" t="n"/>
      <c r="F1711" s="6">
        <f>IF(B1711="","",IFERROR(INDEX(Products!$E:$E,MATCH(B1711,Products!$A:$A,0)),0))</f>
        <v/>
      </c>
      <c r="G1711" s="6">
        <f>IF(B1711="","",N(C1711)*N(F1711))</f>
        <v/>
      </c>
      <c r="H1711">
        <f>IF(B1711="","",IFERROR(INDEX(Products!$B:$B,MATCH(B1711,Products!$A:$A,0)),"SKU not found"))</f>
        <v/>
      </c>
    </row>
    <row r="1712">
      <c r="A1712" s="7" t="n"/>
      <c r="B1712" s="4" t="n"/>
      <c r="C1712" s="4" t="n"/>
      <c r="D1712" s="4" t="n"/>
      <c r="E1712" s="4" t="n"/>
      <c r="F1712" s="6">
        <f>IF(B1712="","",IFERROR(INDEX(Products!$E:$E,MATCH(B1712,Products!$A:$A,0)),0))</f>
        <v/>
      </c>
      <c r="G1712" s="6">
        <f>IF(B1712="","",N(C1712)*N(F1712))</f>
        <v/>
      </c>
      <c r="H1712">
        <f>IF(B1712="","",IFERROR(INDEX(Products!$B:$B,MATCH(B1712,Products!$A:$A,0)),"SKU not found"))</f>
        <v/>
      </c>
    </row>
    <row r="1713">
      <c r="A1713" s="7" t="n"/>
      <c r="B1713" s="4" t="n"/>
      <c r="C1713" s="4" t="n"/>
      <c r="D1713" s="4" t="n"/>
      <c r="E1713" s="4" t="n"/>
      <c r="F1713" s="6">
        <f>IF(B1713="","",IFERROR(INDEX(Products!$E:$E,MATCH(B1713,Products!$A:$A,0)),0))</f>
        <v/>
      </c>
      <c r="G1713" s="6">
        <f>IF(B1713="","",N(C1713)*N(F1713))</f>
        <v/>
      </c>
      <c r="H1713">
        <f>IF(B1713="","",IFERROR(INDEX(Products!$B:$B,MATCH(B1713,Products!$A:$A,0)),"SKU not found"))</f>
        <v/>
      </c>
    </row>
    <row r="1714">
      <c r="A1714" s="7" t="n"/>
      <c r="B1714" s="4" t="n"/>
      <c r="C1714" s="4" t="n"/>
      <c r="D1714" s="4" t="n"/>
      <c r="E1714" s="4" t="n"/>
      <c r="F1714" s="6">
        <f>IF(B1714="","",IFERROR(INDEX(Products!$E:$E,MATCH(B1714,Products!$A:$A,0)),0))</f>
        <v/>
      </c>
      <c r="G1714" s="6">
        <f>IF(B1714="","",N(C1714)*N(F1714))</f>
        <v/>
      </c>
      <c r="H1714">
        <f>IF(B1714="","",IFERROR(INDEX(Products!$B:$B,MATCH(B1714,Products!$A:$A,0)),"SKU not found"))</f>
        <v/>
      </c>
    </row>
    <row r="1715">
      <c r="A1715" s="7" t="n"/>
      <c r="B1715" s="4" t="n"/>
      <c r="C1715" s="4" t="n"/>
      <c r="D1715" s="4" t="n"/>
      <c r="E1715" s="4" t="n"/>
      <c r="F1715" s="6">
        <f>IF(B1715="","",IFERROR(INDEX(Products!$E:$E,MATCH(B1715,Products!$A:$A,0)),0))</f>
        <v/>
      </c>
      <c r="G1715" s="6">
        <f>IF(B1715="","",N(C1715)*N(F1715))</f>
        <v/>
      </c>
      <c r="H1715">
        <f>IF(B1715="","",IFERROR(INDEX(Products!$B:$B,MATCH(B1715,Products!$A:$A,0)),"SKU not found"))</f>
        <v/>
      </c>
    </row>
    <row r="1716">
      <c r="A1716" s="7" t="n"/>
      <c r="B1716" s="4" t="n"/>
      <c r="C1716" s="4" t="n"/>
      <c r="D1716" s="4" t="n"/>
      <c r="E1716" s="4" t="n"/>
      <c r="F1716" s="6">
        <f>IF(B1716="","",IFERROR(INDEX(Products!$E:$E,MATCH(B1716,Products!$A:$A,0)),0))</f>
        <v/>
      </c>
      <c r="G1716" s="6">
        <f>IF(B1716="","",N(C1716)*N(F1716))</f>
        <v/>
      </c>
      <c r="H1716">
        <f>IF(B1716="","",IFERROR(INDEX(Products!$B:$B,MATCH(B1716,Products!$A:$A,0)),"SKU not found"))</f>
        <v/>
      </c>
    </row>
    <row r="1717">
      <c r="A1717" s="7" t="n"/>
      <c r="B1717" s="4" t="n"/>
      <c r="C1717" s="4" t="n"/>
      <c r="D1717" s="4" t="n"/>
      <c r="E1717" s="4" t="n"/>
      <c r="F1717" s="6">
        <f>IF(B1717="","",IFERROR(INDEX(Products!$E:$E,MATCH(B1717,Products!$A:$A,0)),0))</f>
        <v/>
      </c>
      <c r="G1717" s="6">
        <f>IF(B1717="","",N(C1717)*N(F1717))</f>
        <v/>
      </c>
      <c r="H1717">
        <f>IF(B1717="","",IFERROR(INDEX(Products!$B:$B,MATCH(B1717,Products!$A:$A,0)),"SKU not found"))</f>
        <v/>
      </c>
    </row>
    <row r="1718">
      <c r="A1718" s="7" t="n"/>
      <c r="B1718" s="4" t="n"/>
      <c r="C1718" s="4" t="n"/>
      <c r="D1718" s="4" t="n"/>
      <c r="E1718" s="4" t="n"/>
      <c r="F1718" s="6">
        <f>IF(B1718="","",IFERROR(INDEX(Products!$E:$E,MATCH(B1718,Products!$A:$A,0)),0))</f>
        <v/>
      </c>
      <c r="G1718" s="6">
        <f>IF(B1718="","",N(C1718)*N(F1718))</f>
        <v/>
      </c>
      <c r="H1718">
        <f>IF(B1718="","",IFERROR(INDEX(Products!$B:$B,MATCH(B1718,Products!$A:$A,0)),"SKU not found"))</f>
        <v/>
      </c>
    </row>
    <row r="1719">
      <c r="A1719" s="7" t="n"/>
      <c r="B1719" s="4" t="n"/>
      <c r="C1719" s="4" t="n"/>
      <c r="D1719" s="4" t="n"/>
      <c r="E1719" s="4" t="n"/>
      <c r="F1719" s="6">
        <f>IF(B1719="","",IFERROR(INDEX(Products!$E:$E,MATCH(B1719,Products!$A:$A,0)),0))</f>
        <v/>
      </c>
      <c r="G1719" s="6">
        <f>IF(B1719="","",N(C1719)*N(F1719))</f>
        <v/>
      </c>
      <c r="H1719">
        <f>IF(B1719="","",IFERROR(INDEX(Products!$B:$B,MATCH(B1719,Products!$A:$A,0)),"SKU not found"))</f>
        <v/>
      </c>
    </row>
    <row r="1720">
      <c r="A1720" s="7" t="n"/>
      <c r="B1720" s="4" t="n"/>
      <c r="C1720" s="4" t="n"/>
      <c r="D1720" s="4" t="n"/>
      <c r="E1720" s="4" t="n"/>
      <c r="F1720" s="6">
        <f>IF(B1720="","",IFERROR(INDEX(Products!$E:$E,MATCH(B1720,Products!$A:$A,0)),0))</f>
        <v/>
      </c>
      <c r="G1720" s="6">
        <f>IF(B1720="","",N(C1720)*N(F1720))</f>
        <v/>
      </c>
      <c r="H1720">
        <f>IF(B1720="","",IFERROR(INDEX(Products!$B:$B,MATCH(B1720,Products!$A:$A,0)),"SKU not found"))</f>
        <v/>
      </c>
    </row>
    <row r="1721">
      <c r="A1721" s="7" t="n"/>
      <c r="B1721" s="4" t="n"/>
      <c r="C1721" s="4" t="n"/>
      <c r="D1721" s="4" t="n"/>
      <c r="E1721" s="4" t="n"/>
      <c r="F1721" s="6">
        <f>IF(B1721="","",IFERROR(INDEX(Products!$E:$E,MATCH(B1721,Products!$A:$A,0)),0))</f>
        <v/>
      </c>
      <c r="G1721" s="6">
        <f>IF(B1721="","",N(C1721)*N(F1721))</f>
        <v/>
      </c>
      <c r="H1721">
        <f>IF(B1721="","",IFERROR(INDEX(Products!$B:$B,MATCH(B1721,Products!$A:$A,0)),"SKU not found"))</f>
        <v/>
      </c>
    </row>
    <row r="1722">
      <c r="A1722" s="7" t="n"/>
      <c r="B1722" s="4" t="n"/>
      <c r="C1722" s="4" t="n"/>
      <c r="D1722" s="4" t="n"/>
      <c r="E1722" s="4" t="n"/>
      <c r="F1722" s="6">
        <f>IF(B1722="","",IFERROR(INDEX(Products!$E:$E,MATCH(B1722,Products!$A:$A,0)),0))</f>
        <v/>
      </c>
      <c r="G1722" s="6">
        <f>IF(B1722="","",N(C1722)*N(F1722))</f>
        <v/>
      </c>
      <c r="H1722">
        <f>IF(B1722="","",IFERROR(INDEX(Products!$B:$B,MATCH(B1722,Products!$A:$A,0)),"SKU not found"))</f>
        <v/>
      </c>
    </row>
    <row r="1723">
      <c r="A1723" s="7" t="n"/>
      <c r="B1723" s="4" t="n"/>
      <c r="C1723" s="4" t="n"/>
      <c r="D1723" s="4" t="n"/>
      <c r="E1723" s="4" t="n"/>
      <c r="F1723" s="6">
        <f>IF(B1723="","",IFERROR(INDEX(Products!$E:$E,MATCH(B1723,Products!$A:$A,0)),0))</f>
        <v/>
      </c>
      <c r="G1723" s="6">
        <f>IF(B1723="","",N(C1723)*N(F1723))</f>
        <v/>
      </c>
      <c r="H1723">
        <f>IF(B1723="","",IFERROR(INDEX(Products!$B:$B,MATCH(B1723,Products!$A:$A,0)),"SKU not found"))</f>
        <v/>
      </c>
    </row>
    <row r="1724">
      <c r="A1724" s="7" t="n"/>
      <c r="B1724" s="4" t="n"/>
      <c r="C1724" s="4" t="n"/>
      <c r="D1724" s="4" t="n"/>
      <c r="E1724" s="4" t="n"/>
      <c r="F1724" s="6">
        <f>IF(B1724="","",IFERROR(INDEX(Products!$E:$E,MATCH(B1724,Products!$A:$A,0)),0))</f>
        <v/>
      </c>
      <c r="G1724" s="6">
        <f>IF(B1724="","",N(C1724)*N(F1724))</f>
        <v/>
      </c>
      <c r="H1724">
        <f>IF(B1724="","",IFERROR(INDEX(Products!$B:$B,MATCH(B1724,Products!$A:$A,0)),"SKU not found"))</f>
        <v/>
      </c>
    </row>
    <row r="1725">
      <c r="A1725" s="7" t="n"/>
      <c r="B1725" s="4" t="n"/>
      <c r="C1725" s="4" t="n"/>
      <c r="D1725" s="4" t="n"/>
      <c r="E1725" s="4" t="n"/>
      <c r="F1725" s="6">
        <f>IF(B1725="","",IFERROR(INDEX(Products!$E:$E,MATCH(B1725,Products!$A:$A,0)),0))</f>
        <v/>
      </c>
      <c r="G1725" s="6">
        <f>IF(B1725="","",N(C1725)*N(F1725))</f>
        <v/>
      </c>
      <c r="H1725">
        <f>IF(B1725="","",IFERROR(INDEX(Products!$B:$B,MATCH(B1725,Products!$A:$A,0)),"SKU not found"))</f>
        <v/>
      </c>
    </row>
    <row r="1726">
      <c r="A1726" s="7" t="n"/>
      <c r="B1726" s="4" t="n"/>
      <c r="C1726" s="4" t="n"/>
      <c r="D1726" s="4" t="n"/>
      <c r="E1726" s="4" t="n"/>
      <c r="F1726" s="6">
        <f>IF(B1726="","",IFERROR(INDEX(Products!$E:$E,MATCH(B1726,Products!$A:$A,0)),0))</f>
        <v/>
      </c>
      <c r="G1726" s="6">
        <f>IF(B1726="","",N(C1726)*N(F1726))</f>
        <v/>
      </c>
      <c r="H1726">
        <f>IF(B1726="","",IFERROR(INDEX(Products!$B:$B,MATCH(B1726,Products!$A:$A,0)),"SKU not found"))</f>
        <v/>
      </c>
    </row>
    <row r="1727">
      <c r="A1727" s="7" t="n"/>
      <c r="B1727" s="4" t="n"/>
      <c r="C1727" s="4" t="n"/>
      <c r="D1727" s="4" t="n"/>
      <c r="E1727" s="4" t="n"/>
      <c r="F1727" s="6">
        <f>IF(B1727="","",IFERROR(INDEX(Products!$E:$E,MATCH(B1727,Products!$A:$A,0)),0))</f>
        <v/>
      </c>
      <c r="G1727" s="6">
        <f>IF(B1727="","",N(C1727)*N(F1727))</f>
        <v/>
      </c>
      <c r="H1727">
        <f>IF(B1727="","",IFERROR(INDEX(Products!$B:$B,MATCH(B1727,Products!$A:$A,0)),"SKU not found"))</f>
        <v/>
      </c>
    </row>
    <row r="1728">
      <c r="A1728" s="7" t="n"/>
      <c r="B1728" s="4" t="n"/>
      <c r="C1728" s="4" t="n"/>
      <c r="D1728" s="4" t="n"/>
      <c r="E1728" s="4" t="n"/>
      <c r="F1728" s="6">
        <f>IF(B1728="","",IFERROR(INDEX(Products!$E:$E,MATCH(B1728,Products!$A:$A,0)),0))</f>
        <v/>
      </c>
      <c r="G1728" s="6">
        <f>IF(B1728="","",N(C1728)*N(F1728))</f>
        <v/>
      </c>
      <c r="H1728">
        <f>IF(B1728="","",IFERROR(INDEX(Products!$B:$B,MATCH(B1728,Products!$A:$A,0)),"SKU not found"))</f>
        <v/>
      </c>
    </row>
    <row r="1729">
      <c r="A1729" s="7" t="n"/>
      <c r="B1729" s="4" t="n"/>
      <c r="C1729" s="4" t="n"/>
      <c r="D1729" s="4" t="n"/>
      <c r="E1729" s="4" t="n"/>
      <c r="F1729" s="6">
        <f>IF(B1729="","",IFERROR(INDEX(Products!$E:$E,MATCH(B1729,Products!$A:$A,0)),0))</f>
        <v/>
      </c>
      <c r="G1729" s="6">
        <f>IF(B1729="","",N(C1729)*N(F1729))</f>
        <v/>
      </c>
      <c r="H1729">
        <f>IF(B1729="","",IFERROR(INDEX(Products!$B:$B,MATCH(B1729,Products!$A:$A,0)),"SKU not found"))</f>
        <v/>
      </c>
    </row>
    <row r="1730">
      <c r="A1730" s="7" t="n"/>
      <c r="B1730" s="4" t="n"/>
      <c r="C1730" s="4" t="n"/>
      <c r="D1730" s="4" t="n"/>
      <c r="E1730" s="4" t="n"/>
      <c r="F1730" s="6">
        <f>IF(B1730="","",IFERROR(INDEX(Products!$E:$E,MATCH(B1730,Products!$A:$A,0)),0))</f>
        <v/>
      </c>
      <c r="G1730" s="6">
        <f>IF(B1730="","",N(C1730)*N(F1730))</f>
        <v/>
      </c>
      <c r="H1730">
        <f>IF(B1730="","",IFERROR(INDEX(Products!$B:$B,MATCH(B1730,Products!$A:$A,0)),"SKU not found"))</f>
        <v/>
      </c>
    </row>
    <row r="1731">
      <c r="A1731" s="7" t="n"/>
      <c r="B1731" s="4" t="n"/>
      <c r="C1731" s="4" t="n"/>
      <c r="D1731" s="4" t="n"/>
      <c r="E1731" s="4" t="n"/>
      <c r="F1731" s="6">
        <f>IF(B1731="","",IFERROR(INDEX(Products!$E:$E,MATCH(B1731,Products!$A:$A,0)),0))</f>
        <v/>
      </c>
      <c r="G1731" s="6">
        <f>IF(B1731="","",N(C1731)*N(F1731))</f>
        <v/>
      </c>
      <c r="H1731">
        <f>IF(B1731="","",IFERROR(INDEX(Products!$B:$B,MATCH(B1731,Products!$A:$A,0)),"SKU not found"))</f>
        <v/>
      </c>
    </row>
    <row r="1732">
      <c r="A1732" s="7" t="n"/>
      <c r="B1732" s="4" t="n"/>
      <c r="C1732" s="4" t="n"/>
      <c r="D1732" s="4" t="n"/>
      <c r="E1732" s="4" t="n"/>
      <c r="F1732" s="6">
        <f>IF(B1732="","",IFERROR(INDEX(Products!$E:$E,MATCH(B1732,Products!$A:$A,0)),0))</f>
        <v/>
      </c>
      <c r="G1732" s="6">
        <f>IF(B1732="","",N(C1732)*N(F1732))</f>
        <v/>
      </c>
      <c r="H1732">
        <f>IF(B1732="","",IFERROR(INDEX(Products!$B:$B,MATCH(B1732,Products!$A:$A,0)),"SKU not found"))</f>
        <v/>
      </c>
    </row>
    <row r="1733">
      <c r="A1733" s="7" t="n"/>
      <c r="B1733" s="4" t="n"/>
      <c r="C1733" s="4" t="n"/>
      <c r="D1733" s="4" t="n"/>
      <c r="E1733" s="4" t="n"/>
      <c r="F1733" s="6">
        <f>IF(B1733="","",IFERROR(INDEX(Products!$E:$E,MATCH(B1733,Products!$A:$A,0)),0))</f>
        <v/>
      </c>
      <c r="G1733" s="6">
        <f>IF(B1733="","",N(C1733)*N(F1733))</f>
        <v/>
      </c>
      <c r="H1733">
        <f>IF(B1733="","",IFERROR(INDEX(Products!$B:$B,MATCH(B1733,Products!$A:$A,0)),"SKU not found"))</f>
        <v/>
      </c>
    </row>
    <row r="1734">
      <c r="A1734" s="7" t="n"/>
      <c r="B1734" s="4" t="n"/>
      <c r="C1734" s="4" t="n"/>
      <c r="D1734" s="4" t="n"/>
      <c r="E1734" s="4" t="n"/>
      <c r="F1734" s="6">
        <f>IF(B1734="","",IFERROR(INDEX(Products!$E:$E,MATCH(B1734,Products!$A:$A,0)),0))</f>
        <v/>
      </c>
      <c r="G1734" s="6">
        <f>IF(B1734="","",N(C1734)*N(F1734))</f>
        <v/>
      </c>
      <c r="H1734">
        <f>IF(B1734="","",IFERROR(INDEX(Products!$B:$B,MATCH(B1734,Products!$A:$A,0)),"SKU not found"))</f>
        <v/>
      </c>
    </row>
    <row r="1735">
      <c r="A1735" s="7" t="n"/>
      <c r="B1735" s="4" t="n"/>
      <c r="C1735" s="4" t="n"/>
      <c r="D1735" s="4" t="n"/>
      <c r="E1735" s="4" t="n"/>
      <c r="F1735" s="6">
        <f>IF(B1735="","",IFERROR(INDEX(Products!$E:$E,MATCH(B1735,Products!$A:$A,0)),0))</f>
        <v/>
      </c>
      <c r="G1735" s="6">
        <f>IF(B1735="","",N(C1735)*N(F1735))</f>
        <v/>
      </c>
      <c r="H1735">
        <f>IF(B1735="","",IFERROR(INDEX(Products!$B:$B,MATCH(B1735,Products!$A:$A,0)),"SKU not found"))</f>
        <v/>
      </c>
    </row>
    <row r="1736">
      <c r="A1736" s="7" t="n"/>
      <c r="B1736" s="4" t="n"/>
      <c r="C1736" s="4" t="n"/>
      <c r="D1736" s="4" t="n"/>
      <c r="E1736" s="4" t="n"/>
      <c r="F1736" s="6">
        <f>IF(B1736="","",IFERROR(INDEX(Products!$E:$E,MATCH(B1736,Products!$A:$A,0)),0))</f>
        <v/>
      </c>
      <c r="G1736" s="6">
        <f>IF(B1736="","",N(C1736)*N(F1736))</f>
        <v/>
      </c>
      <c r="H1736">
        <f>IF(B1736="","",IFERROR(INDEX(Products!$B:$B,MATCH(B1736,Products!$A:$A,0)),"SKU not found"))</f>
        <v/>
      </c>
    </row>
    <row r="1737">
      <c r="A1737" s="7" t="n"/>
      <c r="B1737" s="4" t="n"/>
      <c r="C1737" s="4" t="n"/>
      <c r="D1737" s="4" t="n"/>
      <c r="E1737" s="4" t="n"/>
      <c r="F1737" s="6">
        <f>IF(B1737="","",IFERROR(INDEX(Products!$E:$E,MATCH(B1737,Products!$A:$A,0)),0))</f>
        <v/>
      </c>
      <c r="G1737" s="6">
        <f>IF(B1737="","",N(C1737)*N(F1737))</f>
        <v/>
      </c>
      <c r="H1737">
        <f>IF(B1737="","",IFERROR(INDEX(Products!$B:$B,MATCH(B1737,Products!$A:$A,0)),"SKU not found"))</f>
        <v/>
      </c>
    </row>
    <row r="1738">
      <c r="A1738" s="7" t="n"/>
      <c r="B1738" s="4" t="n"/>
      <c r="C1738" s="4" t="n"/>
      <c r="D1738" s="4" t="n"/>
      <c r="E1738" s="4" t="n"/>
      <c r="F1738" s="6">
        <f>IF(B1738="","",IFERROR(INDEX(Products!$E:$E,MATCH(B1738,Products!$A:$A,0)),0))</f>
        <v/>
      </c>
      <c r="G1738" s="6">
        <f>IF(B1738="","",N(C1738)*N(F1738))</f>
        <v/>
      </c>
      <c r="H1738">
        <f>IF(B1738="","",IFERROR(INDEX(Products!$B:$B,MATCH(B1738,Products!$A:$A,0)),"SKU not found"))</f>
        <v/>
      </c>
    </row>
    <row r="1739">
      <c r="A1739" s="7" t="n"/>
      <c r="B1739" s="4" t="n"/>
      <c r="C1739" s="4" t="n"/>
      <c r="D1739" s="4" t="n"/>
      <c r="E1739" s="4" t="n"/>
      <c r="F1739" s="6">
        <f>IF(B1739="","",IFERROR(INDEX(Products!$E:$E,MATCH(B1739,Products!$A:$A,0)),0))</f>
        <v/>
      </c>
      <c r="G1739" s="6">
        <f>IF(B1739="","",N(C1739)*N(F1739))</f>
        <v/>
      </c>
      <c r="H1739">
        <f>IF(B1739="","",IFERROR(INDEX(Products!$B:$B,MATCH(B1739,Products!$A:$A,0)),"SKU not found"))</f>
        <v/>
      </c>
    </row>
    <row r="1740">
      <c r="A1740" s="7" t="n"/>
      <c r="B1740" s="4" t="n"/>
      <c r="C1740" s="4" t="n"/>
      <c r="D1740" s="4" t="n"/>
      <c r="E1740" s="4" t="n"/>
      <c r="F1740" s="6">
        <f>IF(B1740="","",IFERROR(INDEX(Products!$E:$E,MATCH(B1740,Products!$A:$A,0)),0))</f>
        <v/>
      </c>
      <c r="G1740" s="6">
        <f>IF(B1740="","",N(C1740)*N(F1740))</f>
        <v/>
      </c>
      <c r="H1740">
        <f>IF(B1740="","",IFERROR(INDEX(Products!$B:$B,MATCH(B1740,Products!$A:$A,0)),"SKU not found"))</f>
        <v/>
      </c>
    </row>
    <row r="1741">
      <c r="A1741" s="7" t="n"/>
      <c r="B1741" s="4" t="n"/>
      <c r="C1741" s="4" t="n"/>
      <c r="D1741" s="4" t="n"/>
      <c r="E1741" s="4" t="n"/>
      <c r="F1741" s="6">
        <f>IF(B1741="","",IFERROR(INDEX(Products!$E:$E,MATCH(B1741,Products!$A:$A,0)),0))</f>
        <v/>
      </c>
      <c r="G1741" s="6">
        <f>IF(B1741="","",N(C1741)*N(F1741))</f>
        <v/>
      </c>
      <c r="H1741">
        <f>IF(B1741="","",IFERROR(INDEX(Products!$B:$B,MATCH(B1741,Products!$A:$A,0)),"SKU not found"))</f>
        <v/>
      </c>
    </row>
    <row r="1742">
      <c r="A1742" s="7" t="n"/>
      <c r="B1742" s="4" t="n"/>
      <c r="C1742" s="4" t="n"/>
      <c r="D1742" s="4" t="n"/>
      <c r="E1742" s="4" t="n"/>
      <c r="F1742" s="6">
        <f>IF(B1742="","",IFERROR(INDEX(Products!$E:$E,MATCH(B1742,Products!$A:$A,0)),0))</f>
        <v/>
      </c>
      <c r="G1742" s="6">
        <f>IF(B1742="","",N(C1742)*N(F1742))</f>
        <v/>
      </c>
      <c r="H1742">
        <f>IF(B1742="","",IFERROR(INDEX(Products!$B:$B,MATCH(B1742,Products!$A:$A,0)),"SKU not found"))</f>
        <v/>
      </c>
    </row>
    <row r="1743">
      <c r="A1743" s="7" t="n"/>
      <c r="B1743" s="4" t="n"/>
      <c r="C1743" s="4" t="n"/>
      <c r="D1743" s="4" t="n"/>
      <c r="E1743" s="4" t="n"/>
      <c r="F1743" s="6">
        <f>IF(B1743="","",IFERROR(INDEX(Products!$E:$E,MATCH(B1743,Products!$A:$A,0)),0))</f>
        <v/>
      </c>
      <c r="G1743" s="6">
        <f>IF(B1743="","",N(C1743)*N(F1743))</f>
        <v/>
      </c>
      <c r="H1743">
        <f>IF(B1743="","",IFERROR(INDEX(Products!$B:$B,MATCH(B1743,Products!$A:$A,0)),"SKU not found"))</f>
        <v/>
      </c>
    </row>
    <row r="1744">
      <c r="A1744" s="7" t="n"/>
      <c r="B1744" s="4" t="n"/>
      <c r="C1744" s="4" t="n"/>
      <c r="D1744" s="4" t="n"/>
      <c r="E1744" s="4" t="n"/>
      <c r="F1744" s="6">
        <f>IF(B1744="","",IFERROR(INDEX(Products!$E:$E,MATCH(B1744,Products!$A:$A,0)),0))</f>
        <v/>
      </c>
      <c r="G1744" s="6">
        <f>IF(B1744="","",N(C1744)*N(F1744))</f>
        <v/>
      </c>
      <c r="H1744">
        <f>IF(B1744="","",IFERROR(INDEX(Products!$B:$B,MATCH(B1744,Products!$A:$A,0)),"SKU not found"))</f>
        <v/>
      </c>
    </row>
    <row r="1745">
      <c r="A1745" s="7" t="n"/>
      <c r="B1745" s="4" t="n"/>
      <c r="C1745" s="4" t="n"/>
      <c r="D1745" s="4" t="n"/>
      <c r="E1745" s="4" t="n"/>
      <c r="F1745" s="6">
        <f>IF(B1745="","",IFERROR(INDEX(Products!$E:$E,MATCH(B1745,Products!$A:$A,0)),0))</f>
        <v/>
      </c>
      <c r="G1745" s="6">
        <f>IF(B1745="","",N(C1745)*N(F1745))</f>
        <v/>
      </c>
      <c r="H1745">
        <f>IF(B1745="","",IFERROR(INDEX(Products!$B:$B,MATCH(B1745,Products!$A:$A,0)),"SKU not found"))</f>
        <v/>
      </c>
    </row>
    <row r="1746">
      <c r="A1746" s="7" t="n"/>
      <c r="B1746" s="4" t="n"/>
      <c r="C1746" s="4" t="n"/>
      <c r="D1746" s="4" t="n"/>
      <c r="E1746" s="4" t="n"/>
      <c r="F1746" s="6">
        <f>IF(B1746="","",IFERROR(INDEX(Products!$E:$E,MATCH(B1746,Products!$A:$A,0)),0))</f>
        <v/>
      </c>
      <c r="G1746" s="6">
        <f>IF(B1746="","",N(C1746)*N(F1746))</f>
        <v/>
      </c>
      <c r="H1746">
        <f>IF(B1746="","",IFERROR(INDEX(Products!$B:$B,MATCH(B1746,Products!$A:$A,0)),"SKU not found"))</f>
        <v/>
      </c>
    </row>
    <row r="1747">
      <c r="A1747" s="7" t="n"/>
      <c r="B1747" s="4" t="n"/>
      <c r="C1747" s="4" t="n"/>
      <c r="D1747" s="4" t="n"/>
      <c r="E1747" s="4" t="n"/>
      <c r="F1747" s="6">
        <f>IF(B1747="","",IFERROR(INDEX(Products!$E:$E,MATCH(B1747,Products!$A:$A,0)),0))</f>
        <v/>
      </c>
      <c r="G1747" s="6">
        <f>IF(B1747="","",N(C1747)*N(F1747))</f>
        <v/>
      </c>
      <c r="H1747">
        <f>IF(B1747="","",IFERROR(INDEX(Products!$B:$B,MATCH(B1747,Products!$A:$A,0)),"SKU not found"))</f>
        <v/>
      </c>
    </row>
    <row r="1748">
      <c r="A1748" s="7" t="n"/>
      <c r="B1748" s="4" t="n"/>
      <c r="C1748" s="4" t="n"/>
      <c r="D1748" s="4" t="n"/>
      <c r="E1748" s="4" t="n"/>
      <c r="F1748" s="6">
        <f>IF(B1748="","",IFERROR(INDEX(Products!$E:$E,MATCH(B1748,Products!$A:$A,0)),0))</f>
        <v/>
      </c>
      <c r="G1748" s="6">
        <f>IF(B1748="","",N(C1748)*N(F1748))</f>
        <v/>
      </c>
      <c r="H1748">
        <f>IF(B1748="","",IFERROR(INDEX(Products!$B:$B,MATCH(B1748,Products!$A:$A,0)),"SKU not found"))</f>
        <v/>
      </c>
    </row>
    <row r="1749">
      <c r="A1749" s="7" t="n"/>
      <c r="B1749" s="4" t="n"/>
      <c r="C1749" s="4" t="n"/>
      <c r="D1749" s="4" t="n"/>
      <c r="E1749" s="4" t="n"/>
      <c r="F1749" s="6">
        <f>IF(B1749="","",IFERROR(INDEX(Products!$E:$E,MATCH(B1749,Products!$A:$A,0)),0))</f>
        <v/>
      </c>
      <c r="G1749" s="6">
        <f>IF(B1749="","",N(C1749)*N(F1749))</f>
        <v/>
      </c>
      <c r="H1749">
        <f>IF(B1749="","",IFERROR(INDEX(Products!$B:$B,MATCH(B1749,Products!$A:$A,0)),"SKU not found"))</f>
        <v/>
      </c>
    </row>
    <row r="1750">
      <c r="A1750" s="7" t="n"/>
      <c r="B1750" s="4" t="n"/>
      <c r="C1750" s="4" t="n"/>
      <c r="D1750" s="4" t="n"/>
      <c r="E1750" s="4" t="n"/>
      <c r="F1750" s="6">
        <f>IF(B1750="","",IFERROR(INDEX(Products!$E:$E,MATCH(B1750,Products!$A:$A,0)),0))</f>
        <v/>
      </c>
      <c r="G1750" s="6">
        <f>IF(B1750="","",N(C1750)*N(F1750))</f>
        <v/>
      </c>
      <c r="H1750">
        <f>IF(B1750="","",IFERROR(INDEX(Products!$B:$B,MATCH(B1750,Products!$A:$A,0)),"SKU not found"))</f>
        <v/>
      </c>
    </row>
    <row r="1751">
      <c r="A1751" s="7" t="n"/>
      <c r="B1751" s="4" t="n"/>
      <c r="C1751" s="4" t="n"/>
      <c r="D1751" s="4" t="n"/>
      <c r="E1751" s="4" t="n"/>
      <c r="F1751" s="6">
        <f>IF(B1751="","",IFERROR(INDEX(Products!$E:$E,MATCH(B1751,Products!$A:$A,0)),0))</f>
        <v/>
      </c>
      <c r="G1751" s="6">
        <f>IF(B1751="","",N(C1751)*N(F1751))</f>
        <v/>
      </c>
      <c r="H1751">
        <f>IF(B1751="","",IFERROR(INDEX(Products!$B:$B,MATCH(B1751,Products!$A:$A,0)),"SKU not found"))</f>
        <v/>
      </c>
    </row>
    <row r="1752">
      <c r="A1752" s="7" t="n"/>
      <c r="B1752" s="4" t="n"/>
      <c r="C1752" s="4" t="n"/>
      <c r="D1752" s="4" t="n"/>
      <c r="E1752" s="4" t="n"/>
      <c r="F1752" s="6">
        <f>IF(B1752="","",IFERROR(INDEX(Products!$E:$E,MATCH(B1752,Products!$A:$A,0)),0))</f>
        <v/>
      </c>
      <c r="G1752" s="6">
        <f>IF(B1752="","",N(C1752)*N(F1752))</f>
        <v/>
      </c>
      <c r="H1752">
        <f>IF(B1752="","",IFERROR(INDEX(Products!$B:$B,MATCH(B1752,Products!$A:$A,0)),"SKU not found"))</f>
        <v/>
      </c>
    </row>
    <row r="1753">
      <c r="A1753" s="7" t="n"/>
      <c r="B1753" s="4" t="n"/>
      <c r="C1753" s="4" t="n"/>
      <c r="D1753" s="4" t="n"/>
      <c r="E1753" s="4" t="n"/>
      <c r="F1753" s="6">
        <f>IF(B1753="","",IFERROR(INDEX(Products!$E:$E,MATCH(B1753,Products!$A:$A,0)),0))</f>
        <v/>
      </c>
      <c r="G1753" s="6">
        <f>IF(B1753="","",N(C1753)*N(F1753))</f>
        <v/>
      </c>
      <c r="H1753">
        <f>IF(B1753="","",IFERROR(INDEX(Products!$B:$B,MATCH(B1753,Products!$A:$A,0)),"SKU not found"))</f>
        <v/>
      </c>
    </row>
    <row r="1754">
      <c r="A1754" s="7" t="n"/>
      <c r="B1754" s="4" t="n"/>
      <c r="C1754" s="4" t="n"/>
      <c r="D1754" s="4" t="n"/>
      <c r="E1754" s="4" t="n"/>
      <c r="F1754" s="6">
        <f>IF(B1754="","",IFERROR(INDEX(Products!$E:$E,MATCH(B1754,Products!$A:$A,0)),0))</f>
        <v/>
      </c>
      <c r="G1754" s="6">
        <f>IF(B1754="","",N(C1754)*N(F1754))</f>
        <v/>
      </c>
      <c r="H1754">
        <f>IF(B1754="","",IFERROR(INDEX(Products!$B:$B,MATCH(B1754,Products!$A:$A,0)),"SKU not found"))</f>
        <v/>
      </c>
    </row>
    <row r="1755">
      <c r="A1755" s="7" t="n"/>
      <c r="B1755" s="4" t="n"/>
      <c r="C1755" s="4" t="n"/>
      <c r="D1755" s="4" t="n"/>
      <c r="E1755" s="4" t="n"/>
      <c r="F1755" s="6">
        <f>IF(B1755="","",IFERROR(INDEX(Products!$E:$E,MATCH(B1755,Products!$A:$A,0)),0))</f>
        <v/>
      </c>
      <c r="G1755" s="6">
        <f>IF(B1755="","",N(C1755)*N(F1755))</f>
        <v/>
      </c>
      <c r="H1755">
        <f>IF(B1755="","",IFERROR(INDEX(Products!$B:$B,MATCH(B1755,Products!$A:$A,0)),"SKU not found"))</f>
        <v/>
      </c>
    </row>
    <row r="1756">
      <c r="A1756" s="7" t="n"/>
      <c r="B1756" s="4" t="n"/>
      <c r="C1756" s="4" t="n"/>
      <c r="D1756" s="4" t="n"/>
      <c r="E1756" s="4" t="n"/>
      <c r="F1756" s="6">
        <f>IF(B1756="","",IFERROR(INDEX(Products!$E:$E,MATCH(B1756,Products!$A:$A,0)),0))</f>
        <v/>
      </c>
      <c r="G1756" s="6">
        <f>IF(B1756="","",N(C1756)*N(F1756))</f>
        <v/>
      </c>
      <c r="H1756">
        <f>IF(B1756="","",IFERROR(INDEX(Products!$B:$B,MATCH(B1756,Products!$A:$A,0)),"SKU not found"))</f>
        <v/>
      </c>
    </row>
    <row r="1757">
      <c r="A1757" s="7" t="n"/>
      <c r="B1757" s="4" t="n"/>
      <c r="C1757" s="4" t="n"/>
      <c r="D1757" s="4" t="n"/>
      <c r="E1757" s="4" t="n"/>
      <c r="F1757" s="6">
        <f>IF(B1757="","",IFERROR(INDEX(Products!$E:$E,MATCH(B1757,Products!$A:$A,0)),0))</f>
        <v/>
      </c>
      <c r="G1757" s="6">
        <f>IF(B1757="","",N(C1757)*N(F1757))</f>
        <v/>
      </c>
      <c r="H1757">
        <f>IF(B1757="","",IFERROR(INDEX(Products!$B:$B,MATCH(B1757,Products!$A:$A,0)),"SKU not found"))</f>
        <v/>
      </c>
    </row>
    <row r="1758">
      <c r="A1758" s="7" t="n"/>
      <c r="B1758" s="4" t="n"/>
      <c r="C1758" s="4" t="n"/>
      <c r="D1758" s="4" t="n"/>
      <c r="E1758" s="4" t="n"/>
      <c r="F1758" s="6">
        <f>IF(B1758="","",IFERROR(INDEX(Products!$E:$E,MATCH(B1758,Products!$A:$A,0)),0))</f>
        <v/>
      </c>
      <c r="G1758" s="6">
        <f>IF(B1758="","",N(C1758)*N(F1758))</f>
        <v/>
      </c>
      <c r="H1758">
        <f>IF(B1758="","",IFERROR(INDEX(Products!$B:$B,MATCH(B1758,Products!$A:$A,0)),"SKU not found"))</f>
        <v/>
      </c>
    </row>
    <row r="1759">
      <c r="A1759" s="7" t="n"/>
      <c r="B1759" s="4" t="n"/>
      <c r="C1759" s="4" t="n"/>
      <c r="D1759" s="4" t="n"/>
      <c r="E1759" s="4" t="n"/>
      <c r="F1759" s="6">
        <f>IF(B1759="","",IFERROR(INDEX(Products!$E:$E,MATCH(B1759,Products!$A:$A,0)),0))</f>
        <v/>
      </c>
      <c r="G1759" s="6">
        <f>IF(B1759="","",N(C1759)*N(F1759))</f>
        <v/>
      </c>
      <c r="H1759">
        <f>IF(B1759="","",IFERROR(INDEX(Products!$B:$B,MATCH(B1759,Products!$A:$A,0)),"SKU not found"))</f>
        <v/>
      </c>
    </row>
    <row r="1760">
      <c r="A1760" s="7" t="n"/>
      <c r="B1760" s="4" t="n"/>
      <c r="C1760" s="4" t="n"/>
      <c r="D1760" s="4" t="n"/>
      <c r="E1760" s="4" t="n"/>
      <c r="F1760" s="6">
        <f>IF(B1760="","",IFERROR(INDEX(Products!$E:$E,MATCH(B1760,Products!$A:$A,0)),0))</f>
        <v/>
      </c>
      <c r="G1760" s="6">
        <f>IF(B1760="","",N(C1760)*N(F1760))</f>
        <v/>
      </c>
      <c r="H1760">
        <f>IF(B1760="","",IFERROR(INDEX(Products!$B:$B,MATCH(B1760,Products!$A:$A,0)),"SKU not found"))</f>
        <v/>
      </c>
    </row>
    <row r="1761">
      <c r="A1761" s="7" t="n"/>
      <c r="B1761" s="4" t="n"/>
      <c r="C1761" s="4" t="n"/>
      <c r="D1761" s="4" t="n"/>
      <c r="E1761" s="4" t="n"/>
      <c r="F1761" s="6">
        <f>IF(B1761="","",IFERROR(INDEX(Products!$E:$E,MATCH(B1761,Products!$A:$A,0)),0))</f>
        <v/>
      </c>
      <c r="G1761" s="6">
        <f>IF(B1761="","",N(C1761)*N(F1761))</f>
        <v/>
      </c>
      <c r="H1761">
        <f>IF(B1761="","",IFERROR(INDEX(Products!$B:$B,MATCH(B1761,Products!$A:$A,0)),"SKU not found"))</f>
        <v/>
      </c>
    </row>
    <row r="1762">
      <c r="A1762" s="7" t="n"/>
      <c r="B1762" s="4" t="n"/>
      <c r="C1762" s="4" t="n"/>
      <c r="D1762" s="4" t="n"/>
      <c r="E1762" s="4" t="n"/>
      <c r="F1762" s="6">
        <f>IF(B1762="","",IFERROR(INDEX(Products!$E:$E,MATCH(B1762,Products!$A:$A,0)),0))</f>
        <v/>
      </c>
      <c r="G1762" s="6">
        <f>IF(B1762="","",N(C1762)*N(F1762))</f>
        <v/>
      </c>
      <c r="H1762">
        <f>IF(B1762="","",IFERROR(INDEX(Products!$B:$B,MATCH(B1762,Products!$A:$A,0)),"SKU not found"))</f>
        <v/>
      </c>
    </row>
    <row r="1763">
      <c r="A1763" s="7" t="n"/>
      <c r="B1763" s="4" t="n"/>
      <c r="C1763" s="4" t="n"/>
      <c r="D1763" s="4" t="n"/>
      <c r="E1763" s="4" t="n"/>
      <c r="F1763" s="6">
        <f>IF(B1763="","",IFERROR(INDEX(Products!$E:$E,MATCH(B1763,Products!$A:$A,0)),0))</f>
        <v/>
      </c>
      <c r="G1763" s="6">
        <f>IF(B1763="","",N(C1763)*N(F1763))</f>
        <v/>
      </c>
      <c r="H1763">
        <f>IF(B1763="","",IFERROR(INDEX(Products!$B:$B,MATCH(B1763,Products!$A:$A,0)),"SKU not found"))</f>
        <v/>
      </c>
    </row>
    <row r="1764">
      <c r="A1764" s="7" t="n"/>
      <c r="B1764" s="4" t="n"/>
      <c r="C1764" s="4" t="n"/>
      <c r="D1764" s="4" t="n"/>
      <c r="E1764" s="4" t="n"/>
      <c r="F1764" s="6">
        <f>IF(B1764="","",IFERROR(INDEX(Products!$E:$E,MATCH(B1764,Products!$A:$A,0)),0))</f>
        <v/>
      </c>
      <c r="G1764" s="6">
        <f>IF(B1764="","",N(C1764)*N(F1764))</f>
        <v/>
      </c>
      <c r="H1764">
        <f>IF(B1764="","",IFERROR(INDEX(Products!$B:$B,MATCH(B1764,Products!$A:$A,0)),"SKU not found"))</f>
        <v/>
      </c>
    </row>
    <row r="1765">
      <c r="A1765" s="7" t="n"/>
      <c r="B1765" s="4" t="n"/>
      <c r="C1765" s="4" t="n"/>
      <c r="D1765" s="4" t="n"/>
      <c r="E1765" s="4" t="n"/>
      <c r="F1765" s="6">
        <f>IF(B1765="","",IFERROR(INDEX(Products!$E:$E,MATCH(B1765,Products!$A:$A,0)),0))</f>
        <v/>
      </c>
      <c r="G1765" s="6">
        <f>IF(B1765="","",N(C1765)*N(F1765))</f>
        <v/>
      </c>
      <c r="H1765">
        <f>IF(B1765="","",IFERROR(INDEX(Products!$B:$B,MATCH(B1765,Products!$A:$A,0)),"SKU not found"))</f>
        <v/>
      </c>
    </row>
    <row r="1766">
      <c r="A1766" s="7" t="n"/>
      <c r="B1766" s="4" t="n"/>
      <c r="C1766" s="4" t="n"/>
      <c r="D1766" s="4" t="n"/>
      <c r="E1766" s="4" t="n"/>
      <c r="F1766" s="6">
        <f>IF(B1766="","",IFERROR(INDEX(Products!$E:$E,MATCH(B1766,Products!$A:$A,0)),0))</f>
        <v/>
      </c>
      <c r="G1766" s="6">
        <f>IF(B1766="","",N(C1766)*N(F1766))</f>
        <v/>
      </c>
      <c r="H1766">
        <f>IF(B1766="","",IFERROR(INDEX(Products!$B:$B,MATCH(B1766,Products!$A:$A,0)),"SKU not found"))</f>
        <v/>
      </c>
    </row>
    <row r="1767">
      <c r="A1767" s="7" t="n"/>
      <c r="B1767" s="4" t="n"/>
      <c r="C1767" s="4" t="n"/>
      <c r="D1767" s="4" t="n"/>
      <c r="E1767" s="4" t="n"/>
      <c r="F1767" s="6">
        <f>IF(B1767="","",IFERROR(INDEX(Products!$E:$E,MATCH(B1767,Products!$A:$A,0)),0))</f>
        <v/>
      </c>
      <c r="G1767" s="6">
        <f>IF(B1767="","",N(C1767)*N(F1767))</f>
        <v/>
      </c>
      <c r="H1767">
        <f>IF(B1767="","",IFERROR(INDEX(Products!$B:$B,MATCH(B1767,Products!$A:$A,0)),"SKU not found"))</f>
        <v/>
      </c>
    </row>
    <row r="1768">
      <c r="A1768" s="7" t="n"/>
      <c r="B1768" s="4" t="n"/>
      <c r="C1768" s="4" t="n"/>
      <c r="D1768" s="4" t="n"/>
      <c r="E1768" s="4" t="n"/>
      <c r="F1768" s="6">
        <f>IF(B1768="","",IFERROR(INDEX(Products!$E:$E,MATCH(B1768,Products!$A:$A,0)),0))</f>
        <v/>
      </c>
      <c r="G1768" s="6">
        <f>IF(B1768="","",N(C1768)*N(F1768))</f>
        <v/>
      </c>
      <c r="H1768">
        <f>IF(B1768="","",IFERROR(INDEX(Products!$B:$B,MATCH(B1768,Products!$A:$A,0)),"SKU not found"))</f>
        <v/>
      </c>
    </row>
    <row r="1769">
      <c r="A1769" s="7" t="n"/>
      <c r="B1769" s="4" t="n"/>
      <c r="C1769" s="4" t="n"/>
      <c r="D1769" s="4" t="n"/>
      <c r="E1769" s="4" t="n"/>
      <c r="F1769" s="6">
        <f>IF(B1769="","",IFERROR(INDEX(Products!$E:$E,MATCH(B1769,Products!$A:$A,0)),0))</f>
        <v/>
      </c>
      <c r="G1769" s="6">
        <f>IF(B1769="","",N(C1769)*N(F1769))</f>
        <v/>
      </c>
      <c r="H1769">
        <f>IF(B1769="","",IFERROR(INDEX(Products!$B:$B,MATCH(B1769,Products!$A:$A,0)),"SKU not found"))</f>
        <v/>
      </c>
    </row>
    <row r="1770">
      <c r="A1770" s="7" t="n"/>
      <c r="B1770" s="4" t="n"/>
      <c r="C1770" s="4" t="n"/>
      <c r="D1770" s="4" t="n"/>
      <c r="E1770" s="4" t="n"/>
      <c r="F1770" s="6">
        <f>IF(B1770="","",IFERROR(INDEX(Products!$E:$E,MATCH(B1770,Products!$A:$A,0)),0))</f>
        <v/>
      </c>
      <c r="G1770" s="6">
        <f>IF(B1770="","",N(C1770)*N(F1770))</f>
        <v/>
      </c>
      <c r="H1770">
        <f>IF(B1770="","",IFERROR(INDEX(Products!$B:$B,MATCH(B1770,Products!$A:$A,0)),"SKU not found"))</f>
        <v/>
      </c>
    </row>
    <row r="1771">
      <c r="A1771" s="7" t="n"/>
      <c r="B1771" s="4" t="n"/>
      <c r="C1771" s="4" t="n"/>
      <c r="D1771" s="4" t="n"/>
      <c r="E1771" s="4" t="n"/>
      <c r="F1771" s="6">
        <f>IF(B1771="","",IFERROR(INDEX(Products!$E:$E,MATCH(B1771,Products!$A:$A,0)),0))</f>
        <v/>
      </c>
      <c r="G1771" s="6">
        <f>IF(B1771="","",N(C1771)*N(F1771))</f>
        <v/>
      </c>
      <c r="H1771">
        <f>IF(B1771="","",IFERROR(INDEX(Products!$B:$B,MATCH(B1771,Products!$A:$A,0)),"SKU not found"))</f>
        <v/>
      </c>
    </row>
    <row r="1772">
      <c r="A1772" s="7" t="n"/>
      <c r="B1772" s="4" t="n"/>
      <c r="C1772" s="4" t="n"/>
      <c r="D1772" s="4" t="n"/>
      <c r="E1772" s="4" t="n"/>
      <c r="F1772" s="6">
        <f>IF(B1772="","",IFERROR(INDEX(Products!$E:$E,MATCH(B1772,Products!$A:$A,0)),0))</f>
        <v/>
      </c>
      <c r="G1772" s="6">
        <f>IF(B1772="","",N(C1772)*N(F1772))</f>
        <v/>
      </c>
      <c r="H1772">
        <f>IF(B1772="","",IFERROR(INDEX(Products!$B:$B,MATCH(B1772,Products!$A:$A,0)),"SKU not found"))</f>
        <v/>
      </c>
    </row>
    <row r="1773">
      <c r="A1773" s="7" t="n"/>
      <c r="B1773" s="4" t="n"/>
      <c r="C1773" s="4" t="n"/>
      <c r="D1773" s="4" t="n"/>
      <c r="E1773" s="4" t="n"/>
      <c r="F1773" s="6">
        <f>IF(B1773="","",IFERROR(INDEX(Products!$E:$E,MATCH(B1773,Products!$A:$A,0)),0))</f>
        <v/>
      </c>
      <c r="G1773" s="6">
        <f>IF(B1773="","",N(C1773)*N(F1773))</f>
        <v/>
      </c>
      <c r="H1773">
        <f>IF(B1773="","",IFERROR(INDEX(Products!$B:$B,MATCH(B1773,Products!$A:$A,0)),"SKU not found"))</f>
        <v/>
      </c>
    </row>
    <row r="1774">
      <c r="A1774" s="7" t="n"/>
      <c r="B1774" s="4" t="n"/>
      <c r="C1774" s="4" t="n"/>
      <c r="D1774" s="4" t="n"/>
      <c r="E1774" s="4" t="n"/>
      <c r="F1774" s="6">
        <f>IF(B1774="","",IFERROR(INDEX(Products!$E:$E,MATCH(B1774,Products!$A:$A,0)),0))</f>
        <v/>
      </c>
      <c r="G1774" s="6">
        <f>IF(B1774="","",N(C1774)*N(F1774))</f>
        <v/>
      </c>
      <c r="H1774">
        <f>IF(B1774="","",IFERROR(INDEX(Products!$B:$B,MATCH(B1774,Products!$A:$A,0)),"SKU not found"))</f>
        <v/>
      </c>
    </row>
    <row r="1775">
      <c r="A1775" s="7" t="n"/>
      <c r="B1775" s="4" t="n"/>
      <c r="C1775" s="4" t="n"/>
      <c r="D1775" s="4" t="n"/>
      <c r="E1775" s="4" t="n"/>
      <c r="F1775" s="6">
        <f>IF(B1775="","",IFERROR(INDEX(Products!$E:$E,MATCH(B1775,Products!$A:$A,0)),0))</f>
        <v/>
      </c>
      <c r="G1775" s="6">
        <f>IF(B1775="","",N(C1775)*N(F1775))</f>
        <v/>
      </c>
      <c r="H1775">
        <f>IF(B1775="","",IFERROR(INDEX(Products!$B:$B,MATCH(B1775,Products!$A:$A,0)),"SKU not found"))</f>
        <v/>
      </c>
    </row>
    <row r="1776">
      <c r="A1776" s="7" t="n"/>
      <c r="B1776" s="4" t="n"/>
      <c r="C1776" s="4" t="n"/>
      <c r="D1776" s="4" t="n"/>
      <c r="E1776" s="4" t="n"/>
      <c r="F1776" s="6">
        <f>IF(B1776="","",IFERROR(INDEX(Products!$E:$E,MATCH(B1776,Products!$A:$A,0)),0))</f>
        <v/>
      </c>
      <c r="G1776" s="6">
        <f>IF(B1776="","",N(C1776)*N(F1776))</f>
        <v/>
      </c>
      <c r="H1776">
        <f>IF(B1776="","",IFERROR(INDEX(Products!$B:$B,MATCH(B1776,Products!$A:$A,0)),"SKU not found"))</f>
        <v/>
      </c>
    </row>
    <row r="1777">
      <c r="A1777" s="7" t="n"/>
      <c r="B1777" s="4" t="n"/>
      <c r="C1777" s="4" t="n"/>
      <c r="D1777" s="4" t="n"/>
      <c r="E1777" s="4" t="n"/>
      <c r="F1777" s="6">
        <f>IF(B1777="","",IFERROR(INDEX(Products!$E:$E,MATCH(B1777,Products!$A:$A,0)),0))</f>
        <v/>
      </c>
      <c r="G1777" s="6">
        <f>IF(B1777="","",N(C1777)*N(F1777))</f>
        <v/>
      </c>
      <c r="H1777">
        <f>IF(B1777="","",IFERROR(INDEX(Products!$B:$B,MATCH(B1777,Products!$A:$A,0)),"SKU not found"))</f>
        <v/>
      </c>
    </row>
    <row r="1778">
      <c r="A1778" s="7" t="n"/>
      <c r="B1778" s="4" t="n"/>
      <c r="C1778" s="4" t="n"/>
      <c r="D1778" s="4" t="n"/>
      <c r="E1778" s="4" t="n"/>
      <c r="F1778" s="6">
        <f>IF(B1778="","",IFERROR(INDEX(Products!$E:$E,MATCH(B1778,Products!$A:$A,0)),0))</f>
        <v/>
      </c>
      <c r="G1778" s="6">
        <f>IF(B1778="","",N(C1778)*N(F1778))</f>
        <v/>
      </c>
      <c r="H1778">
        <f>IF(B1778="","",IFERROR(INDEX(Products!$B:$B,MATCH(B1778,Products!$A:$A,0)),"SKU not found"))</f>
        <v/>
      </c>
    </row>
    <row r="1779">
      <c r="A1779" s="7" t="n"/>
      <c r="B1779" s="4" t="n"/>
      <c r="C1779" s="4" t="n"/>
      <c r="D1779" s="4" t="n"/>
      <c r="E1779" s="4" t="n"/>
      <c r="F1779" s="6">
        <f>IF(B1779="","",IFERROR(INDEX(Products!$E:$E,MATCH(B1779,Products!$A:$A,0)),0))</f>
        <v/>
      </c>
      <c r="G1779" s="6">
        <f>IF(B1779="","",N(C1779)*N(F1779))</f>
        <v/>
      </c>
      <c r="H1779">
        <f>IF(B1779="","",IFERROR(INDEX(Products!$B:$B,MATCH(B1779,Products!$A:$A,0)),"SKU not found"))</f>
        <v/>
      </c>
    </row>
    <row r="1780">
      <c r="A1780" s="7" t="n"/>
      <c r="B1780" s="4" t="n"/>
      <c r="C1780" s="4" t="n"/>
      <c r="D1780" s="4" t="n"/>
      <c r="E1780" s="4" t="n"/>
      <c r="F1780" s="6">
        <f>IF(B1780="","",IFERROR(INDEX(Products!$E:$E,MATCH(B1780,Products!$A:$A,0)),0))</f>
        <v/>
      </c>
      <c r="G1780" s="6">
        <f>IF(B1780="","",N(C1780)*N(F1780))</f>
        <v/>
      </c>
      <c r="H1780">
        <f>IF(B1780="","",IFERROR(INDEX(Products!$B:$B,MATCH(B1780,Products!$A:$A,0)),"SKU not found"))</f>
        <v/>
      </c>
    </row>
    <row r="1781">
      <c r="A1781" s="7" t="n"/>
      <c r="B1781" s="4" t="n"/>
      <c r="C1781" s="4" t="n"/>
      <c r="D1781" s="4" t="n"/>
      <c r="E1781" s="4" t="n"/>
      <c r="F1781" s="6">
        <f>IF(B1781="","",IFERROR(INDEX(Products!$E:$E,MATCH(B1781,Products!$A:$A,0)),0))</f>
        <v/>
      </c>
      <c r="G1781" s="6">
        <f>IF(B1781="","",N(C1781)*N(F1781))</f>
        <v/>
      </c>
      <c r="H1781">
        <f>IF(B1781="","",IFERROR(INDEX(Products!$B:$B,MATCH(B1781,Products!$A:$A,0)),"SKU not found"))</f>
        <v/>
      </c>
    </row>
    <row r="1782">
      <c r="A1782" s="7" t="n"/>
      <c r="B1782" s="4" t="n"/>
      <c r="C1782" s="4" t="n"/>
      <c r="D1782" s="4" t="n"/>
      <c r="E1782" s="4" t="n"/>
      <c r="F1782" s="6">
        <f>IF(B1782="","",IFERROR(INDEX(Products!$E:$E,MATCH(B1782,Products!$A:$A,0)),0))</f>
        <v/>
      </c>
      <c r="G1782" s="6">
        <f>IF(B1782="","",N(C1782)*N(F1782))</f>
        <v/>
      </c>
      <c r="H1782">
        <f>IF(B1782="","",IFERROR(INDEX(Products!$B:$B,MATCH(B1782,Products!$A:$A,0)),"SKU not found"))</f>
        <v/>
      </c>
    </row>
    <row r="1783">
      <c r="A1783" s="7" t="n"/>
      <c r="B1783" s="4" t="n"/>
      <c r="C1783" s="4" t="n"/>
      <c r="D1783" s="4" t="n"/>
      <c r="E1783" s="4" t="n"/>
      <c r="F1783" s="6">
        <f>IF(B1783="","",IFERROR(INDEX(Products!$E:$E,MATCH(B1783,Products!$A:$A,0)),0))</f>
        <v/>
      </c>
      <c r="G1783" s="6">
        <f>IF(B1783="","",N(C1783)*N(F1783))</f>
        <v/>
      </c>
      <c r="H1783">
        <f>IF(B1783="","",IFERROR(INDEX(Products!$B:$B,MATCH(B1783,Products!$A:$A,0)),"SKU not found"))</f>
        <v/>
      </c>
    </row>
    <row r="1784">
      <c r="A1784" s="7" t="n"/>
      <c r="B1784" s="4" t="n"/>
      <c r="C1784" s="4" t="n"/>
      <c r="D1784" s="4" t="n"/>
      <c r="E1784" s="4" t="n"/>
      <c r="F1784" s="6">
        <f>IF(B1784="","",IFERROR(INDEX(Products!$E:$E,MATCH(B1784,Products!$A:$A,0)),0))</f>
        <v/>
      </c>
      <c r="G1784" s="6">
        <f>IF(B1784="","",N(C1784)*N(F1784))</f>
        <v/>
      </c>
      <c r="H1784">
        <f>IF(B1784="","",IFERROR(INDEX(Products!$B:$B,MATCH(B1784,Products!$A:$A,0)),"SKU not found"))</f>
        <v/>
      </c>
    </row>
    <row r="1785">
      <c r="A1785" s="7" t="n"/>
      <c r="B1785" s="4" t="n"/>
      <c r="C1785" s="4" t="n"/>
      <c r="D1785" s="4" t="n"/>
      <c r="E1785" s="4" t="n"/>
      <c r="F1785" s="6">
        <f>IF(B1785="","",IFERROR(INDEX(Products!$E:$E,MATCH(B1785,Products!$A:$A,0)),0))</f>
        <v/>
      </c>
      <c r="G1785" s="6">
        <f>IF(B1785="","",N(C1785)*N(F1785))</f>
        <v/>
      </c>
      <c r="H1785">
        <f>IF(B1785="","",IFERROR(INDEX(Products!$B:$B,MATCH(B1785,Products!$A:$A,0)),"SKU not found"))</f>
        <v/>
      </c>
    </row>
    <row r="1786">
      <c r="A1786" s="7" t="n"/>
      <c r="B1786" s="4" t="n"/>
      <c r="C1786" s="4" t="n"/>
      <c r="D1786" s="4" t="n"/>
      <c r="E1786" s="4" t="n"/>
      <c r="F1786" s="6">
        <f>IF(B1786="","",IFERROR(INDEX(Products!$E:$E,MATCH(B1786,Products!$A:$A,0)),0))</f>
        <v/>
      </c>
      <c r="G1786" s="6">
        <f>IF(B1786="","",N(C1786)*N(F1786))</f>
        <v/>
      </c>
      <c r="H1786">
        <f>IF(B1786="","",IFERROR(INDEX(Products!$B:$B,MATCH(B1786,Products!$A:$A,0)),"SKU not found"))</f>
        <v/>
      </c>
    </row>
    <row r="1787">
      <c r="A1787" s="7" t="n"/>
      <c r="B1787" s="4" t="n"/>
      <c r="C1787" s="4" t="n"/>
      <c r="D1787" s="4" t="n"/>
      <c r="E1787" s="4" t="n"/>
      <c r="F1787" s="6">
        <f>IF(B1787="","",IFERROR(INDEX(Products!$E:$E,MATCH(B1787,Products!$A:$A,0)),0))</f>
        <v/>
      </c>
      <c r="G1787" s="6">
        <f>IF(B1787="","",N(C1787)*N(F1787))</f>
        <v/>
      </c>
      <c r="H1787">
        <f>IF(B1787="","",IFERROR(INDEX(Products!$B:$B,MATCH(B1787,Products!$A:$A,0)),"SKU not found"))</f>
        <v/>
      </c>
    </row>
    <row r="1788">
      <c r="A1788" s="7" t="n"/>
      <c r="B1788" s="4" t="n"/>
      <c r="C1788" s="4" t="n"/>
      <c r="D1788" s="4" t="n"/>
      <c r="E1788" s="4" t="n"/>
      <c r="F1788" s="6">
        <f>IF(B1788="","",IFERROR(INDEX(Products!$E:$E,MATCH(B1788,Products!$A:$A,0)),0))</f>
        <v/>
      </c>
      <c r="G1788" s="6">
        <f>IF(B1788="","",N(C1788)*N(F1788))</f>
        <v/>
      </c>
      <c r="H1788">
        <f>IF(B1788="","",IFERROR(INDEX(Products!$B:$B,MATCH(B1788,Products!$A:$A,0)),"SKU not found"))</f>
        <v/>
      </c>
    </row>
    <row r="1789">
      <c r="A1789" s="7" t="n"/>
      <c r="B1789" s="4" t="n"/>
      <c r="C1789" s="4" t="n"/>
      <c r="D1789" s="4" t="n"/>
      <c r="E1789" s="4" t="n"/>
      <c r="F1789" s="6">
        <f>IF(B1789="","",IFERROR(INDEX(Products!$E:$E,MATCH(B1789,Products!$A:$A,0)),0))</f>
        <v/>
      </c>
      <c r="G1789" s="6">
        <f>IF(B1789="","",N(C1789)*N(F1789))</f>
        <v/>
      </c>
      <c r="H1789">
        <f>IF(B1789="","",IFERROR(INDEX(Products!$B:$B,MATCH(B1789,Products!$A:$A,0)),"SKU not found"))</f>
        <v/>
      </c>
    </row>
    <row r="1790">
      <c r="A1790" s="7" t="n"/>
      <c r="B1790" s="4" t="n"/>
      <c r="C1790" s="4" t="n"/>
      <c r="D1790" s="4" t="n"/>
      <c r="E1790" s="4" t="n"/>
      <c r="F1790" s="6">
        <f>IF(B1790="","",IFERROR(INDEX(Products!$E:$E,MATCH(B1790,Products!$A:$A,0)),0))</f>
        <v/>
      </c>
      <c r="G1790" s="6">
        <f>IF(B1790="","",N(C1790)*N(F1790))</f>
        <v/>
      </c>
      <c r="H1790">
        <f>IF(B1790="","",IFERROR(INDEX(Products!$B:$B,MATCH(B1790,Products!$A:$A,0)),"SKU not found"))</f>
        <v/>
      </c>
    </row>
    <row r="1791">
      <c r="A1791" s="7" t="n"/>
      <c r="B1791" s="4" t="n"/>
      <c r="C1791" s="4" t="n"/>
      <c r="D1791" s="4" t="n"/>
      <c r="E1791" s="4" t="n"/>
      <c r="F1791" s="6">
        <f>IF(B1791="","",IFERROR(INDEX(Products!$E:$E,MATCH(B1791,Products!$A:$A,0)),0))</f>
        <v/>
      </c>
      <c r="G1791" s="6">
        <f>IF(B1791="","",N(C1791)*N(F1791))</f>
        <v/>
      </c>
      <c r="H1791">
        <f>IF(B1791="","",IFERROR(INDEX(Products!$B:$B,MATCH(B1791,Products!$A:$A,0)),"SKU not found"))</f>
        <v/>
      </c>
    </row>
    <row r="1792">
      <c r="A1792" s="7" t="n"/>
      <c r="B1792" s="4" t="n"/>
      <c r="C1792" s="4" t="n"/>
      <c r="D1792" s="4" t="n"/>
      <c r="E1792" s="4" t="n"/>
      <c r="F1792" s="6">
        <f>IF(B1792="","",IFERROR(INDEX(Products!$E:$E,MATCH(B1792,Products!$A:$A,0)),0))</f>
        <v/>
      </c>
      <c r="G1792" s="6">
        <f>IF(B1792="","",N(C1792)*N(F1792))</f>
        <v/>
      </c>
      <c r="H1792">
        <f>IF(B1792="","",IFERROR(INDEX(Products!$B:$B,MATCH(B1792,Products!$A:$A,0)),"SKU not found"))</f>
        <v/>
      </c>
    </row>
    <row r="1793">
      <c r="A1793" s="7" t="n"/>
      <c r="B1793" s="4" t="n"/>
      <c r="C1793" s="4" t="n"/>
      <c r="D1793" s="4" t="n"/>
      <c r="E1793" s="4" t="n"/>
      <c r="F1793" s="6">
        <f>IF(B1793="","",IFERROR(INDEX(Products!$E:$E,MATCH(B1793,Products!$A:$A,0)),0))</f>
        <v/>
      </c>
      <c r="G1793" s="6">
        <f>IF(B1793="","",N(C1793)*N(F1793))</f>
        <v/>
      </c>
      <c r="H1793">
        <f>IF(B1793="","",IFERROR(INDEX(Products!$B:$B,MATCH(B1793,Products!$A:$A,0)),"SKU not found"))</f>
        <v/>
      </c>
    </row>
    <row r="1794">
      <c r="A1794" s="7" t="n"/>
      <c r="B1794" s="4" t="n"/>
      <c r="C1794" s="4" t="n"/>
      <c r="D1794" s="4" t="n"/>
      <c r="E1794" s="4" t="n"/>
      <c r="F1794" s="6">
        <f>IF(B1794="","",IFERROR(INDEX(Products!$E:$E,MATCH(B1794,Products!$A:$A,0)),0))</f>
        <v/>
      </c>
      <c r="G1794" s="6">
        <f>IF(B1794="","",N(C1794)*N(F1794))</f>
        <v/>
      </c>
      <c r="H1794">
        <f>IF(B1794="","",IFERROR(INDEX(Products!$B:$B,MATCH(B1794,Products!$A:$A,0)),"SKU not found"))</f>
        <v/>
      </c>
    </row>
    <row r="1795">
      <c r="A1795" s="7" t="n"/>
      <c r="B1795" s="4" t="n"/>
      <c r="C1795" s="4" t="n"/>
      <c r="D1795" s="4" t="n"/>
      <c r="E1795" s="4" t="n"/>
      <c r="F1795" s="6">
        <f>IF(B1795="","",IFERROR(INDEX(Products!$E:$E,MATCH(B1795,Products!$A:$A,0)),0))</f>
        <v/>
      </c>
      <c r="G1795" s="6">
        <f>IF(B1795="","",N(C1795)*N(F1795))</f>
        <v/>
      </c>
      <c r="H1795">
        <f>IF(B1795="","",IFERROR(INDEX(Products!$B:$B,MATCH(B1795,Products!$A:$A,0)),"SKU not found"))</f>
        <v/>
      </c>
    </row>
    <row r="1796">
      <c r="A1796" s="7" t="n"/>
      <c r="B1796" s="4" t="n"/>
      <c r="C1796" s="4" t="n"/>
      <c r="D1796" s="4" t="n"/>
      <c r="E1796" s="4" t="n"/>
      <c r="F1796" s="6">
        <f>IF(B1796="","",IFERROR(INDEX(Products!$E:$E,MATCH(B1796,Products!$A:$A,0)),0))</f>
        <v/>
      </c>
      <c r="G1796" s="6">
        <f>IF(B1796="","",N(C1796)*N(F1796))</f>
        <v/>
      </c>
      <c r="H1796">
        <f>IF(B1796="","",IFERROR(INDEX(Products!$B:$B,MATCH(B1796,Products!$A:$A,0)),"SKU not found"))</f>
        <v/>
      </c>
    </row>
    <row r="1797">
      <c r="A1797" s="7" t="n"/>
      <c r="B1797" s="4" t="n"/>
      <c r="C1797" s="4" t="n"/>
      <c r="D1797" s="4" t="n"/>
      <c r="E1797" s="4" t="n"/>
      <c r="F1797" s="6">
        <f>IF(B1797="","",IFERROR(INDEX(Products!$E:$E,MATCH(B1797,Products!$A:$A,0)),0))</f>
        <v/>
      </c>
      <c r="G1797" s="6">
        <f>IF(B1797="","",N(C1797)*N(F1797))</f>
        <v/>
      </c>
      <c r="H1797">
        <f>IF(B1797="","",IFERROR(INDEX(Products!$B:$B,MATCH(B1797,Products!$A:$A,0)),"SKU not found"))</f>
        <v/>
      </c>
    </row>
    <row r="1798">
      <c r="A1798" s="7" t="n"/>
      <c r="B1798" s="4" t="n"/>
      <c r="C1798" s="4" t="n"/>
      <c r="D1798" s="4" t="n"/>
      <c r="E1798" s="4" t="n"/>
      <c r="F1798" s="6">
        <f>IF(B1798="","",IFERROR(INDEX(Products!$E:$E,MATCH(B1798,Products!$A:$A,0)),0))</f>
        <v/>
      </c>
      <c r="G1798" s="6">
        <f>IF(B1798="","",N(C1798)*N(F1798))</f>
        <v/>
      </c>
      <c r="H1798">
        <f>IF(B1798="","",IFERROR(INDEX(Products!$B:$B,MATCH(B1798,Products!$A:$A,0)),"SKU not found"))</f>
        <v/>
      </c>
    </row>
    <row r="1799">
      <c r="A1799" s="7" t="n"/>
      <c r="B1799" s="4" t="n"/>
      <c r="C1799" s="4" t="n"/>
      <c r="D1799" s="4" t="n"/>
      <c r="E1799" s="4" t="n"/>
      <c r="F1799" s="6">
        <f>IF(B1799="","",IFERROR(INDEX(Products!$E:$E,MATCH(B1799,Products!$A:$A,0)),0))</f>
        <v/>
      </c>
      <c r="G1799" s="6">
        <f>IF(B1799="","",N(C1799)*N(F1799))</f>
        <v/>
      </c>
      <c r="H1799">
        <f>IF(B1799="","",IFERROR(INDEX(Products!$B:$B,MATCH(B1799,Products!$A:$A,0)),"SKU not found"))</f>
        <v/>
      </c>
    </row>
    <row r="1800">
      <c r="A1800" s="7" t="n"/>
      <c r="B1800" s="4" t="n"/>
      <c r="C1800" s="4" t="n"/>
      <c r="D1800" s="4" t="n"/>
      <c r="E1800" s="4" t="n"/>
      <c r="F1800" s="6">
        <f>IF(B1800="","",IFERROR(INDEX(Products!$E:$E,MATCH(B1800,Products!$A:$A,0)),0))</f>
        <v/>
      </c>
      <c r="G1800" s="6">
        <f>IF(B1800="","",N(C1800)*N(F1800))</f>
        <v/>
      </c>
      <c r="H1800">
        <f>IF(B1800="","",IFERROR(INDEX(Products!$B:$B,MATCH(B1800,Products!$A:$A,0)),"SKU not found"))</f>
        <v/>
      </c>
    </row>
    <row r="1801">
      <c r="A1801" s="7" t="n"/>
      <c r="B1801" s="4" t="n"/>
      <c r="C1801" s="4" t="n"/>
      <c r="D1801" s="4" t="n"/>
      <c r="E1801" s="4" t="n"/>
      <c r="F1801" s="6">
        <f>IF(B1801="","",IFERROR(INDEX(Products!$E:$E,MATCH(B1801,Products!$A:$A,0)),0))</f>
        <v/>
      </c>
      <c r="G1801" s="6">
        <f>IF(B1801="","",N(C1801)*N(F1801))</f>
        <v/>
      </c>
      <c r="H1801">
        <f>IF(B1801="","",IFERROR(INDEX(Products!$B:$B,MATCH(B1801,Products!$A:$A,0)),"SKU not found"))</f>
        <v/>
      </c>
    </row>
    <row r="1802">
      <c r="A1802" s="7" t="n"/>
      <c r="B1802" s="4" t="n"/>
      <c r="C1802" s="4" t="n"/>
      <c r="D1802" s="4" t="n"/>
      <c r="E1802" s="4" t="n"/>
      <c r="F1802" s="6">
        <f>IF(B1802="","",IFERROR(INDEX(Products!$E:$E,MATCH(B1802,Products!$A:$A,0)),0))</f>
        <v/>
      </c>
      <c r="G1802" s="6">
        <f>IF(B1802="","",N(C1802)*N(F1802))</f>
        <v/>
      </c>
      <c r="H1802">
        <f>IF(B1802="","",IFERROR(INDEX(Products!$B:$B,MATCH(B1802,Products!$A:$A,0)),"SKU not found"))</f>
        <v/>
      </c>
    </row>
    <row r="1803">
      <c r="A1803" s="7" t="n"/>
      <c r="B1803" s="4" t="n"/>
      <c r="C1803" s="4" t="n"/>
      <c r="D1803" s="4" t="n"/>
      <c r="E1803" s="4" t="n"/>
      <c r="F1803" s="6">
        <f>IF(B1803="","",IFERROR(INDEX(Products!$E:$E,MATCH(B1803,Products!$A:$A,0)),0))</f>
        <v/>
      </c>
      <c r="G1803" s="6">
        <f>IF(B1803="","",N(C1803)*N(F1803))</f>
        <v/>
      </c>
      <c r="H1803">
        <f>IF(B1803="","",IFERROR(INDEX(Products!$B:$B,MATCH(B1803,Products!$A:$A,0)),"SKU not found"))</f>
        <v/>
      </c>
    </row>
    <row r="1804">
      <c r="A1804" s="7" t="n"/>
      <c r="B1804" s="4" t="n"/>
      <c r="C1804" s="4" t="n"/>
      <c r="D1804" s="4" t="n"/>
      <c r="E1804" s="4" t="n"/>
      <c r="F1804" s="6">
        <f>IF(B1804="","",IFERROR(INDEX(Products!$E:$E,MATCH(B1804,Products!$A:$A,0)),0))</f>
        <v/>
      </c>
      <c r="G1804" s="6">
        <f>IF(B1804="","",N(C1804)*N(F1804))</f>
        <v/>
      </c>
      <c r="H1804">
        <f>IF(B1804="","",IFERROR(INDEX(Products!$B:$B,MATCH(B1804,Products!$A:$A,0)),"SKU not found"))</f>
        <v/>
      </c>
    </row>
    <row r="1805">
      <c r="A1805" s="7" t="n"/>
      <c r="B1805" s="4" t="n"/>
      <c r="C1805" s="4" t="n"/>
      <c r="D1805" s="4" t="n"/>
      <c r="E1805" s="4" t="n"/>
      <c r="F1805" s="6">
        <f>IF(B1805="","",IFERROR(INDEX(Products!$E:$E,MATCH(B1805,Products!$A:$A,0)),0))</f>
        <v/>
      </c>
      <c r="G1805" s="6">
        <f>IF(B1805="","",N(C1805)*N(F1805))</f>
        <v/>
      </c>
      <c r="H1805">
        <f>IF(B1805="","",IFERROR(INDEX(Products!$B:$B,MATCH(B1805,Products!$A:$A,0)),"SKU not found"))</f>
        <v/>
      </c>
    </row>
    <row r="1806">
      <c r="A1806" s="7" t="n"/>
      <c r="B1806" s="4" t="n"/>
      <c r="C1806" s="4" t="n"/>
      <c r="D1806" s="4" t="n"/>
      <c r="E1806" s="4" t="n"/>
      <c r="F1806" s="6">
        <f>IF(B1806="","",IFERROR(INDEX(Products!$E:$E,MATCH(B1806,Products!$A:$A,0)),0))</f>
        <v/>
      </c>
      <c r="G1806" s="6">
        <f>IF(B1806="","",N(C1806)*N(F1806))</f>
        <v/>
      </c>
      <c r="H1806">
        <f>IF(B1806="","",IFERROR(INDEX(Products!$B:$B,MATCH(B1806,Products!$A:$A,0)),"SKU not found"))</f>
        <v/>
      </c>
    </row>
    <row r="1807">
      <c r="A1807" s="7" t="n"/>
      <c r="B1807" s="4" t="n"/>
      <c r="C1807" s="4" t="n"/>
      <c r="D1807" s="4" t="n"/>
      <c r="E1807" s="4" t="n"/>
      <c r="F1807" s="6">
        <f>IF(B1807="","",IFERROR(INDEX(Products!$E:$E,MATCH(B1807,Products!$A:$A,0)),0))</f>
        <v/>
      </c>
      <c r="G1807" s="6">
        <f>IF(B1807="","",N(C1807)*N(F1807))</f>
        <v/>
      </c>
      <c r="H1807">
        <f>IF(B1807="","",IFERROR(INDEX(Products!$B:$B,MATCH(B1807,Products!$A:$A,0)),"SKU not found"))</f>
        <v/>
      </c>
    </row>
    <row r="1808">
      <c r="A1808" s="7" t="n"/>
      <c r="B1808" s="4" t="n"/>
      <c r="C1808" s="4" t="n"/>
      <c r="D1808" s="4" t="n"/>
      <c r="E1808" s="4" t="n"/>
      <c r="F1808" s="6">
        <f>IF(B1808="","",IFERROR(INDEX(Products!$E:$E,MATCH(B1808,Products!$A:$A,0)),0))</f>
        <v/>
      </c>
      <c r="G1808" s="6">
        <f>IF(B1808="","",N(C1808)*N(F1808))</f>
        <v/>
      </c>
      <c r="H1808">
        <f>IF(B1808="","",IFERROR(INDEX(Products!$B:$B,MATCH(B1808,Products!$A:$A,0)),"SKU not found"))</f>
        <v/>
      </c>
    </row>
    <row r="1809">
      <c r="A1809" s="7" t="n"/>
      <c r="B1809" s="4" t="n"/>
      <c r="C1809" s="4" t="n"/>
      <c r="D1809" s="4" t="n"/>
      <c r="E1809" s="4" t="n"/>
      <c r="F1809" s="6">
        <f>IF(B1809="","",IFERROR(INDEX(Products!$E:$E,MATCH(B1809,Products!$A:$A,0)),0))</f>
        <v/>
      </c>
      <c r="G1809" s="6">
        <f>IF(B1809="","",N(C1809)*N(F1809))</f>
        <v/>
      </c>
      <c r="H1809">
        <f>IF(B1809="","",IFERROR(INDEX(Products!$B:$B,MATCH(B1809,Products!$A:$A,0)),"SKU not found"))</f>
        <v/>
      </c>
    </row>
    <row r="1810">
      <c r="A1810" s="7" t="n"/>
      <c r="B1810" s="4" t="n"/>
      <c r="C1810" s="4" t="n"/>
      <c r="D1810" s="4" t="n"/>
      <c r="E1810" s="4" t="n"/>
      <c r="F1810" s="6">
        <f>IF(B1810="","",IFERROR(INDEX(Products!$E:$E,MATCH(B1810,Products!$A:$A,0)),0))</f>
        <v/>
      </c>
      <c r="G1810" s="6">
        <f>IF(B1810="","",N(C1810)*N(F1810))</f>
        <v/>
      </c>
      <c r="H1810">
        <f>IF(B1810="","",IFERROR(INDEX(Products!$B:$B,MATCH(B1810,Products!$A:$A,0)),"SKU not found"))</f>
        <v/>
      </c>
    </row>
    <row r="1811">
      <c r="A1811" s="7" t="n"/>
      <c r="B1811" s="4" t="n"/>
      <c r="C1811" s="4" t="n"/>
      <c r="D1811" s="4" t="n"/>
      <c r="E1811" s="4" t="n"/>
      <c r="F1811" s="6">
        <f>IF(B1811="","",IFERROR(INDEX(Products!$E:$E,MATCH(B1811,Products!$A:$A,0)),0))</f>
        <v/>
      </c>
      <c r="G1811" s="6">
        <f>IF(B1811="","",N(C1811)*N(F1811))</f>
        <v/>
      </c>
      <c r="H1811">
        <f>IF(B1811="","",IFERROR(INDEX(Products!$B:$B,MATCH(B1811,Products!$A:$A,0)),"SKU not found"))</f>
        <v/>
      </c>
    </row>
    <row r="1812">
      <c r="A1812" s="7" t="n"/>
      <c r="B1812" s="4" t="n"/>
      <c r="C1812" s="4" t="n"/>
      <c r="D1812" s="4" t="n"/>
      <c r="E1812" s="4" t="n"/>
      <c r="F1812" s="6">
        <f>IF(B1812="","",IFERROR(INDEX(Products!$E:$E,MATCH(B1812,Products!$A:$A,0)),0))</f>
        <v/>
      </c>
      <c r="G1812" s="6">
        <f>IF(B1812="","",N(C1812)*N(F1812))</f>
        <v/>
      </c>
      <c r="H1812">
        <f>IF(B1812="","",IFERROR(INDEX(Products!$B:$B,MATCH(B1812,Products!$A:$A,0)),"SKU not found"))</f>
        <v/>
      </c>
    </row>
    <row r="1813">
      <c r="A1813" s="7" t="n"/>
      <c r="B1813" s="4" t="n"/>
      <c r="C1813" s="4" t="n"/>
      <c r="D1813" s="4" t="n"/>
      <c r="E1813" s="4" t="n"/>
      <c r="F1813" s="6">
        <f>IF(B1813="","",IFERROR(INDEX(Products!$E:$E,MATCH(B1813,Products!$A:$A,0)),0))</f>
        <v/>
      </c>
      <c r="G1813" s="6">
        <f>IF(B1813="","",N(C1813)*N(F1813))</f>
        <v/>
      </c>
      <c r="H1813">
        <f>IF(B1813="","",IFERROR(INDEX(Products!$B:$B,MATCH(B1813,Products!$A:$A,0)),"SKU not found"))</f>
        <v/>
      </c>
    </row>
    <row r="1814">
      <c r="A1814" s="7" t="n"/>
      <c r="B1814" s="4" t="n"/>
      <c r="C1814" s="4" t="n"/>
      <c r="D1814" s="4" t="n"/>
      <c r="E1814" s="4" t="n"/>
      <c r="F1814" s="6">
        <f>IF(B1814="","",IFERROR(INDEX(Products!$E:$E,MATCH(B1814,Products!$A:$A,0)),0))</f>
        <v/>
      </c>
      <c r="G1814" s="6">
        <f>IF(B1814="","",N(C1814)*N(F1814))</f>
        <v/>
      </c>
      <c r="H1814">
        <f>IF(B1814="","",IFERROR(INDEX(Products!$B:$B,MATCH(B1814,Products!$A:$A,0)),"SKU not found"))</f>
        <v/>
      </c>
    </row>
    <row r="1815">
      <c r="A1815" s="7" t="n"/>
      <c r="B1815" s="4" t="n"/>
      <c r="C1815" s="4" t="n"/>
      <c r="D1815" s="4" t="n"/>
      <c r="E1815" s="4" t="n"/>
      <c r="F1815" s="6">
        <f>IF(B1815="","",IFERROR(INDEX(Products!$E:$E,MATCH(B1815,Products!$A:$A,0)),0))</f>
        <v/>
      </c>
      <c r="G1815" s="6">
        <f>IF(B1815="","",N(C1815)*N(F1815))</f>
        <v/>
      </c>
      <c r="H1815">
        <f>IF(B1815="","",IFERROR(INDEX(Products!$B:$B,MATCH(B1815,Products!$A:$A,0)),"SKU not found"))</f>
        <v/>
      </c>
    </row>
    <row r="1816">
      <c r="A1816" s="7" t="n"/>
      <c r="B1816" s="4" t="n"/>
      <c r="C1816" s="4" t="n"/>
      <c r="D1816" s="4" t="n"/>
      <c r="E1816" s="4" t="n"/>
      <c r="F1816" s="6">
        <f>IF(B1816="","",IFERROR(INDEX(Products!$E:$E,MATCH(B1816,Products!$A:$A,0)),0))</f>
        <v/>
      </c>
      <c r="G1816" s="6">
        <f>IF(B1816="","",N(C1816)*N(F1816))</f>
        <v/>
      </c>
      <c r="H1816">
        <f>IF(B1816="","",IFERROR(INDEX(Products!$B:$B,MATCH(B1816,Products!$A:$A,0)),"SKU not found"))</f>
        <v/>
      </c>
    </row>
    <row r="1817">
      <c r="A1817" s="7" t="n"/>
      <c r="B1817" s="4" t="n"/>
      <c r="C1817" s="4" t="n"/>
      <c r="D1817" s="4" t="n"/>
      <c r="E1817" s="4" t="n"/>
      <c r="F1817" s="6">
        <f>IF(B1817="","",IFERROR(INDEX(Products!$E:$E,MATCH(B1817,Products!$A:$A,0)),0))</f>
        <v/>
      </c>
      <c r="G1817" s="6">
        <f>IF(B1817="","",N(C1817)*N(F1817))</f>
        <v/>
      </c>
      <c r="H1817">
        <f>IF(B1817="","",IFERROR(INDEX(Products!$B:$B,MATCH(B1817,Products!$A:$A,0)),"SKU not found"))</f>
        <v/>
      </c>
    </row>
    <row r="1818">
      <c r="A1818" s="7" t="n"/>
      <c r="B1818" s="4" t="n"/>
      <c r="C1818" s="4" t="n"/>
      <c r="D1818" s="4" t="n"/>
      <c r="E1818" s="4" t="n"/>
      <c r="F1818" s="6">
        <f>IF(B1818="","",IFERROR(INDEX(Products!$E:$E,MATCH(B1818,Products!$A:$A,0)),0))</f>
        <v/>
      </c>
      <c r="G1818" s="6">
        <f>IF(B1818="","",N(C1818)*N(F1818))</f>
        <v/>
      </c>
      <c r="H1818">
        <f>IF(B1818="","",IFERROR(INDEX(Products!$B:$B,MATCH(B1818,Products!$A:$A,0)),"SKU not found"))</f>
        <v/>
      </c>
    </row>
    <row r="1819">
      <c r="A1819" s="7" t="n"/>
      <c r="B1819" s="4" t="n"/>
      <c r="C1819" s="4" t="n"/>
      <c r="D1819" s="4" t="n"/>
      <c r="E1819" s="4" t="n"/>
      <c r="F1819" s="6">
        <f>IF(B1819="","",IFERROR(INDEX(Products!$E:$E,MATCH(B1819,Products!$A:$A,0)),0))</f>
        <v/>
      </c>
      <c r="G1819" s="6">
        <f>IF(B1819="","",N(C1819)*N(F1819))</f>
        <v/>
      </c>
      <c r="H1819">
        <f>IF(B1819="","",IFERROR(INDEX(Products!$B:$B,MATCH(B1819,Products!$A:$A,0)),"SKU not found"))</f>
        <v/>
      </c>
    </row>
    <row r="1820">
      <c r="A1820" s="7" t="n"/>
      <c r="B1820" s="4" t="n"/>
      <c r="C1820" s="4" t="n"/>
      <c r="D1820" s="4" t="n"/>
      <c r="E1820" s="4" t="n"/>
      <c r="F1820" s="6">
        <f>IF(B1820="","",IFERROR(INDEX(Products!$E:$E,MATCH(B1820,Products!$A:$A,0)),0))</f>
        <v/>
      </c>
      <c r="G1820" s="6">
        <f>IF(B1820="","",N(C1820)*N(F1820))</f>
        <v/>
      </c>
      <c r="H1820">
        <f>IF(B1820="","",IFERROR(INDEX(Products!$B:$B,MATCH(B1820,Products!$A:$A,0)),"SKU not found"))</f>
        <v/>
      </c>
    </row>
    <row r="1821">
      <c r="A1821" s="7" t="n"/>
      <c r="B1821" s="4" t="n"/>
      <c r="C1821" s="4" t="n"/>
      <c r="D1821" s="4" t="n"/>
      <c r="E1821" s="4" t="n"/>
      <c r="F1821" s="6">
        <f>IF(B1821="","",IFERROR(INDEX(Products!$E:$E,MATCH(B1821,Products!$A:$A,0)),0))</f>
        <v/>
      </c>
      <c r="G1821" s="6">
        <f>IF(B1821="","",N(C1821)*N(F1821))</f>
        <v/>
      </c>
      <c r="H1821">
        <f>IF(B1821="","",IFERROR(INDEX(Products!$B:$B,MATCH(B1821,Products!$A:$A,0)),"SKU not found"))</f>
        <v/>
      </c>
    </row>
    <row r="1822">
      <c r="A1822" s="7" t="n"/>
      <c r="B1822" s="4" t="n"/>
      <c r="C1822" s="4" t="n"/>
      <c r="D1822" s="4" t="n"/>
      <c r="E1822" s="4" t="n"/>
      <c r="F1822" s="6">
        <f>IF(B1822="","",IFERROR(INDEX(Products!$E:$E,MATCH(B1822,Products!$A:$A,0)),0))</f>
        <v/>
      </c>
      <c r="G1822" s="6">
        <f>IF(B1822="","",N(C1822)*N(F1822))</f>
        <v/>
      </c>
      <c r="H1822">
        <f>IF(B1822="","",IFERROR(INDEX(Products!$B:$B,MATCH(B1822,Products!$A:$A,0)),"SKU not found"))</f>
        <v/>
      </c>
    </row>
    <row r="1823">
      <c r="A1823" s="7" t="n"/>
      <c r="B1823" s="4" t="n"/>
      <c r="C1823" s="4" t="n"/>
      <c r="D1823" s="4" t="n"/>
      <c r="E1823" s="4" t="n"/>
      <c r="F1823" s="6">
        <f>IF(B1823="","",IFERROR(INDEX(Products!$E:$E,MATCH(B1823,Products!$A:$A,0)),0))</f>
        <v/>
      </c>
      <c r="G1823" s="6">
        <f>IF(B1823="","",N(C1823)*N(F1823))</f>
        <v/>
      </c>
      <c r="H1823">
        <f>IF(B1823="","",IFERROR(INDEX(Products!$B:$B,MATCH(B1823,Products!$A:$A,0)),"SKU not found"))</f>
        <v/>
      </c>
    </row>
    <row r="1824">
      <c r="A1824" s="7" t="n"/>
      <c r="B1824" s="4" t="n"/>
      <c r="C1824" s="4" t="n"/>
      <c r="D1824" s="4" t="n"/>
      <c r="E1824" s="4" t="n"/>
      <c r="F1824" s="6">
        <f>IF(B1824="","",IFERROR(INDEX(Products!$E:$E,MATCH(B1824,Products!$A:$A,0)),0))</f>
        <v/>
      </c>
      <c r="G1824" s="6">
        <f>IF(B1824="","",N(C1824)*N(F1824))</f>
        <v/>
      </c>
      <c r="H1824">
        <f>IF(B1824="","",IFERROR(INDEX(Products!$B:$B,MATCH(B1824,Products!$A:$A,0)),"SKU not found"))</f>
        <v/>
      </c>
    </row>
    <row r="1825">
      <c r="A1825" s="7" t="n"/>
      <c r="B1825" s="4" t="n"/>
      <c r="C1825" s="4" t="n"/>
      <c r="D1825" s="4" t="n"/>
      <c r="E1825" s="4" t="n"/>
      <c r="F1825" s="6">
        <f>IF(B1825="","",IFERROR(INDEX(Products!$E:$E,MATCH(B1825,Products!$A:$A,0)),0))</f>
        <v/>
      </c>
      <c r="G1825" s="6">
        <f>IF(B1825="","",N(C1825)*N(F1825))</f>
        <v/>
      </c>
      <c r="H1825">
        <f>IF(B1825="","",IFERROR(INDEX(Products!$B:$B,MATCH(B1825,Products!$A:$A,0)),"SKU not found"))</f>
        <v/>
      </c>
    </row>
    <row r="1826">
      <c r="A1826" s="7" t="n"/>
      <c r="B1826" s="4" t="n"/>
      <c r="C1826" s="4" t="n"/>
      <c r="D1826" s="4" t="n"/>
      <c r="E1826" s="4" t="n"/>
      <c r="F1826" s="6">
        <f>IF(B1826="","",IFERROR(INDEX(Products!$E:$E,MATCH(B1826,Products!$A:$A,0)),0))</f>
        <v/>
      </c>
      <c r="G1826" s="6">
        <f>IF(B1826="","",N(C1826)*N(F1826))</f>
        <v/>
      </c>
      <c r="H1826">
        <f>IF(B1826="","",IFERROR(INDEX(Products!$B:$B,MATCH(B1826,Products!$A:$A,0)),"SKU not found"))</f>
        <v/>
      </c>
    </row>
    <row r="1827">
      <c r="A1827" s="7" t="n"/>
      <c r="B1827" s="4" t="n"/>
      <c r="C1827" s="4" t="n"/>
      <c r="D1827" s="4" t="n"/>
      <c r="E1827" s="4" t="n"/>
      <c r="F1827" s="6">
        <f>IF(B1827="","",IFERROR(INDEX(Products!$E:$E,MATCH(B1827,Products!$A:$A,0)),0))</f>
        <v/>
      </c>
      <c r="G1827" s="6">
        <f>IF(B1827="","",N(C1827)*N(F1827))</f>
        <v/>
      </c>
      <c r="H1827">
        <f>IF(B1827="","",IFERROR(INDEX(Products!$B:$B,MATCH(B1827,Products!$A:$A,0)),"SKU not found"))</f>
        <v/>
      </c>
    </row>
    <row r="1828">
      <c r="A1828" s="7" t="n"/>
      <c r="B1828" s="4" t="n"/>
      <c r="C1828" s="4" t="n"/>
      <c r="D1828" s="4" t="n"/>
      <c r="E1828" s="4" t="n"/>
      <c r="F1828" s="6">
        <f>IF(B1828="","",IFERROR(INDEX(Products!$E:$E,MATCH(B1828,Products!$A:$A,0)),0))</f>
        <v/>
      </c>
      <c r="G1828" s="6">
        <f>IF(B1828="","",N(C1828)*N(F1828))</f>
        <v/>
      </c>
      <c r="H1828">
        <f>IF(B1828="","",IFERROR(INDEX(Products!$B:$B,MATCH(B1828,Products!$A:$A,0)),"SKU not found"))</f>
        <v/>
      </c>
    </row>
    <row r="1829">
      <c r="A1829" s="7" t="n"/>
      <c r="B1829" s="4" t="n"/>
      <c r="C1829" s="4" t="n"/>
      <c r="D1829" s="4" t="n"/>
      <c r="E1829" s="4" t="n"/>
      <c r="F1829" s="6">
        <f>IF(B1829="","",IFERROR(INDEX(Products!$E:$E,MATCH(B1829,Products!$A:$A,0)),0))</f>
        <v/>
      </c>
      <c r="G1829" s="6">
        <f>IF(B1829="","",N(C1829)*N(F1829))</f>
        <v/>
      </c>
      <c r="H1829">
        <f>IF(B1829="","",IFERROR(INDEX(Products!$B:$B,MATCH(B1829,Products!$A:$A,0)),"SKU not found"))</f>
        <v/>
      </c>
    </row>
    <row r="1830">
      <c r="A1830" s="7" t="n"/>
      <c r="B1830" s="4" t="n"/>
      <c r="C1830" s="4" t="n"/>
      <c r="D1830" s="4" t="n"/>
      <c r="E1830" s="4" t="n"/>
      <c r="F1830" s="6">
        <f>IF(B1830="","",IFERROR(INDEX(Products!$E:$E,MATCH(B1830,Products!$A:$A,0)),0))</f>
        <v/>
      </c>
      <c r="G1830" s="6">
        <f>IF(B1830="","",N(C1830)*N(F1830))</f>
        <v/>
      </c>
      <c r="H1830">
        <f>IF(B1830="","",IFERROR(INDEX(Products!$B:$B,MATCH(B1830,Products!$A:$A,0)),"SKU not found"))</f>
        <v/>
      </c>
    </row>
    <row r="1831">
      <c r="A1831" s="7" t="n"/>
      <c r="B1831" s="4" t="n"/>
      <c r="C1831" s="4" t="n"/>
      <c r="D1831" s="4" t="n"/>
      <c r="E1831" s="4" t="n"/>
      <c r="F1831" s="6">
        <f>IF(B1831="","",IFERROR(INDEX(Products!$E:$E,MATCH(B1831,Products!$A:$A,0)),0))</f>
        <v/>
      </c>
      <c r="G1831" s="6">
        <f>IF(B1831="","",N(C1831)*N(F1831))</f>
        <v/>
      </c>
      <c r="H1831">
        <f>IF(B1831="","",IFERROR(INDEX(Products!$B:$B,MATCH(B1831,Products!$A:$A,0)),"SKU not found"))</f>
        <v/>
      </c>
    </row>
    <row r="1832">
      <c r="A1832" s="7" t="n"/>
      <c r="B1832" s="4" t="n"/>
      <c r="C1832" s="4" t="n"/>
      <c r="D1832" s="4" t="n"/>
      <c r="E1832" s="4" t="n"/>
      <c r="F1832" s="6">
        <f>IF(B1832="","",IFERROR(INDEX(Products!$E:$E,MATCH(B1832,Products!$A:$A,0)),0))</f>
        <v/>
      </c>
      <c r="G1832" s="6">
        <f>IF(B1832="","",N(C1832)*N(F1832))</f>
        <v/>
      </c>
      <c r="H1832">
        <f>IF(B1832="","",IFERROR(INDEX(Products!$B:$B,MATCH(B1832,Products!$A:$A,0)),"SKU not found"))</f>
        <v/>
      </c>
    </row>
    <row r="1833">
      <c r="A1833" s="7" t="n"/>
      <c r="B1833" s="4" t="n"/>
      <c r="C1833" s="4" t="n"/>
      <c r="D1833" s="4" t="n"/>
      <c r="E1833" s="4" t="n"/>
      <c r="F1833" s="6">
        <f>IF(B1833="","",IFERROR(INDEX(Products!$E:$E,MATCH(B1833,Products!$A:$A,0)),0))</f>
        <v/>
      </c>
      <c r="G1833" s="6">
        <f>IF(B1833="","",N(C1833)*N(F1833))</f>
        <v/>
      </c>
      <c r="H1833">
        <f>IF(B1833="","",IFERROR(INDEX(Products!$B:$B,MATCH(B1833,Products!$A:$A,0)),"SKU not found"))</f>
        <v/>
      </c>
    </row>
    <row r="1834">
      <c r="A1834" s="7" t="n"/>
      <c r="B1834" s="4" t="n"/>
      <c r="C1834" s="4" t="n"/>
      <c r="D1834" s="4" t="n"/>
      <c r="E1834" s="4" t="n"/>
      <c r="F1834" s="6">
        <f>IF(B1834="","",IFERROR(INDEX(Products!$E:$E,MATCH(B1834,Products!$A:$A,0)),0))</f>
        <v/>
      </c>
      <c r="G1834" s="6">
        <f>IF(B1834="","",N(C1834)*N(F1834))</f>
        <v/>
      </c>
      <c r="H1834">
        <f>IF(B1834="","",IFERROR(INDEX(Products!$B:$B,MATCH(B1834,Products!$A:$A,0)),"SKU not found"))</f>
        <v/>
      </c>
    </row>
    <row r="1835">
      <c r="A1835" s="7" t="n"/>
      <c r="B1835" s="4" t="n"/>
      <c r="C1835" s="4" t="n"/>
      <c r="D1835" s="4" t="n"/>
      <c r="E1835" s="4" t="n"/>
      <c r="F1835" s="6">
        <f>IF(B1835="","",IFERROR(INDEX(Products!$E:$E,MATCH(B1835,Products!$A:$A,0)),0))</f>
        <v/>
      </c>
      <c r="G1835" s="6">
        <f>IF(B1835="","",N(C1835)*N(F1835))</f>
        <v/>
      </c>
      <c r="H1835">
        <f>IF(B1835="","",IFERROR(INDEX(Products!$B:$B,MATCH(B1835,Products!$A:$A,0)),"SKU not found"))</f>
        <v/>
      </c>
    </row>
    <row r="1836">
      <c r="A1836" s="7" t="n"/>
      <c r="B1836" s="4" t="n"/>
      <c r="C1836" s="4" t="n"/>
      <c r="D1836" s="4" t="n"/>
      <c r="E1836" s="4" t="n"/>
      <c r="F1836" s="6">
        <f>IF(B1836="","",IFERROR(INDEX(Products!$E:$E,MATCH(B1836,Products!$A:$A,0)),0))</f>
        <v/>
      </c>
      <c r="G1836" s="6">
        <f>IF(B1836="","",N(C1836)*N(F1836))</f>
        <v/>
      </c>
      <c r="H1836">
        <f>IF(B1836="","",IFERROR(INDEX(Products!$B:$B,MATCH(B1836,Products!$A:$A,0)),"SKU not found"))</f>
        <v/>
      </c>
    </row>
    <row r="1837">
      <c r="A1837" s="7" t="n"/>
      <c r="B1837" s="4" t="n"/>
      <c r="C1837" s="4" t="n"/>
      <c r="D1837" s="4" t="n"/>
      <c r="E1837" s="4" t="n"/>
      <c r="F1837" s="6">
        <f>IF(B1837="","",IFERROR(INDEX(Products!$E:$E,MATCH(B1837,Products!$A:$A,0)),0))</f>
        <v/>
      </c>
      <c r="G1837" s="6">
        <f>IF(B1837="","",N(C1837)*N(F1837))</f>
        <v/>
      </c>
      <c r="H1837">
        <f>IF(B1837="","",IFERROR(INDEX(Products!$B:$B,MATCH(B1837,Products!$A:$A,0)),"SKU not found"))</f>
        <v/>
      </c>
    </row>
    <row r="1838">
      <c r="A1838" s="7" t="n"/>
      <c r="B1838" s="4" t="n"/>
      <c r="C1838" s="4" t="n"/>
      <c r="D1838" s="4" t="n"/>
      <c r="E1838" s="4" t="n"/>
      <c r="F1838" s="6">
        <f>IF(B1838="","",IFERROR(INDEX(Products!$E:$E,MATCH(B1838,Products!$A:$A,0)),0))</f>
        <v/>
      </c>
      <c r="G1838" s="6">
        <f>IF(B1838="","",N(C1838)*N(F1838))</f>
        <v/>
      </c>
      <c r="H1838">
        <f>IF(B1838="","",IFERROR(INDEX(Products!$B:$B,MATCH(B1838,Products!$A:$A,0)),"SKU not found"))</f>
        <v/>
      </c>
    </row>
    <row r="1839">
      <c r="A1839" s="7" t="n"/>
      <c r="B1839" s="4" t="n"/>
      <c r="C1839" s="4" t="n"/>
      <c r="D1839" s="4" t="n"/>
      <c r="E1839" s="4" t="n"/>
      <c r="F1839" s="6">
        <f>IF(B1839="","",IFERROR(INDEX(Products!$E:$E,MATCH(B1839,Products!$A:$A,0)),0))</f>
        <v/>
      </c>
      <c r="G1839" s="6">
        <f>IF(B1839="","",N(C1839)*N(F1839))</f>
        <v/>
      </c>
      <c r="H1839">
        <f>IF(B1839="","",IFERROR(INDEX(Products!$B:$B,MATCH(B1839,Products!$A:$A,0)),"SKU not found"))</f>
        <v/>
      </c>
    </row>
    <row r="1840">
      <c r="A1840" s="7" t="n"/>
      <c r="B1840" s="4" t="n"/>
      <c r="C1840" s="4" t="n"/>
      <c r="D1840" s="4" t="n"/>
      <c r="E1840" s="4" t="n"/>
      <c r="F1840" s="6">
        <f>IF(B1840="","",IFERROR(INDEX(Products!$E:$E,MATCH(B1840,Products!$A:$A,0)),0))</f>
        <v/>
      </c>
      <c r="G1840" s="6">
        <f>IF(B1840="","",N(C1840)*N(F1840))</f>
        <v/>
      </c>
      <c r="H1840">
        <f>IF(B1840="","",IFERROR(INDEX(Products!$B:$B,MATCH(B1840,Products!$A:$A,0)),"SKU not found"))</f>
        <v/>
      </c>
    </row>
    <row r="1841">
      <c r="A1841" s="7" t="n"/>
      <c r="B1841" s="4" t="n"/>
      <c r="C1841" s="4" t="n"/>
      <c r="D1841" s="4" t="n"/>
      <c r="E1841" s="4" t="n"/>
      <c r="F1841" s="6">
        <f>IF(B1841="","",IFERROR(INDEX(Products!$E:$E,MATCH(B1841,Products!$A:$A,0)),0))</f>
        <v/>
      </c>
      <c r="G1841" s="6">
        <f>IF(B1841="","",N(C1841)*N(F1841))</f>
        <v/>
      </c>
      <c r="H1841">
        <f>IF(B1841="","",IFERROR(INDEX(Products!$B:$B,MATCH(B1841,Products!$A:$A,0)),"SKU not found"))</f>
        <v/>
      </c>
    </row>
    <row r="1842">
      <c r="A1842" s="7" t="n"/>
      <c r="B1842" s="4" t="n"/>
      <c r="C1842" s="4" t="n"/>
      <c r="D1842" s="4" t="n"/>
      <c r="E1842" s="4" t="n"/>
      <c r="F1842" s="6">
        <f>IF(B1842="","",IFERROR(INDEX(Products!$E:$E,MATCH(B1842,Products!$A:$A,0)),0))</f>
        <v/>
      </c>
      <c r="G1842" s="6">
        <f>IF(B1842="","",N(C1842)*N(F1842))</f>
        <v/>
      </c>
      <c r="H1842">
        <f>IF(B1842="","",IFERROR(INDEX(Products!$B:$B,MATCH(B1842,Products!$A:$A,0)),"SKU not found"))</f>
        <v/>
      </c>
    </row>
    <row r="1843">
      <c r="A1843" s="7" t="n"/>
      <c r="B1843" s="4" t="n"/>
      <c r="C1843" s="4" t="n"/>
      <c r="D1843" s="4" t="n"/>
      <c r="E1843" s="4" t="n"/>
      <c r="F1843" s="6">
        <f>IF(B1843="","",IFERROR(INDEX(Products!$E:$E,MATCH(B1843,Products!$A:$A,0)),0))</f>
        <v/>
      </c>
      <c r="G1843" s="6">
        <f>IF(B1843="","",N(C1843)*N(F1843))</f>
        <v/>
      </c>
      <c r="H1843">
        <f>IF(B1843="","",IFERROR(INDEX(Products!$B:$B,MATCH(B1843,Products!$A:$A,0)),"SKU not found"))</f>
        <v/>
      </c>
    </row>
    <row r="1844">
      <c r="A1844" s="7" t="n"/>
      <c r="B1844" s="4" t="n"/>
      <c r="C1844" s="4" t="n"/>
      <c r="D1844" s="4" t="n"/>
      <c r="E1844" s="4" t="n"/>
      <c r="F1844" s="6">
        <f>IF(B1844="","",IFERROR(INDEX(Products!$E:$E,MATCH(B1844,Products!$A:$A,0)),0))</f>
        <v/>
      </c>
      <c r="G1844" s="6">
        <f>IF(B1844="","",N(C1844)*N(F1844))</f>
        <v/>
      </c>
      <c r="H1844">
        <f>IF(B1844="","",IFERROR(INDEX(Products!$B:$B,MATCH(B1844,Products!$A:$A,0)),"SKU not found"))</f>
        <v/>
      </c>
    </row>
    <row r="1845">
      <c r="A1845" s="7" t="n"/>
      <c r="B1845" s="4" t="n"/>
      <c r="C1845" s="4" t="n"/>
      <c r="D1845" s="4" t="n"/>
      <c r="E1845" s="4" t="n"/>
      <c r="F1845" s="6">
        <f>IF(B1845="","",IFERROR(INDEX(Products!$E:$E,MATCH(B1845,Products!$A:$A,0)),0))</f>
        <v/>
      </c>
      <c r="G1845" s="6">
        <f>IF(B1845="","",N(C1845)*N(F1845))</f>
        <v/>
      </c>
      <c r="H1845">
        <f>IF(B1845="","",IFERROR(INDEX(Products!$B:$B,MATCH(B1845,Products!$A:$A,0)),"SKU not found"))</f>
        <v/>
      </c>
    </row>
    <row r="1846">
      <c r="A1846" s="7" t="n"/>
      <c r="B1846" s="4" t="n"/>
      <c r="C1846" s="4" t="n"/>
      <c r="D1846" s="4" t="n"/>
      <c r="E1846" s="4" t="n"/>
      <c r="F1846" s="6">
        <f>IF(B1846="","",IFERROR(INDEX(Products!$E:$E,MATCH(B1846,Products!$A:$A,0)),0))</f>
        <v/>
      </c>
      <c r="G1846" s="6">
        <f>IF(B1846="","",N(C1846)*N(F1846))</f>
        <v/>
      </c>
      <c r="H1846">
        <f>IF(B1846="","",IFERROR(INDEX(Products!$B:$B,MATCH(B1846,Products!$A:$A,0)),"SKU not found"))</f>
        <v/>
      </c>
    </row>
    <row r="1847">
      <c r="A1847" s="7" t="n"/>
      <c r="B1847" s="4" t="n"/>
      <c r="C1847" s="4" t="n"/>
      <c r="D1847" s="4" t="n"/>
      <c r="E1847" s="4" t="n"/>
      <c r="F1847" s="6">
        <f>IF(B1847="","",IFERROR(INDEX(Products!$E:$E,MATCH(B1847,Products!$A:$A,0)),0))</f>
        <v/>
      </c>
      <c r="G1847" s="6">
        <f>IF(B1847="","",N(C1847)*N(F1847))</f>
        <v/>
      </c>
      <c r="H1847">
        <f>IF(B1847="","",IFERROR(INDEX(Products!$B:$B,MATCH(B1847,Products!$A:$A,0)),"SKU not found"))</f>
        <v/>
      </c>
    </row>
    <row r="1848">
      <c r="A1848" s="7" t="n"/>
      <c r="B1848" s="4" t="n"/>
      <c r="C1848" s="4" t="n"/>
      <c r="D1848" s="4" t="n"/>
      <c r="E1848" s="4" t="n"/>
      <c r="F1848" s="6">
        <f>IF(B1848="","",IFERROR(INDEX(Products!$E:$E,MATCH(B1848,Products!$A:$A,0)),0))</f>
        <v/>
      </c>
      <c r="G1848" s="6">
        <f>IF(B1848="","",N(C1848)*N(F1848))</f>
        <v/>
      </c>
      <c r="H1848">
        <f>IF(B1848="","",IFERROR(INDEX(Products!$B:$B,MATCH(B1848,Products!$A:$A,0)),"SKU not found"))</f>
        <v/>
      </c>
    </row>
    <row r="1849">
      <c r="A1849" s="7" t="n"/>
      <c r="B1849" s="4" t="n"/>
      <c r="C1849" s="4" t="n"/>
      <c r="D1849" s="4" t="n"/>
      <c r="E1849" s="4" t="n"/>
      <c r="F1849" s="6">
        <f>IF(B1849="","",IFERROR(INDEX(Products!$E:$E,MATCH(B1849,Products!$A:$A,0)),0))</f>
        <v/>
      </c>
      <c r="G1849" s="6">
        <f>IF(B1849="","",N(C1849)*N(F1849))</f>
        <v/>
      </c>
      <c r="H1849">
        <f>IF(B1849="","",IFERROR(INDEX(Products!$B:$B,MATCH(B1849,Products!$A:$A,0)),"SKU not found"))</f>
        <v/>
      </c>
    </row>
    <row r="1850">
      <c r="A1850" s="7" t="n"/>
      <c r="B1850" s="4" t="n"/>
      <c r="C1850" s="4" t="n"/>
      <c r="D1850" s="4" t="n"/>
      <c r="E1850" s="4" t="n"/>
      <c r="F1850" s="6">
        <f>IF(B1850="","",IFERROR(INDEX(Products!$E:$E,MATCH(B1850,Products!$A:$A,0)),0))</f>
        <v/>
      </c>
      <c r="G1850" s="6">
        <f>IF(B1850="","",N(C1850)*N(F1850))</f>
        <v/>
      </c>
      <c r="H1850">
        <f>IF(B1850="","",IFERROR(INDEX(Products!$B:$B,MATCH(B1850,Products!$A:$A,0)),"SKU not found"))</f>
        <v/>
      </c>
    </row>
    <row r="1851">
      <c r="A1851" s="7" t="n"/>
      <c r="B1851" s="4" t="n"/>
      <c r="C1851" s="4" t="n"/>
      <c r="D1851" s="4" t="n"/>
      <c r="E1851" s="4" t="n"/>
      <c r="F1851" s="6">
        <f>IF(B1851="","",IFERROR(INDEX(Products!$E:$E,MATCH(B1851,Products!$A:$A,0)),0))</f>
        <v/>
      </c>
      <c r="G1851" s="6">
        <f>IF(B1851="","",N(C1851)*N(F1851))</f>
        <v/>
      </c>
      <c r="H1851">
        <f>IF(B1851="","",IFERROR(INDEX(Products!$B:$B,MATCH(B1851,Products!$A:$A,0)),"SKU not found"))</f>
        <v/>
      </c>
    </row>
    <row r="1852">
      <c r="A1852" s="7" t="n"/>
      <c r="B1852" s="4" t="n"/>
      <c r="C1852" s="4" t="n"/>
      <c r="D1852" s="4" t="n"/>
      <c r="E1852" s="4" t="n"/>
      <c r="F1852" s="6">
        <f>IF(B1852="","",IFERROR(INDEX(Products!$E:$E,MATCH(B1852,Products!$A:$A,0)),0))</f>
        <v/>
      </c>
      <c r="G1852" s="6">
        <f>IF(B1852="","",N(C1852)*N(F1852))</f>
        <v/>
      </c>
      <c r="H1852">
        <f>IF(B1852="","",IFERROR(INDEX(Products!$B:$B,MATCH(B1852,Products!$A:$A,0)),"SKU not found"))</f>
        <v/>
      </c>
    </row>
    <row r="1853">
      <c r="A1853" s="7" t="n"/>
      <c r="B1853" s="4" t="n"/>
      <c r="C1853" s="4" t="n"/>
      <c r="D1853" s="4" t="n"/>
      <c r="E1853" s="4" t="n"/>
      <c r="F1853" s="6">
        <f>IF(B1853="","",IFERROR(INDEX(Products!$E:$E,MATCH(B1853,Products!$A:$A,0)),0))</f>
        <v/>
      </c>
      <c r="G1853" s="6">
        <f>IF(B1853="","",N(C1853)*N(F1853))</f>
        <v/>
      </c>
      <c r="H1853">
        <f>IF(B1853="","",IFERROR(INDEX(Products!$B:$B,MATCH(B1853,Products!$A:$A,0)),"SKU not found"))</f>
        <v/>
      </c>
    </row>
    <row r="1854">
      <c r="A1854" s="7" t="n"/>
      <c r="B1854" s="4" t="n"/>
      <c r="C1854" s="4" t="n"/>
      <c r="D1854" s="4" t="n"/>
      <c r="E1854" s="4" t="n"/>
      <c r="F1854" s="6">
        <f>IF(B1854="","",IFERROR(INDEX(Products!$E:$E,MATCH(B1854,Products!$A:$A,0)),0))</f>
        <v/>
      </c>
      <c r="G1854" s="6">
        <f>IF(B1854="","",N(C1854)*N(F1854))</f>
        <v/>
      </c>
      <c r="H1854">
        <f>IF(B1854="","",IFERROR(INDEX(Products!$B:$B,MATCH(B1854,Products!$A:$A,0)),"SKU not found"))</f>
        <v/>
      </c>
    </row>
    <row r="1855">
      <c r="A1855" s="7" t="n"/>
      <c r="B1855" s="4" t="n"/>
      <c r="C1855" s="4" t="n"/>
      <c r="D1855" s="4" t="n"/>
      <c r="E1855" s="4" t="n"/>
      <c r="F1855" s="6">
        <f>IF(B1855="","",IFERROR(INDEX(Products!$E:$E,MATCH(B1855,Products!$A:$A,0)),0))</f>
        <v/>
      </c>
      <c r="G1855" s="6">
        <f>IF(B1855="","",N(C1855)*N(F1855))</f>
        <v/>
      </c>
      <c r="H1855">
        <f>IF(B1855="","",IFERROR(INDEX(Products!$B:$B,MATCH(B1855,Products!$A:$A,0)),"SKU not found"))</f>
        <v/>
      </c>
    </row>
    <row r="1856">
      <c r="A1856" s="7" t="n"/>
      <c r="B1856" s="4" t="n"/>
      <c r="C1856" s="4" t="n"/>
      <c r="D1856" s="4" t="n"/>
      <c r="E1856" s="4" t="n"/>
      <c r="F1856" s="6">
        <f>IF(B1856="","",IFERROR(INDEX(Products!$E:$E,MATCH(B1856,Products!$A:$A,0)),0))</f>
        <v/>
      </c>
      <c r="G1856" s="6">
        <f>IF(B1856="","",N(C1856)*N(F1856))</f>
        <v/>
      </c>
      <c r="H1856">
        <f>IF(B1856="","",IFERROR(INDEX(Products!$B:$B,MATCH(B1856,Products!$A:$A,0)),"SKU not found"))</f>
        <v/>
      </c>
    </row>
    <row r="1857">
      <c r="A1857" s="7" t="n"/>
      <c r="B1857" s="4" t="n"/>
      <c r="C1857" s="4" t="n"/>
      <c r="D1857" s="4" t="n"/>
      <c r="E1857" s="4" t="n"/>
      <c r="F1857" s="6">
        <f>IF(B1857="","",IFERROR(INDEX(Products!$E:$E,MATCH(B1857,Products!$A:$A,0)),0))</f>
        <v/>
      </c>
      <c r="G1857" s="6">
        <f>IF(B1857="","",N(C1857)*N(F1857))</f>
        <v/>
      </c>
      <c r="H1857">
        <f>IF(B1857="","",IFERROR(INDEX(Products!$B:$B,MATCH(B1857,Products!$A:$A,0)),"SKU not found"))</f>
        <v/>
      </c>
    </row>
    <row r="1858">
      <c r="A1858" s="7" t="n"/>
      <c r="B1858" s="4" t="n"/>
      <c r="C1858" s="4" t="n"/>
      <c r="D1858" s="4" t="n"/>
      <c r="E1858" s="4" t="n"/>
      <c r="F1858" s="6">
        <f>IF(B1858="","",IFERROR(INDEX(Products!$E:$E,MATCH(B1858,Products!$A:$A,0)),0))</f>
        <v/>
      </c>
      <c r="G1858" s="6">
        <f>IF(B1858="","",N(C1858)*N(F1858))</f>
        <v/>
      </c>
      <c r="H1858">
        <f>IF(B1858="","",IFERROR(INDEX(Products!$B:$B,MATCH(B1858,Products!$A:$A,0)),"SKU not found"))</f>
        <v/>
      </c>
    </row>
    <row r="1859">
      <c r="A1859" s="7" t="n"/>
      <c r="B1859" s="4" t="n"/>
      <c r="C1859" s="4" t="n"/>
      <c r="D1859" s="4" t="n"/>
      <c r="E1859" s="4" t="n"/>
      <c r="F1859" s="6">
        <f>IF(B1859="","",IFERROR(INDEX(Products!$E:$E,MATCH(B1859,Products!$A:$A,0)),0))</f>
        <v/>
      </c>
      <c r="G1859" s="6">
        <f>IF(B1859="","",N(C1859)*N(F1859))</f>
        <v/>
      </c>
      <c r="H1859">
        <f>IF(B1859="","",IFERROR(INDEX(Products!$B:$B,MATCH(B1859,Products!$A:$A,0)),"SKU not found"))</f>
        <v/>
      </c>
    </row>
    <row r="1860">
      <c r="A1860" s="7" t="n"/>
      <c r="B1860" s="4" t="n"/>
      <c r="C1860" s="4" t="n"/>
      <c r="D1860" s="4" t="n"/>
      <c r="E1860" s="4" t="n"/>
      <c r="F1860" s="6">
        <f>IF(B1860="","",IFERROR(INDEX(Products!$E:$E,MATCH(B1860,Products!$A:$A,0)),0))</f>
        <v/>
      </c>
      <c r="G1860" s="6">
        <f>IF(B1860="","",N(C1860)*N(F1860))</f>
        <v/>
      </c>
      <c r="H1860">
        <f>IF(B1860="","",IFERROR(INDEX(Products!$B:$B,MATCH(B1860,Products!$A:$A,0)),"SKU not found"))</f>
        <v/>
      </c>
    </row>
    <row r="1861">
      <c r="A1861" s="7" t="n"/>
      <c r="B1861" s="4" t="n"/>
      <c r="C1861" s="4" t="n"/>
      <c r="D1861" s="4" t="n"/>
      <c r="E1861" s="4" t="n"/>
      <c r="F1861" s="6">
        <f>IF(B1861="","",IFERROR(INDEX(Products!$E:$E,MATCH(B1861,Products!$A:$A,0)),0))</f>
        <v/>
      </c>
      <c r="G1861" s="6">
        <f>IF(B1861="","",N(C1861)*N(F1861))</f>
        <v/>
      </c>
      <c r="H1861">
        <f>IF(B1861="","",IFERROR(INDEX(Products!$B:$B,MATCH(B1861,Products!$A:$A,0)),"SKU not found"))</f>
        <v/>
      </c>
    </row>
    <row r="1862">
      <c r="A1862" s="7" t="n"/>
      <c r="B1862" s="4" t="n"/>
      <c r="C1862" s="4" t="n"/>
      <c r="D1862" s="4" t="n"/>
      <c r="E1862" s="4" t="n"/>
      <c r="F1862" s="6">
        <f>IF(B1862="","",IFERROR(INDEX(Products!$E:$E,MATCH(B1862,Products!$A:$A,0)),0))</f>
        <v/>
      </c>
      <c r="G1862" s="6">
        <f>IF(B1862="","",N(C1862)*N(F1862))</f>
        <v/>
      </c>
      <c r="H1862">
        <f>IF(B1862="","",IFERROR(INDEX(Products!$B:$B,MATCH(B1862,Products!$A:$A,0)),"SKU not found"))</f>
        <v/>
      </c>
    </row>
    <row r="1863">
      <c r="A1863" s="7" t="n"/>
      <c r="B1863" s="4" t="n"/>
      <c r="C1863" s="4" t="n"/>
      <c r="D1863" s="4" t="n"/>
      <c r="E1863" s="4" t="n"/>
      <c r="F1863" s="6">
        <f>IF(B1863="","",IFERROR(INDEX(Products!$E:$E,MATCH(B1863,Products!$A:$A,0)),0))</f>
        <v/>
      </c>
      <c r="G1863" s="6">
        <f>IF(B1863="","",N(C1863)*N(F1863))</f>
        <v/>
      </c>
      <c r="H1863">
        <f>IF(B1863="","",IFERROR(INDEX(Products!$B:$B,MATCH(B1863,Products!$A:$A,0)),"SKU not found"))</f>
        <v/>
      </c>
    </row>
    <row r="1864">
      <c r="A1864" s="7" t="n"/>
      <c r="B1864" s="4" t="n"/>
      <c r="C1864" s="4" t="n"/>
      <c r="D1864" s="4" t="n"/>
      <c r="E1864" s="4" t="n"/>
      <c r="F1864" s="6">
        <f>IF(B1864="","",IFERROR(INDEX(Products!$E:$E,MATCH(B1864,Products!$A:$A,0)),0))</f>
        <v/>
      </c>
      <c r="G1864" s="6">
        <f>IF(B1864="","",N(C1864)*N(F1864))</f>
        <v/>
      </c>
      <c r="H1864">
        <f>IF(B1864="","",IFERROR(INDEX(Products!$B:$B,MATCH(B1864,Products!$A:$A,0)),"SKU not found"))</f>
        <v/>
      </c>
    </row>
    <row r="1865">
      <c r="A1865" s="7" t="n"/>
      <c r="B1865" s="4" t="n"/>
      <c r="C1865" s="4" t="n"/>
      <c r="D1865" s="4" t="n"/>
      <c r="E1865" s="4" t="n"/>
      <c r="F1865" s="6">
        <f>IF(B1865="","",IFERROR(INDEX(Products!$E:$E,MATCH(B1865,Products!$A:$A,0)),0))</f>
        <v/>
      </c>
      <c r="G1865" s="6">
        <f>IF(B1865="","",N(C1865)*N(F1865))</f>
        <v/>
      </c>
      <c r="H1865">
        <f>IF(B1865="","",IFERROR(INDEX(Products!$B:$B,MATCH(B1865,Products!$A:$A,0)),"SKU not found"))</f>
        <v/>
      </c>
    </row>
    <row r="1866">
      <c r="A1866" s="7" t="n"/>
      <c r="B1866" s="4" t="n"/>
      <c r="C1866" s="4" t="n"/>
      <c r="D1866" s="4" t="n"/>
      <c r="E1866" s="4" t="n"/>
      <c r="F1866" s="6">
        <f>IF(B1866="","",IFERROR(INDEX(Products!$E:$E,MATCH(B1866,Products!$A:$A,0)),0))</f>
        <v/>
      </c>
      <c r="G1866" s="6">
        <f>IF(B1866="","",N(C1866)*N(F1866))</f>
        <v/>
      </c>
      <c r="H1866">
        <f>IF(B1866="","",IFERROR(INDEX(Products!$B:$B,MATCH(B1866,Products!$A:$A,0)),"SKU not found"))</f>
        <v/>
      </c>
    </row>
    <row r="1867">
      <c r="A1867" s="7" t="n"/>
      <c r="B1867" s="4" t="n"/>
      <c r="C1867" s="4" t="n"/>
      <c r="D1867" s="4" t="n"/>
      <c r="E1867" s="4" t="n"/>
      <c r="F1867" s="6">
        <f>IF(B1867="","",IFERROR(INDEX(Products!$E:$E,MATCH(B1867,Products!$A:$A,0)),0))</f>
        <v/>
      </c>
      <c r="G1867" s="6">
        <f>IF(B1867="","",N(C1867)*N(F1867))</f>
        <v/>
      </c>
      <c r="H1867">
        <f>IF(B1867="","",IFERROR(INDEX(Products!$B:$B,MATCH(B1867,Products!$A:$A,0)),"SKU not found"))</f>
        <v/>
      </c>
    </row>
    <row r="1868">
      <c r="A1868" s="7" t="n"/>
      <c r="B1868" s="4" t="n"/>
      <c r="C1868" s="4" t="n"/>
      <c r="D1868" s="4" t="n"/>
      <c r="E1868" s="4" t="n"/>
      <c r="F1868" s="6">
        <f>IF(B1868="","",IFERROR(INDEX(Products!$E:$E,MATCH(B1868,Products!$A:$A,0)),0))</f>
        <v/>
      </c>
      <c r="G1868" s="6">
        <f>IF(B1868="","",N(C1868)*N(F1868))</f>
        <v/>
      </c>
      <c r="H1868">
        <f>IF(B1868="","",IFERROR(INDEX(Products!$B:$B,MATCH(B1868,Products!$A:$A,0)),"SKU not found"))</f>
        <v/>
      </c>
    </row>
    <row r="1869">
      <c r="A1869" s="7" t="n"/>
      <c r="B1869" s="4" t="n"/>
      <c r="C1869" s="4" t="n"/>
      <c r="D1869" s="4" t="n"/>
      <c r="E1869" s="4" t="n"/>
      <c r="F1869" s="6">
        <f>IF(B1869="","",IFERROR(INDEX(Products!$E:$E,MATCH(B1869,Products!$A:$A,0)),0))</f>
        <v/>
      </c>
      <c r="G1869" s="6">
        <f>IF(B1869="","",N(C1869)*N(F1869))</f>
        <v/>
      </c>
      <c r="H1869">
        <f>IF(B1869="","",IFERROR(INDEX(Products!$B:$B,MATCH(B1869,Products!$A:$A,0)),"SKU not found"))</f>
        <v/>
      </c>
    </row>
    <row r="1870">
      <c r="A1870" s="7" t="n"/>
      <c r="B1870" s="4" t="n"/>
      <c r="C1870" s="4" t="n"/>
      <c r="D1870" s="4" t="n"/>
      <c r="E1870" s="4" t="n"/>
      <c r="F1870" s="6">
        <f>IF(B1870="","",IFERROR(INDEX(Products!$E:$E,MATCH(B1870,Products!$A:$A,0)),0))</f>
        <v/>
      </c>
      <c r="G1870" s="6">
        <f>IF(B1870="","",N(C1870)*N(F1870))</f>
        <v/>
      </c>
      <c r="H1870">
        <f>IF(B1870="","",IFERROR(INDEX(Products!$B:$B,MATCH(B1870,Products!$A:$A,0)),"SKU not found"))</f>
        <v/>
      </c>
    </row>
    <row r="1871">
      <c r="A1871" s="7" t="n"/>
      <c r="B1871" s="4" t="n"/>
      <c r="C1871" s="4" t="n"/>
      <c r="D1871" s="4" t="n"/>
      <c r="E1871" s="4" t="n"/>
      <c r="F1871" s="6">
        <f>IF(B1871="","",IFERROR(INDEX(Products!$E:$E,MATCH(B1871,Products!$A:$A,0)),0))</f>
        <v/>
      </c>
      <c r="G1871" s="6">
        <f>IF(B1871="","",N(C1871)*N(F1871))</f>
        <v/>
      </c>
      <c r="H1871">
        <f>IF(B1871="","",IFERROR(INDEX(Products!$B:$B,MATCH(B1871,Products!$A:$A,0)),"SKU not found"))</f>
        <v/>
      </c>
    </row>
    <row r="1872">
      <c r="A1872" s="7" t="n"/>
      <c r="B1872" s="4" t="n"/>
      <c r="C1872" s="4" t="n"/>
      <c r="D1872" s="4" t="n"/>
      <c r="E1872" s="4" t="n"/>
      <c r="F1872" s="6">
        <f>IF(B1872="","",IFERROR(INDEX(Products!$E:$E,MATCH(B1872,Products!$A:$A,0)),0))</f>
        <v/>
      </c>
      <c r="G1872" s="6">
        <f>IF(B1872="","",N(C1872)*N(F1872))</f>
        <v/>
      </c>
      <c r="H1872">
        <f>IF(B1872="","",IFERROR(INDEX(Products!$B:$B,MATCH(B1872,Products!$A:$A,0)),"SKU not found"))</f>
        <v/>
      </c>
    </row>
    <row r="1873">
      <c r="A1873" s="7" t="n"/>
      <c r="B1873" s="4" t="n"/>
      <c r="C1873" s="4" t="n"/>
      <c r="D1873" s="4" t="n"/>
      <c r="E1873" s="4" t="n"/>
      <c r="F1873" s="6">
        <f>IF(B1873="","",IFERROR(INDEX(Products!$E:$E,MATCH(B1873,Products!$A:$A,0)),0))</f>
        <v/>
      </c>
      <c r="G1873" s="6">
        <f>IF(B1873="","",N(C1873)*N(F1873))</f>
        <v/>
      </c>
      <c r="H1873">
        <f>IF(B1873="","",IFERROR(INDEX(Products!$B:$B,MATCH(B1873,Products!$A:$A,0)),"SKU not found"))</f>
        <v/>
      </c>
    </row>
    <row r="1874">
      <c r="A1874" s="7" t="n"/>
      <c r="B1874" s="4" t="n"/>
      <c r="C1874" s="4" t="n"/>
      <c r="D1874" s="4" t="n"/>
      <c r="E1874" s="4" t="n"/>
      <c r="F1874" s="6">
        <f>IF(B1874="","",IFERROR(INDEX(Products!$E:$E,MATCH(B1874,Products!$A:$A,0)),0))</f>
        <v/>
      </c>
      <c r="G1874" s="6">
        <f>IF(B1874="","",N(C1874)*N(F1874))</f>
        <v/>
      </c>
      <c r="H1874">
        <f>IF(B1874="","",IFERROR(INDEX(Products!$B:$B,MATCH(B1874,Products!$A:$A,0)),"SKU not found"))</f>
        <v/>
      </c>
    </row>
    <row r="1875">
      <c r="A1875" s="7" t="n"/>
      <c r="B1875" s="4" t="n"/>
      <c r="C1875" s="4" t="n"/>
      <c r="D1875" s="4" t="n"/>
      <c r="E1875" s="4" t="n"/>
      <c r="F1875" s="6">
        <f>IF(B1875="","",IFERROR(INDEX(Products!$E:$E,MATCH(B1875,Products!$A:$A,0)),0))</f>
        <v/>
      </c>
      <c r="G1875" s="6">
        <f>IF(B1875="","",N(C1875)*N(F1875))</f>
        <v/>
      </c>
      <c r="H1875">
        <f>IF(B1875="","",IFERROR(INDEX(Products!$B:$B,MATCH(B1875,Products!$A:$A,0)),"SKU not found"))</f>
        <v/>
      </c>
    </row>
    <row r="1876">
      <c r="A1876" s="7" t="n"/>
      <c r="B1876" s="4" t="n"/>
      <c r="C1876" s="4" t="n"/>
      <c r="D1876" s="4" t="n"/>
      <c r="E1876" s="4" t="n"/>
      <c r="F1876" s="6">
        <f>IF(B1876="","",IFERROR(INDEX(Products!$E:$E,MATCH(B1876,Products!$A:$A,0)),0))</f>
        <v/>
      </c>
      <c r="G1876" s="6">
        <f>IF(B1876="","",N(C1876)*N(F1876))</f>
        <v/>
      </c>
      <c r="H1876">
        <f>IF(B1876="","",IFERROR(INDEX(Products!$B:$B,MATCH(B1876,Products!$A:$A,0)),"SKU not found"))</f>
        <v/>
      </c>
    </row>
    <row r="1877">
      <c r="A1877" s="7" t="n"/>
      <c r="B1877" s="4" t="n"/>
      <c r="C1877" s="4" t="n"/>
      <c r="D1877" s="4" t="n"/>
      <c r="E1877" s="4" t="n"/>
      <c r="F1877" s="6">
        <f>IF(B1877="","",IFERROR(INDEX(Products!$E:$E,MATCH(B1877,Products!$A:$A,0)),0))</f>
        <v/>
      </c>
      <c r="G1877" s="6">
        <f>IF(B1877="","",N(C1877)*N(F1877))</f>
        <v/>
      </c>
      <c r="H1877">
        <f>IF(B1877="","",IFERROR(INDEX(Products!$B:$B,MATCH(B1877,Products!$A:$A,0)),"SKU not found"))</f>
        <v/>
      </c>
    </row>
    <row r="1878">
      <c r="A1878" s="7" t="n"/>
      <c r="B1878" s="4" t="n"/>
      <c r="C1878" s="4" t="n"/>
      <c r="D1878" s="4" t="n"/>
      <c r="E1878" s="4" t="n"/>
      <c r="F1878" s="6">
        <f>IF(B1878="","",IFERROR(INDEX(Products!$E:$E,MATCH(B1878,Products!$A:$A,0)),0))</f>
        <v/>
      </c>
      <c r="G1878" s="6">
        <f>IF(B1878="","",N(C1878)*N(F1878))</f>
        <v/>
      </c>
      <c r="H1878">
        <f>IF(B1878="","",IFERROR(INDEX(Products!$B:$B,MATCH(B1878,Products!$A:$A,0)),"SKU not found"))</f>
        <v/>
      </c>
    </row>
    <row r="1879">
      <c r="A1879" s="7" t="n"/>
      <c r="B1879" s="4" t="n"/>
      <c r="C1879" s="4" t="n"/>
      <c r="D1879" s="4" t="n"/>
      <c r="E1879" s="4" t="n"/>
      <c r="F1879" s="6">
        <f>IF(B1879="","",IFERROR(INDEX(Products!$E:$E,MATCH(B1879,Products!$A:$A,0)),0))</f>
        <v/>
      </c>
      <c r="G1879" s="6">
        <f>IF(B1879="","",N(C1879)*N(F1879))</f>
        <v/>
      </c>
      <c r="H1879">
        <f>IF(B1879="","",IFERROR(INDEX(Products!$B:$B,MATCH(B1879,Products!$A:$A,0)),"SKU not found"))</f>
        <v/>
      </c>
    </row>
    <row r="1880">
      <c r="A1880" s="7" t="n"/>
      <c r="B1880" s="4" t="n"/>
      <c r="C1880" s="4" t="n"/>
      <c r="D1880" s="4" t="n"/>
      <c r="E1880" s="4" t="n"/>
      <c r="F1880" s="6">
        <f>IF(B1880="","",IFERROR(INDEX(Products!$E:$E,MATCH(B1880,Products!$A:$A,0)),0))</f>
        <v/>
      </c>
      <c r="G1880" s="6">
        <f>IF(B1880="","",N(C1880)*N(F1880))</f>
        <v/>
      </c>
      <c r="H1880">
        <f>IF(B1880="","",IFERROR(INDEX(Products!$B:$B,MATCH(B1880,Products!$A:$A,0)),"SKU not found"))</f>
        <v/>
      </c>
    </row>
    <row r="1881">
      <c r="A1881" s="7" t="n"/>
      <c r="B1881" s="4" t="n"/>
      <c r="C1881" s="4" t="n"/>
      <c r="D1881" s="4" t="n"/>
      <c r="E1881" s="4" t="n"/>
      <c r="F1881" s="6">
        <f>IF(B1881="","",IFERROR(INDEX(Products!$E:$E,MATCH(B1881,Products!$A:$A,0)),0))</f>
        <v/>
      </c>
      <c r="G1881" s="6">
        <f>IF(B1881="","",N(C1881)*N(F1881))</f>
        <v/>
      </c>
      <c r="H1881">
        <f>IF(B1881="","",IFERROR(INDEX(Products!$B:$B,MATCH(B1881,Products!$A:$A,0)),"SKU not found"))</f>
        <v/>
      </c>
    </row>
    <row r="1882">
      <c r="A1882" s="7" t="n"/>
      <c r="B1882" s="4" t="n"/>
      <c r="C1882" s="4" t="n"/>
      <c r="D1882" s="4" t="n"/>
      <c r="E1882" s="4" t="n"/>
      <c r="F1882" s="6">
        <f>IF(B1882="","",IFERROR(INDEX(Products!$E:$E,MATCH(B1882,Products!$A:$A,0)),0))</f>
        <v/>
      </c>
      <c r="G1882" s="6">
        <f>IF(B1882="","",N(C1882)*N(F1882))</f>
        <v/>
      </c>
      <c r="H1882">
        <f>IF(B1882="","",IFERROR(INDEX(Products!$B:$B,MATCH(B1882,Products!$A:$A,0)),"SKU not found"))</f>
        <v/>
      </c>
    </row>
    <row r="1883">
      <c r="A1883" s="7" t="n"/>
      <c r="B1883" s="4" t="n"/>
      <c r="C1883" s="4" t="n"/>
      <c r="D1883" s="4" t="n"/>
      <c r="E1883" s="4" t="n"/>
      <c r="F1883" s="6">
        <f>IF(B1883="","",IFERROR(INDEX(Products!$E:$E,MATCH(B1883,Products!$A:$A,0)),0))</f>
        <v/>
      </c>
      <c r="G1883" s="6">
        <f>IF(B1883="","",N(C1883)*N(F1883))</f>
        <v/>
      </c>
      <c r="H1883">
        <f>IF(B1883="","",IFERROR(INDEX(Products!$B:$B,MATCH(B1883,Products!$A:$A,0)),"SKU not found"))</f>
        <v/>
      </c>
    </row>
    <row r="1884">
      <c r="A1884" s="7" t="n"/>
      <c r="B1884" s="4" t="n"/>
      <c r="C1884" s="4" t="n"/>
      <c r="D1884" s="4" t="n"/>
      <c r="E1884" s="4" t="n"/>
      <c r="F1884" s="6">
        <f>IF(B1884="","",IFERROR(INDEX(Products!$E:$E,MATCH(B1884,Products!$A:$A,0)),0))</f>
        <v/>
      </c>
      <c r="G1884" s="6">
        <f>IF(B1884="","",N(C1884)*N(F1884))</f>
        <v/>
      </c>
      <c r="H1884">
        <f>IF(B1884="","",IFERROR(INDEX(Products!$B:$B,MATCH(B1884,Products!$A:$A,0)),"SKU not found"))</f>
        <v/>
      </c>
    </row>
    <row r="1885">
      <c r="A1885" s="7" t="n"/>
      <c r="B1885" s="4" t="n"/>
      <c r="C1885" s="4" t="n"/>
      <c r="D1885" s="4" t="n"/>
      <c r="E1885" s="4" t="n"/>
      <c r="F1885" s="6">
        <f>IF(B1885="","",IFERROR(INDEX(Products!$E:$E,MATCH(B1885,Products!$A:$A,0)),0))</f>
        <v/>
      </c>
      <c r="G1885" s="6">
        <f>IF(B1885="","",N(C1885)*N(F1885))</f>
        <v/>
      </c>
      <c r="H1885">
        <f>IF(B1885="","",IFERROR(INDEX(Products!$B:$B,MATCH(B1885,Products!$A:$A,0)),"SKU not found"))</f>
        <v/>
      </c>
    </row>
    <row r="1886">
      <c r="A1886" s="7" t="n"/>
      <c r="B1886" s="4" t="n"/>
      <c r="C1886" s="4" t="n"/>
      <c r="D1886" s="4" t="n"/>
      <c r="E1886" s="4" t="n"/>
      <c r="F1886" s="6">
        <f>IF(B1886="","",IFERROR(INDEX(Products!$E:$E,MATCH(B1886,Products!$A:$A,0)),0))</f>
        <v/>
      </c>
      <c r="G1886" s="6">
        <f>IF(B1886="","",N(C1886)*N(F1886))</f>
        <v/>
      </c>
      <c r="H1886">
        <f>IF(B1886="","",IFERROR(INDEX(Products!$B:$B,MATCH(B1886,Products!$A:$A,0)),"SKU not found"))</f>
        <v/>
      </c>
    </row>
    <row r="1887">
      <c r="A1887" s="7" t="n"/>
      <c r="B1887" s="4" t="n"/>
      <c r="C1887" s="4" t="n"/>
      <c r="D1887" s="4" t="n"/>
      <c r="E1887" s="4" t="n"/>
      <c r="F1887" s="6">
        <f>IF(B1887="","",IFERROR(INDEX(Products!$E:$E,MATCH(B1887,Products!$A:$A,0)),0))</f>
        <v/>
      </c>
      <c r="G1887" s="6">
        <f>IF(B1887="","",N(C1887)*N(F1887))</f>
        <v/>
      </c>
      <c r="H1887">
        <f>IF(B1887="","",IFERROR(INDEX(Products!$B:$B,MATCH(B1887,Products!$A:$A,0)),"SKU not found"))</f>
        <v/>
      </c>
    </row>
    <row r="1888">
      <c r="A1888" s="7" t="n"/>
      <c r="B1888" s="4" t="n"/>
      <c r="C1888" s="4" t="n"/>
      <c r="D1888" s="4" t="n"/>
      <c r="E1888" s="4" t="n"/>
      <c r="F1888" s="6">
        <f>IF(B1888="","",IFERROR(INDEX(Products!$E:$E,MATCH(B1888,Products!$A:$A,0)),0))</f>
        <v/>
      </c>
      <c r="G1888" s="6">
        <f>IF(B1888="","",N(C1888)*N(F1888))</f>
        <v/>
      </c>
      <c r="H1888">
        <f>IF(B1888="","",IFERROR(INDEX(Products!$B:$B,MATCH(B1888,Products!$A:$A,0)),"SKU not found"))</f>
        <v/>
      </c>
    </row>
    <row r="1889">
      <c r="A1889" s="7" t="n"/>
      <c r="B1889" s="4" t="n"/>
      <c r="C1889" s="4" t="n"/>
      <c r="D1889" s="4" t="n"/>
      <c r="E1889" s="4" t="n"/>
      <c r="F1889" s="6">
        <f>IF(B1889="","",IFERROR(INDEX(Products!$E:$E,MATCH(B1889,Products!$A:$A,0)),0))</f>
        <v/>
      </c>
      <c r="G1889" s="6">
        <f>IF(B1889="","",N(C1889)*N(F1889))</f>
        <v/>
      </c>
      <c r="H1889">
        <f>IF(B1889="","",IFERROR(INDEX(Products!$B:$B,MATCH(B1889,Products!$A:$A,0)),"SKU not found"))</f>
        <v/>
      </c>
    </row>
    <row r="1890">
      <c r="A1890" s="7" t="n"/>
      <c r="B1890" s="4" t="n"/>
      <c r="C1890" s="4" t="n"/>
      <c r="D1890" s="4" t="n"/>
      <c r="E1890" s="4" t="n"/>
      <c r="F1890" s="6">
        <f>IF(B1890="","",IFERROR(INDEX(Products!$E:$E,MATCH(B1890,Products!$A:$A,0)),0))</f>
        <v/>
      </c>
      <c r="G1890" s="6">
        <f>IF(B1890="","",N(C1890)*N(F1890))</f>
        <v/>
      </c>
      <c r="H1890">
        <f>IF(B1890="","",IFERROR(INDEX(Products!$B:$B,MATCH(B1890,Products!$A:$A,0)),"SKU not found"))</f>
        <v/>
      </c>
    </row>
    <row r="1891">
      <c r="A1891" s="7" t="n"/>
      <c r="B1891" s="4" t="n"/>
      <c r="C1891" s="4" t="n"/>
      <c r="D1891" s="4" t="n"/>
      <c r="E1891" s="4" t="n"/>
      <c r="F1891" s="6">
        <f>IF(B1891="","",IFERROR(INDEX(Products!$E:$E,MATCH(B1891,Products!$A:$A,0)),0))</f>
        <v/>
      </c>
      <c r="G1891" s="6">
        <f>IF(B1891="","",N(C1891)*N(F1891))</f>
        <v/>
      </c>
      <c r="H1891">
        <f>IF(B1891="","",IFERROR(INDEX(Products!$B:$B,MATCH(B1891,Products!$A:$A,0)),"SKU not found"))</f>
        <v/>
      </c>
    </row>
    <row r="1892">
      <c r="A1892" s="7" t="n"/>
      <c r="B1892" s="4" t="n"/>
      <c r="C1892" s="4" t="n"/>
      <c r="D1892" s="4" t="n"/>
      <c r="E1892" s="4" t="n"/>
      <c r="F1892" s="6">
        <f>IF(B1892="","",IFERROR(INDEX(Products!$E:$E,MATCH(B1892,Products!$A:$A,0)),0))</f>
        <v/>
      </c>
      <c r="G1892" s="6">
        <f>IF(B1892="","",N(C1892)*N(F1892))</f>
        <v/>
      </c>
      <c r="H1892">
        <f>IF(B1892="","",IFERROR(INDEX(Products!$B:$B,MATCH(B1892,Products!$A:$A,0)),"SKU not found"))</f>
        <v/>
      </c>
    </row>
    <row r="1893">
      <c r="A1893" s="7" t="n"/>
      <c r="B1893" s="4" t="n"/>
      <c r="C1893" s="4" t="n"/>
      <c r="D1893" s="4" t="n"/>
      <c r="E1893" s="4" t="n"/>
      <c r="F1893" s="6">
        <f>IF(B1893="","",IFERROR(INDEX(Products!$E:$E,MATCH(B1893,Products!$A:$A,0)),0))</f>
        <v/>
      </c>
      <c r="G1893" s="6">
        <f>IF(B1893="","",N(C1893)*N(F1893))</f>
        <v/>
      </c>
      <c r="H1893">
        <f>IF(B1893="","",IFERROR(INDEX(Products!$B:$B,MATCH(B1893,Products!$A:$A,0)),"SKU not found"))</f>
        <v/>
      </c>
    </row>
    <row r="1894">
      <c r="A1894" s="7" t="n"/>
      <c r="B1894" s="4" t="n"/>
      <c r="C1894" s="4" t="n"/>
      <c r="D1894" s="4" t="n"/>
      <c r="E1894" s="4" t="n"/>
      <c r="F1894" s="6">
        <f>IF(B1894="","",IFERROR(INDEX(Products!$E:$E,MATCH(B1894,Products!$A:$A,0)),0))</f>
        <v/>
      </c>
      <c r="G1894" s="6">
        <f>IF(B1894="","",N(C1894)*N(F1894))</f>
        <v/>
      </c>
      <c r="H1894">
        <f>IF(B1894="","",IFERROR(INDEX(Products!$B:$B,MATCH(B1894,Products!$A:$A,0)),"SKU not found"))</f>
        <v/>
      </c>
    </row>
    <row r="1895">
      <c r="A1895" s="7" t="n"/>
      <c r="B1895" s="4" t="n"/>
      <c r="C1895" s="4" t="n"/>
      <c r="D1895" s="4" t="n"/>
      <c r="E1895" s="4" t="n"/>
      <c r="F1895" s="6">
        <f>IF(B1895="","",IFERROR(INDEX(Products!$E:$E,MATCH(B1895,Products!$A:$A,0)),0))</f>
        <v/>
      </c>
      <c r="G1895" s="6">
        <f>IF(B1895="","",N(C1895)*N(F1895))</f>
        <v/>
      </c>
      <c r="H1895">
        <f>IF(B1895="","",IFERROR(INDEX(Products!$B:$B,MATCH(B1895,Products!$A:$A,0)),"SKU not found"))</f>
        <v/>
      </c>
    </row>
    <row r="1896">
      <c r="A1896" s="7" t="n"/>
      <c r="B1896" s="4" t="n"/>
      <c r="C1896" s="4" t="n"/>
      <c r="D1896" s="4" t="n"/>
      <c r="E1896" s="4" t="n"/>
      <c r="F1896" s="6">
        <f>IF(B1896="","",IFERROR(INDEX(Products!$E:$E,MATCH(B1896,Products!$A:$A,0)),0))</f>
        <v/>
      </c>
      <c r="G1896" s="6">
        <f>IF(B1896="","",N(C1896)*N(F1896))</f>
        <v/>
      </c>
      <c r="H1896">
        <f>IF(B1896="","",IFERROR(INDEX(Products!$B:$B,MATCH(B1896,Products!$A:$A,0)),"SKU not found"))</f>
        <v/>
      </c>
    </row>
    <row r="1897">
      <c r="A1897" s="7" t="n"/>
      <c r="B1897" s="4" t="n"/>
      <c r="C1897" s="4" t="n"/>
      <c r="D1897" s="4" t="n"/>
      <c r="E1897" s="4" t="n"/>
      <c r="F1897" s="6">
        <f>IF(B1897="","",IFERROR(INDEX(Products!$E:$E,MATCH(B1897,Products!$A:$A,0)),0))</f>
        <v/>
      </c>
      <c r="G1897" s="6">
        <f>IF(B1897="","",N(C1897)*N(F1897))</f>
        <v/>
      </c>
      <c r="H1897">
        <f>IF(B1897="","",IFERROR(INDEX(Products!$B:$B,MATCH(B1897,Products!$A:$A,0)),"SKU not found"))</f>
        <v/>
      </c>
    </row>
    <row r="1898">
      <c r="A1898" s="7" t="n"/>
      <c r="B1898" s="4" t="n"/>
      <c r="C1898" s="4" t="n"/>
      <c r="D1898" s="4" t="n"/>
      <c r="E1898" s="4" t="n"/>
      <c r="F1898" s="6">
        <f>IF(B1898="","",IFERROR(INDEX(Products!$E:$E,MATCH(B1898,Products!$A:$A,0)),0))</f>
        <v/>
      </c>
      <c r="G1898" s="6">
        <f>IF(B1898="","",N(C1898)*N(F1898))</f>
        <v/>
      </c>
      <c r="H1898">
        <f>IF(B1898="","",IFERROR(INDEX(Products!$B:$B,MATCH(B1898,Products!$A:$A,0)),"SKU not found"))</f>
        <v/>
      </c>
    </row>
    <row r="1899">
      <c r="A1899" s="7" t="n"/>
      <c r="B1899" s="4" t="n"/>
      <c r="C1899" s="4" t="n"/>
      <c r="D1899" s="4" t="n"/>
      <c r="E1899" s="4" t="n"/>
      <c r="F1899" s="6">
        <f>IF(B1899="","",IFERROR(INDEX(Products!$E:$E,MATCH(B1899,Products!$A:$A,0)),0))</f>
        <v/>
      </c>
      <c r="G1899" s="6">
        <f>IF(B1899="","",N(C1899)*N(F1899))</f>
        <v/>
      </c>
      <c r="H1899">
        <f>IF(B1899="","",IFERROR(INDEX(Products!$B:$B,MATCH(B1899,Products!$A:$A,0)),"SKU not found"))</f>
        <v/>
      </c>
    </row>
    <row r="1900">
      <c r="A1900" s="7" t="n"/>
      <c r="B1900" s="4" t="n"/>
      <c r="C1900" s="4" t="n"/>
      <c r="D1900" s="4" t="n"/>
      <c r="E1900" s="4" t="n"/>
      <c r="F1900" s="6">
        <f>IF(B1900="","",IFERROR(INDEX(Products!$E:$E,MATCH(B1900,Products!$A:$A,0)),0))</f>
        <v/>
      </c>
      <c r="G1900" s="6">
        <f>IF(B1900="","",N(C1900)*N(F1900))</f>
        <v/>
      </c>
      <c r="H1900">
        <f>IF(B1900="","",IFERROR(INDEX(Products!$B:$B,MATCH(B1900,Products!$A:$A,0)),"SKU not found"))</f>
        <v/>
      </c>
    </row>
    <row r="1901">
      <c r="A1901" s="7" t="n"/>
      <c r="B1901" s="4" t="n"/>
      <c r="C1901" s="4" t="n"/>
      <c r="D1901" s="4" t="n"/>
      <c r="E1901" s="4" t="n"/>
      <c r="F1901" s="6">
        <f>IF(B1901="","",IFERROR(INDEX(Products!$E:$E,MATCH(B1901,Products!$A:$A,0)),0))</f>
        <v/>
      </c>
      <c r="G1901" s="6">
        <f>IF(B1901="","",N(C1901)*N(F1901))</f>
        <v/>
      </c>
      <c r="H1901">
        <f>IF(B1901="","",IFERROR(INDEX(Products!$B:$B,MATCH(B1901,Products!$A:$A,0)),"SKU not found"))</f>
        <v/>
      </c>
    </row>
    <row r="1902">
      <c r="A1902" s="7" t="n"/>
      <c r="B1902" s="4" t="n"/>
      <c r="C1902" s="4" t="n"/>
      <c r="D1902" s="4" t="n"/>
      <c r="E1902" s="4" t="n"/>
      <c r="F1902" s="6">
        <f>IF(B1902="","",IFERROR(INDEX(Products!$E:$E,MATCH(B1902,Products!$A:$A,0)),0))</f>
        <v/>
      </c>
      <c r="G1902" s="6">
        <f>IF(B1902="","",N(C1902)*N(F1902))</f>
        <v/>
      </c>
      <c r="H1902">
        <f>IF(B1902="","",IFERROR(INDEX(Products!$B:$B,MATCH(B1902,Products!$A:$A,0)),"SKU not found"))</f>
        <v/>
      </c>
    </row>
    <row r="1903">
      <c r="A1903" s="7" t="n"/>
      <c r="B1903" s="4" t="n"/>
      <c r="C1903" s="4" t="n"/>
      <c r="D1903" s="4" t="n"/>
      <c r="E1903" s="4" t="n"/>
      <c r="F1903" s="6">
        <f>IF(B1903="","",IFERROR(INDEX(Products!$E:$E,MATCH(B1903,Products!$A:$A,0)),0))</f>
        <v/>
      </c>
      <c r="G1903" s="6">
        <f>IF(B1903="","",N(C1903)*N(F1903))</f>
        <v/>
      </c>
      <c r="H1903">
        <f>IF(B1903="","",IFERROR(INDEX(Products!$B:$B,MATCH(B1903,Products!$A:$A,0)),"SKU not found"))</f>
        <v/>
      </c>
    </row>
    <row r="1904">
      <c r="A1904" s="7" t="n"/>
      <c r="B1904" s="4" t="n"/>
      <c r="C1904" s="4" t="n"/>
      <c r="D1904" s="4" t="n"/>
      <c r="E1904" s="4" t="n"/>
      <c r="F1904" s="6">
        <f>IF(B1904="","",IFERROR(INDEX(Products!$E:$E,MATCH(B1904,Products!$A:$A,0)),0))</f>
        <v/>
      </c>
      <c r="G1904" s="6">
        <f>IF(B1904="","",N(C1904)*N(F1904))</f>
        <v/>
      </c>
      <c r="H1904">
        <f>IF(B1904="","",IFERROR(INDEX(Products!$B:$B,MATCH(B1904,Products!$A:$A,0)),"SKU not found"))</f>
        <v/>
      </c>
    </row>
    <row r="1905">
      <c r="A1905" s="7" t="n"/>
      <c r="B1905" s="4" t="n"/>
      <c r="C1905" s="4" t="n"/>
      <c r="D1905" s="4" t="n"/>
      <c r="E1905" s="4" t="n"/>
      <c r="F1905" s="6">
        <f>IF(B1905="","",IFERROR(INDEX(Products!$E:$E,MATCH(B1905,Products!$A:$A,0)),0))</f>
        <v/>
      </c>
      <c r="G1905" s="6">
        <f>IF(B1905="","",N(C1905)*N(F1905))</f>
        <v/>
      </c>
      <c r="H1905">
        <f>IF(B1905="","",IFERROR(INDEX(Products!$B:$B,MATCH(B1905,Products!$A:$A,0)),"SKU not found"))</f>
        <v/>
      </c>
    </row>
    <row r="1906">
      <c r="A1906" s="7" t="n"/>
      <c r="B1906" s="4" t="n"/>
      <c r="C1906" s="4" t="n"/>
      <c r="D1906" s="4" t="n"/>
      <c r="E1906" s="4" t="n"/>
      <c r="F1906" s="6">
        <f>IF(B1906="","",IFERROR(INDEX(Products!$E:$E,MATCH(B1906,Products!$A:$A,0)),0))</f>
        <v/>
      </c>
      <c r="G1906" s="6">
        <f>IF(B1906="","",N(C1906)*N(F1906))</f>
        <v/>
      </c>
      <c r="H1906">
        <f>IF(B1906="","",IFERROR(INDEX(Products!$B:$B,MATCH(B1906,Products!$A:$A,0)),"SKU not found"))</f>
        <v/>
      </c>
    </row>
    <row r="1907">
      <c r="A1907" s="7" t="n"/>
      <c r="B1907" s="4" t="n"/>
      <c r="C1907" s="4" t="n"/>
      <c r="D1907" s="4" t="n"/>
      <c r="E1907" s="4" t="n"/>
      <c r="F1907" s="6">
        <f>IF(B1907="","",IFERROR(INDEX(Products!$E:$E,MATCH(B1907,Products!$A:$A,0)),0))</f>
        <v/>
      </c>
      <c r="G1907" s="6">
        <f>IF(B1907="","",N(C1907)*N(F1907))</f>
        <v/>
      </c>
      <c r="H1907">
        <f>IF(B1907="","",IFERROR(INDEX(Products!$B:$B,MATCH(B1907,Products!$A:$A,0)),"SKU not found"))</f>
        <v/>
      </c>
    </row>
    <row r="1908">
      <c r="A1908" s="7" t="n"/>
      <c r="B1908" s="4" t="n"/>
      <c r="C1908" s="4" t="n"/>
      <c r="D1908" s="4" t="n"/>
      <c r="E1908" s="4" t="n"/>
      <c r="F1908" s="6">
        <f>IF(B1908="","",IFERROR(INDEX(Products!$E:$E,MATCH(B1908,Products!$A:$A,0)),0))</f>
        <v/>
      </c>
      <c r="G1908" s="6">
        <f>IF(B1908="","",N(C1908)*N(F1908))</f>
        <v/>
      </c>
      <c r="H1908">
        <f>IF(B1908="","",IFERROR(INDEX(Products!$B:$B,MATCH(B1908,Products!$A:$A,0)),"SKU not found"))</f>
        <v/>
      </c>
    </row>
    <row r="1909">
      <c r="A1909" s="7" t="n"/>
      <c r="B1909" s="4" t="n"/>
      <c r="C1909" s="4" t="n"/>
      <c r="D1909" s="4" t="n"/>
      <c r="E1909" s="4" t="n"/>
      <c r="F1909" s="6">
        <f>IF(B1909="","",IFERROR(INDEX(Products!$E:$E,MATCH(B1909,Products!$A:$A,0)),0))</f>
        <v/>
      </c>
      <c r="G1909" s="6">
        <f>IF(B1909="","",N(C1909)*N(F1909))</f>
        <v/>
      </c>
      <c r="H1909">
        <f>IF(B1909="","",IFERROR(INDEX(Products!$B:$B,MATCH(B1909,Products!$A:$A,0)),"SKU not found"))</f>
        <v/>
      </c>
    </row>
    <row r="1910">
      <c r="A1910" s="7" t="n"/>
      <c r="B1910" s="4" t="n"/>
      <c r="C1910" s="4" t="n"/>
      <c r="D1910" s="4" t="n"/>
      <c r="E1910" s="4" t="n"/>
      <c r="F1910" s="6">
        <f>IF(B1910="","",IFERROR(INDEX(Products!$E:$E,MATCH(B1910,Products!$A:$A,0)),0))</f>
        <v/>
      </c>
      <c r="G1910" s="6">
        <f>IF(B1910="","",N(C1910)*N(F1910))</f>
        <v/>
      </c>
      <c r="H1910">
        <f>IF(B1910="","",IFERROR(INDEX(Products!$B:$B,MATCH(B1910,Products!$A:$A,0)),"SKU not found"))</f>
        <v/>
      </c>
    </row>
    <row r="1911">
      <c r="A1911" s="7" t="n"/>
      <c r="B1911" s="4" t="n"/>
      <c r="C1911" s="4" t="n"/>
      <c r="D1911" s="4" t="n"/>
      <c r="E1911" s="4" t="n"/>
      <c r="F1911" s="6">
        <f>IF(B1911="","",IFERROR(INDEX(Products!$E:$E,MATCH(B1911,Products!$A:$A,0)),0))</f>
        <v/>
      </c>
      <c r="G1911" s="6">
        <f>IF(B1911="","",N(C1911)*N(F1911))</f>
        <v/>
      </c>
      <c r="H1911">
        <f>IF(B1911="","",IFERROR(INDEX(Products!$B:$B,MATCH(B1911,Products!$A:$A,0)),"SKU not found"))</f>
        <v/>
      </c>
    </row>
    <row r="1912">
      <c r="A1912" s="7" t="n"/>
      <c r="B1912" s="4" t="n"/>
      <c r="C1912" s="4" t="n"/>
      <c r="D1912" s="4" t="n"/>
      <c r="E1912" s="4" t="n"/>
      <c r="F1912" s="6">
        <f>IF(B1912="","",IFERROR(INDEX(Products!$E:$E,MATCH(B1912,Products!$A:$A,0)),0))</f>
        <v/>
      </c>
      <c r="G1912" s="6">
        <f>IF(B1912="","",N(C1912)*N(F1912))</f>
        <v/>
      </c>
      <c r="H1912">
        <f>IF(B1912="","",IFERROR(INDEX(Products!$B:$B,MATCH(B1912,Products!$A:$A,0)),"SKU not found"))</f>
        <v/>
      </c>
    </row>
    <row r="1913">
      <c r="A1913" s="7" t="n"/>
      <c r="B1913" s="4" t="n"/>
      <c r="C1913" s="4" t="n"/>
      <c r="D1913" s="4" t="n"/>
      <c r="E1913" s="4" t="n"/>
      <c r="F1913" s="6">
        <f>IF(B1913="","",IFERROR(INDEX(Products!$E:$E,MATCH(B1913,Products!$A:$A,0)),0))</f>
        <v/>
      </c>
      <c r="G1913" s="6">
        <f>IF(B1913="","",N(C1913)*N(F1913))</f>
        <v/>
      </c>
      <c r="H1913">
        <f>IF(B1913="","",IFERROR(INDEX(Products!$B:$B,MATCH(B1913,Products!$A:$A,0)),"SKU not found"))</f>
        <v/>
      </c>
    </row>
    <row r="1914">
      <c r="A1914" s="7" t="n"/>
      <c r="B1914" s="4" t="n"/>
      <c r="C1914" s="4" t="n"/>
      <c r="D1914" s="4" t="n"/>
      <c r="E1914" s="4" t="n"/>
      <c r="F1914" s="6">
        <f>IF(B1914="","",IFERROR(INDEX(Products!$E:$E,MATCH(B1914,Products!$A:$A,0)),0))</f>
        <v/>
      </c>
      <c r="G1914" s="6">
        <f>IF(B1914="","",N(C1914)*N(F1914))</f>
        <v/>
      </c>
      <c r="H1914">
        <f>IF(B1914="","",IFERROR(INDEX(Products!$B:$B,MATCH(B1914,Products!$A:$A,0)),"SKU not found"))</f>
        <v/>
      </c>
    </row>
    <row r="1915">
      <c r="A1915" s="7" t="n"/>
      <c r="B1915" s="4" t="n"/>
      <c r="C1915" s="4" t="n"/>
      <c r="D1915" s="4" t="n"/>
      <c r="E1915" s="4" t="n"/>
      <c r="F1915" s="6">
        <f>IF(B1915="","",IFERROR(INDEX(Products!$E:$E,MATCH(B1915,Products!$A:$A,0)),0))</f>
        <v/>
      </c>
      <c r="G1915" s="6">
        <f>IF(B1915="","",N(C1915)*N(F1915))</f>
        <v/>
      </c>
      <c r="H1915">
        <f>IF(B1915="","",IFERROR(INDEX(Products!$B:$B,MATCH(B1915,Products!$A:$A,0)),"SKU not found"))</f>
        <v/>
      </c>
    </row>
    <row r="1916">
      <c r="A1916" s="7" t="n"/>
      <c r="B1916" s="4" t="n"/>
      <c r="C1916" s="4" t="n"/>
      <c r="D1916" s="4" t="n"/>
      <c r="E1916" s="4" t="n"/>
      <c r="F1916" s="6">
        <f>IF(B1916="","",IFERROR(INDEX(Products!$E:$E,MATCH(B1916,Products!$A:$A,0)),0))</f>
        <v/>
      </c>
      <c r="G1916" s="6">
        <f>IF(B1916="","",N(C1916)*N(F1916))</f>
        <v/>
      </c>
      <c r="H1916">
        <f>IF(B1916="","",IFERROR(INDEX(Products!$B:$B,MATCH(B1916,Products!$A:$A,0)),"SKU not found"))</f>
        <v/>
      </c>
    </row>
    <row r="1917">
      <c r="A1917" s="7" t="n"/>
      <c r="B1917" s="4" t="n"/>
      <c r="C1917" s="4" t="n"/>
      <c r="D1917" s="4" t="n"/>
      <c r="E1917" s="4" t="n"/>
      <c r="F1917" s="6">
        <f>IF(B1917="","",IFERROR(INDEX(Products!$E:$E,MATCH(B1917,Products!$A:$A,0)),0))</f>
        <v/>
      </c>
      <c r="G1917" s="6">
        <f>IF(B1917="","",N(C1917)*N(F1917))</f>
        <v/>
      </c>
      <c r="H1917">
        <f>IF(B1917="","",IFERROR(INDEX(Products!$B:$B,MATCH(B1917,Products!$A:$A,0)),"SKU not found"))</f>
        <v/>
      </c>
    </row>
    <row r="1918">
      <c r="A1918" s="7" t="n"/>
      <c r="B1918" s="4" t="n"/>
      <c r="C1918" s="4" t="n"/>
      <c r="D1918" s="4" t="n"/>
      <c r="E1918" s="4" t="n"/>
      <c r="F1918" s="6">
        <f>IF(B1918="","",IFERROR(INDEX(Products!$E:$E,MATCH(B1918,Products!$A:$A,0)),0))</f>
        <v/>
      </c>
      <c r="G1918" s="6">
        <f>IF(B1918="","",N(C1918)*N(F1918))</f>
        <v/>
      </c>
      <c r="H1918">
        <f>IF(B1918="","",IFERROR(INDEX(Products!$B:$B,MATCH(B1918,Products!$A:$A,0)),"SKU not found"))</f>
        <v/>
      </c>
    </row>
    <row r="1919">
      <c r="A1919" s="7" t="n"/>
      <c r="B1919" s="4" t="n"/>
      <c r="C1919" s="4" t="n"/>
      <c r="D1919" s="4" t="n"/>
      <c r="E1919" s="4" t="n"/>
      <c r="F1919" s="6">
        <f>IF(B1919="","",IFERROR(INDEX(Products!$E:$E,MATCH(B1919,Products!$A:$A,0)),0))</f>
        <v/>
      </c>
      <c r="G1919" s="6">
        <f>IF(B1919="","",N(C1919)*N(F1919))</f>
        <v/>
      </c>
      <c r="H1919">
        <f>IF(B1919="","",IFERROR(INDEX(Products!$B:$B,MATCH(B1919,Products!$A:$A,0)),"SKU not found"))</f>
        <v/>
      </c>
    </row>
    <row r="1920">
      <c r="A1920" s="7" t="n"/>
      <c r="B1920" s="4" t="n"/>
      <c r="C1920" s="4" t="n"/>
      <c r="D1920" s="4" t="n"/>
      <c r="E1920" s="4" t="n"/>
      <c r="F1920" s="6">
        <f>IF(B1920="","",IFERROR(INDEX(Products!$E:$E,MATCH(B1920,Products!$A:$A,0)),0))</f>
        <v/>
      </c>
      <c r="G1920" s="6">
        <f>IF(B1920="","",N(C1920)*N(F1920))</f>
        <v/>
      </c>
      <c r="H1920">
        <f>IF(B1920="","",IFERROR(INDEX(Products!$B:$B,MATCH(B1920,Products!$A:$A,0)),"SKU not found"))</f>
        <v/>
      </c>
    </row>
    <row r="1921">
      <c r="A1921" s="7" t="n"/>
      <c r="B1921" s="4" t="n"/>
      <c r="C1921" s="4" t="n"/>
      <c r="D1921" s="4" t="n"/>
      <c r="E1921" s="4" t="n"/>
      <c r="F1921" s="6">
        <f>IF(B1921="","",IFERROR(INDEX(Products!$E:$E,MATCH(B1921,Products!$A:$A,0)),0))</f>
        <v/>
      </c>
      <c r="G1921" s="6">
        <f>IF(B1921="","",N(C1921)*N(F1921))</f>
        <v/>
      </c>
      <c r="H1921">
        <f>IF(B1921="","",IFERROR(INDEX(Products!$B:$B,MATCH(B1921,Products!$A:$A,0)),"SKU not found"))</f>
        <v/>
      </c>
    </row>
    <row r="1922">
      <c r="A1922" s="7" t="n"/>
      <c r="B1922" s="4" t="n"/>
      <c r="C1922" s="4" t="n"/>
      <c r="D1922" s="4" t="n"/>
      <c r="E1922" s="4" t="n"/>
      <c r="F1922" s="6">
        <f>IF(B1922="","",IFERROR(INDEX(Products!$E:$E,MATCH(B1922,Products!$A:$A,0)),0))</f>
        <v/>
      </c>
      <c r="G1922" s="6">
        <f>IF(B1922="","",N(C1922)*N(F1922))</f>
        <v/>
      </c>
      <c r="H1922">
        <f>IF(B1922="","",IFERROR(INDEX(Products!$B:$B,MATCH(B1922,Products!$A:$A,0)),"SKU not found"))</f>
        <v/>
      </c>
    </row>
    <row r="1923">
      <c r="A1923" s="7" t="n"/>
      <c r="B1923" s="4" t="n"/>
      <c r="C1923" s="4" t="n"/>
      <c r="D1923" s="4" t="n"/>
      <c r="E1923" s="4" t="n"/>
      <c r="F1923" s="6">
        <f>IF(B1923="","",IFERROR(INDEX(Products!$E:$E,MATCH(B1923,Products!$A:$A,0)),0))</f>
        <v/>
      </c>
      <c r="G1923" s="6">
        <f>IF(B1923="","",N(C1923)*N(F1923))</f>
        <v/>
      </c>
      <c r="H1923">
        <f>IF(B1923="","",IFERROR(INDEX(Products!$B:$B,MATCH(B1923,Products!$A:$A,0)),"SKU not found"))</f>
        <v/>
      </c>
    </row>
    <row r="1924">
      <c r="A1924" s="7" t="n"/>
      <c r="B1924" s="4" t="n"/>
      <c r="C1924" s="4" t="n"/>
      <c r="D1924" s="4" t="n"/>
      <c r="E1924" s="4" t="n"/>
      <c r="F1924" s="6">
        <f>IF(B1924="","",IFERROR(INDEX(Products!$E:$E,MATCH(B1924,Products!$A:$A,0)),0))</f>
        <v/>
      </c>
      <c r="G1924" s="6">
        <f>IF(B1924="","",N(C1924)*N(F1924))</f>
        <v/>
      </c>
      <c r="H1924">
        <f>IF(B1924="","",IFERROR(INDEX(Products!$B:$B,MATCH(B1924,Products!$A:$A,0)),"SKU not found"))</f>
        <v/>
      </c>
    </row>
    <row r="1925">
      <c r="A1925" s="7" t="n"/>
      <c r="B1925" s="4" t="n"/>
      <c r="C1925" s="4" t="n"/>
      <c r="D1925" s="4" t="n"/>
      <c r="E1925" s="4" t="n"/>
      <c r="F1925" s="6">
        <f>IF(B1925="","",IFERROR(INDEX(Products!$E:$E,MATCH(B1925,Products!$A:$A,0)),0))</f>
        <v/>
      </c>
      <c r="G1925" s="6">
        <f>IF(B1925="","",N(C1925)*N(F1925))</f>
        <v/>
      </c>
      <c r="H1925">
        <f>IF(B1925="","",IFERROR(INDEX(Products!$B:$B,MATCH(B1925,Products!$A:$A,0)),"SKU not found"))</f>
        <v/>
      </c>
    </row>
    <row r="1926">
      <c r="A1926" s="7" t="n"/>
      <c r="B1926" s="4" t="n"/>
      <c r="C1926" s="4" t="n"/>
      <c r="D1926" s="4" t="n"/>
      <c r="E1926" s="4" t="n"/>
      <c r="F1926" s="6">
        <f>IF(B1926="","",IFERROR(INDEX(Products!$E:$E,MATCH(B1926,Products!$A:$A,0)),0))</f>
        <v/>
      </c>
      <c r="G1926" s="6">
        <f>IF(B1926="","",N(C1926)*N(F1926))</f>
        <v/>
      </c>
      <c r="H1926">
        <f>IF(B1926="","",IFERROR(INDEX(Products!$B:$B,MATCH(B1926,Products!$A:$A,0)),"SKU not found"))</f>
        <v/>
      </c>
    </row>
    <row r="1927">
      <c r="A1927" s="7" t="n"/>
      <c r="B1927" s="4" t="n"/>
      <c r="C1927" s="4" t="n"/>
      <c r="D1927" s="4" t="n"/>
      <c r="E1927" s="4" t="n"/>
      <c r="F1927" s="6">
        <f>IF(B1927="","",IFERROR(INDEX(Products!$E:$E,MATCH(B1927,Products!$A:$A,0)),0))</f>
        <v/>
      </c>
      <c r="G1927" s="6">
        <f>IF(B1927="","",N(C1927)*N(F1927))</f>
        <v/>
      </c>
      <c r="H1927">
        <f>IF(B1927="","",IFERROR(INDEX(Products!$B:$B,MATCH(B1927,Products!$A:$A,0)),"SKU not found"))</f>
        <v/>
      </c>
    </row>
    <row r="1928">
      <c r="A1928" s="7" t="n"/>
      <c r="B1928" s="4" t="n"/>
      <c r="C1928" s="4" t="n"/>
      <c r="D1928" s="4" t="n"/>
      <c r="E1928" s="4" t="n"/>
      <c r="F1928" s="6">
        <f>IF(B1928="","",IFERROR(INDEX(Products!$E:$E,MATCH(B1928,Products!$A:$A,0)),0))</f>
        <v/>
      </c>
      <c r="G1928" s="6">
        <f>IF(B1928="","",N(C1928)*N(F1928))</f>
        <v/>
      </c>
      <c r="H1928">
        <f>IF(B1928="","",IFERROR(INDEX(Products!$B:$B,MATCH(B1928,Products!$A:$A,0)),"SKU not found"))</f>
        <v/>
      </c>
    </row>
    <row r="1929">
      <c r="A1929" s="7" t="n"/>
      <c r="B1929" s="4" t="n"/>
      <c r="C1929" s="4" t="n"/>
      <c r="D1929" s="4" t="n"/>
      <c r="E1929" s="4" t="n"/>
      <c r="F1929" s="6">
        <f>IF(B1929="","",IFERROR(INDEX(Products!$E:$E,MATCH(B1929,Products!$A:$A,0)),0))</f>
        <v/>
      </c>
      <c r="G1929" s="6">
        <f>IF(B1929="","",N(C1929)*N(F1929))</f>
        <v/>
      </c>
      <c r="H1929">
        <f>IF(B1929="","",IFERROR(INDEX(Products!$B:$B,MATCH(B1929,Products!$A:$A,0)),"SKU not found"))</f>
        <v/>
      </c>
    </row>
    <row r="1930">
      <c r="A1930" s="7" t="n"/>
      <c r="B1930" s="4" t="n"/>
      <c r="C1930" s="4" t="n"/>
      <c r="D1930" s="4" t="n"/>
      <c r="E1930" s="4" t="n"/>
      <c r="F1930" s="6">
        <f>IF(B1930="","",IFERROR(INDEX(Products!$E:$E,MATCH(B1930,Products!$A:$A,0)),0))</f>
        <v/>
      </c>
      <c r="G1930" s="6">
        <f>IF(B1930="","",N(C1930)*N(F1930))</f>
        <v/>
      </c>
      <c r="H1930">
        <f>IF(B1930="","",IFERROR(INDEX(Products!$B:$B,MATCH(B1930,Products!$A:$A,0)),"SKU not found"))</f>
        <v/>
      </c>
    </row>
    <row r="1931">
      <c r="A1931" s="7" t="n"/>
      <c r="B1931" s="4" t="n"/>
      <c r="C1931" s="4" t="n"/>
      <c r="D1931" s="4" t="n"/>
      <c r="E1931" s="4" t="n"/>
      <c r="F1931" s="6">
        <f>IF(B1931="","",IFERROR(INDEX(Products!$E:$E,MATCH(B1931,Products!$A:$A,0)),0))</f>
        <v/>
      </c>
      <c r="G1931" s="6">
        <f>IF(B1931="","",N(C1931)*N(F1931))</f>
        <v/>
      </c>
      <c r="H1931">
        <f>IF(B1931="","",IFERROR(INDEX(Products!$B:$B,MATCH(B1931,Products!$A:$A,0)),"SKU not found"))</f>
        <v/>
      </c>
    </row>
    <row r="1932">
      <c r="A1932" s="7" t="n"/>
      <c r="B1932" s="4" t="n"/>
      <c r="C1932" s="4" t="n"/>
      <c r="D1932" s="4" t="n"/>
      <c r="E1932" s="4" t="n"/>
      <c r="F1932" s="6">
        <f>IF(B1932="","",IFERROR(INDEX(Products!$E:$E,MATCH(B1932,Products!$A:$A,0)),0))</f>
        <v/>
      </c>
      <c r="G1932" s="6">
        <f>IF(B1932="","",N(C1932)*N(F1932))</f>
        <v/>
      </c>
      <c r="H1932">
        <f>IF(B1932="","",IFERROR(INDEX(Products!$B:$B,MATCH(B1932,Products!$A:$A,0)),"SKU not found"))</f>
        <v/>
      </c>
    </row>
    <row r="1933">
      <c r="A1933" s="7" t="n"/>
      <c r="B1933" s="4" t="n"/>
      <c r="C1933" s="4" t="n"/>
      <c r="D1933" s="4" t="n"/>
      <c r="E1933" s="4" t="n"/>
      <c r="F1933" s="6">
        <f>IF(B1933="","",IFERROR(INDEX(Products!$E:$E,MATCH(B1933,Products!$A:$A,0)),0))</f>
        <v/>
      </c>
      <c r="G1933" s="6">
        <f>IF(B1933="","",N(C1933)*N(F1933))</f>
        <v/>
      </c>
      <c r="H1933">
        <f>IF(B1933="","",IFERROR(INDEX(Products!$B:$B,MATCH(B1933,Products!$A:$A,0)),"SKU not found"))</f>
        <v/>
      </c>
    </row>
    <row r="1934">
      <c r="A1934" s="7" t="n"/>
      <c r="B1934" s="4" t="n"/>
      <c r="C1934" s="4" t="n"/>
      <c r="D1934" s="4" t="n"/>
      <c r="E1934" s="4" t="n"/>
      <c r="F1934" s="6">
        <f>IF(B1934="","",IFERROR(INDEX(Products!$E:$E,MATCH(B1934,Products!$A:$A,0)),0))</f>
        <v/>
      </c>
      <c r="G1934" s="6">
        <f>IF(B1934="","",N(C1934)*N(F1934))</f>
        <v/>
      </c>
      <c r="H1934">
        <f>IF(B1934="","",IFERROR(INDEX(Products!$B:$B,MATCH(B1934,Products!$A:$A,0)),"SKU not found"))</f>
        <v/>
      </c>
    </row>
    <row r="1935">
      <c r="A1935" s="7" t="n"/>
      <c r="B1935" s="4" t="n"/>
      <c r="C1935" s="4" t="n"/>
      <c r="D1935" s="4" t="n"/>
      <c r="E1935" s="4" t="n"/>
      <c r="F1935" s="6">
        <f>IF(B1935="","",IFERROR(INDEX(Products!$E:$E,MATCH(B1935,Products!$A:$A,0)),0))</f>
        <v/>
      </c>
      <c r="G1935" s="6">
        <f>IF(B1935="","",N(C1935)*N(F1935))</f>
        <v/>
      </c>
      <c r="H1935">
        <f>IF(B1935="","",IFERROR(INDEX(Products!$B:$B,MATCH(B1935,Products!$A:$A,0)),"SKU not found"))</f>
        <v/>
      </c>
    </row>
    <row r="1936">
      <c r="A1936" s="7" t="n"/>
      <c r="B1936" s="4" t="n"/>
      <c r="C1936" s="4" t="n"/>
      <c r="D1936" s="4" t="n"/>
      <c r="E1936" s="4" t="n"/>
      <c r="F1936" s="6">
        <f>IF(B1936="","",IFERROR(INDEX(Products!$E:$E,MATCH(B1936,Products!$A:$A,0)),0))</f>
        <v/>
      </c>
      <c r="G1936" s="6">
        <f>IF(B1936="","",N(C1936)*N(F1936))</f>
        <v/>
      </c>
      <c r="H1936">
        <f>IF(B1936="","",IFERROR(INDEX(Products!$B:$B,MATCH(B1936,Products!$A:$A,0)),"SKU not found"))</f>
        <v/>
      </c>
    </row>
    <row r="1937">
      <c r="A1937" s="7" t="n"/>
      <c r="B1937" s="4" t="n"/>
      <c r="C1937" s="4" t="n"/>
      <c r="D1937" s="4" t="n"/>
      <c r="E1937" s="4" t="n"/>
      <c r="F1937" s="6">
        <f>IF(B1937="","",IFERROR(INDEX(Products!$E:$E,MATCH(B1937,Products!$A:$A,0)),0))</f>
        <v/>
      </c>
      <c r="G1937" s="6">
        <f>IF(B1937="","",N(C1937)*N(F1937))</f>
        <v/>
      </c>
      <c r="H1937">
        <f>IF(B1937="","",IFERROR(INDEX(Products!$B:$B,MATCH(B1937,Products!$A:$A,0)),"SKU not found"))</f>
        <v/>
      </c>
    </row>
    <row r="1938">
      <c r="A1938" s="7" t="n"/>
      <c r="B1938" s="4" t="n"/>
      <c r="C1938" s="4" t="n"/>
      <c r="D1938" s="4" t="n"/>
      <c r="E1938" s="4" t="n"/>
      <c r="F1938" s="6">
        <f>IF(B1938="","",IFERROR(INDEX(Products!$E:$E,MATCH(B1938,Products!$A:$A,0)),0))</f>
        <v/>
      </c>
      <c r="G1938" s="6">
        <f>IF(B1938="","",N(C1938)*N(F1938))</f>
        <v/>
      </c>
      <c r="H1938">
        <f>IF(B1938="","",IFERROR(INDEX(Products!$B:$B,MATCH(B1938,Products!$A:$A,0)),"SKU not found"))</f>
        <v/>
      </c>
    </row>
    <row r="1939">
      <c r="A1939" s="7" t="n"/>
      <c r="B1939" s="4" t="n"/>
      <c r="C1939" s="4" t="n"/>
      <c r="D1939" s="4" t="n"/>
      <c r="E1939" s="4" t="n"/>
      <c r="F1939" s="6">
        <f>IF(B1939="","",IFERROR(INDEX(Products!$E:$E,MATCH(B1939,Products!$A:$A,0)),0))</f>
        <v/>
      </c>
      <c r="G1939" s="6">
        <f>IF(B1939="","",N(C1939)*N(F1939))</f>
        <v/>
      </c>
      <c r="H1939">
        <f>IF(B1939="","",IFERROR(INDEX(Products!$B:$B,MATCH(B1939,Products!$A:$A,0)),"SKU not found"))</f>
        <v/>
      </c>
    </row>
    <row r="1940">
      <c r="A1940" s="7" t="n"/>
      <c r="B1940" s="4" t="n"/>
      <c r="C1940" s="4" t="n"/>
      <c r="D1940" s="4" t="n"/>
      <c r="E1940" s="4" t="n"/>
      <c r="F1940" s="6">
        <f>IF(B1940="","",IFERROR(INDEX(Products!$E:$E,MATCH(B1940,Products!$A:$A,0)),0))</f>
        <v/>
      </c>
      <c r="G1940" s="6">
        <f>IF(B1940="","",N(C1940)*N(F1940))</f>
        <v/>
      </c>
      <c r="H1940">
        <f>IF(B1940="","",IFERROR(INDEX(Products!$B:$B,MATCH(B1940,Products!$A:$A,0)),"SKU not found"))</f>
        <v/>
      </c>
    </row>
    <row r="1941">
      <c r="A1941" s="7" t="n"/>
      <c r="B1941" s="4" t="n"/>
      <c r="C1941" s="4" t="n"/>
      <c r="D1941" s="4" t="n"/>
      <c r="E1941" s="4" t="n"/>
      <c r="F1941" s="6">
        <f>IF(B1941="","",IFERROR(INDEX(Products!$E:$E,MATCH(B1941,Products!$A:$A,0)),0))</f>
        <v/>
      </c>
      <c r="G1941" s="6">
        <f>IF(B1941="","",N(C1941)*N(F1941))</f>
        <v/>
      </c>
      <c r="H1941">
        <f>IF(B1941="","",IFERROR(INDEX(Products!$B:$B,MATCH(B1941,Products!$A:$A,0)),"SKU not found"))</f>
        <v/>
      </c>
    </row>
    <row r="1942">
      <c r="A1942" s="7" t="n"/>
      <c r="B1942" s="4" t="n"/>
      <c r="C1942" s="4" t="n"/>
      <c r="D1942" s="4" t="n"/>
      <c r="E1942" s="4" t="n"/>
      <c r="F1942" s="6">
        <f>IF(B1942="","",IFERROR(INDEX(Products!$E:$E,MATCH(B1942,Products!$A:$A,0)),0))</f>
        <v/>
      </c>
      <c r="G1942" s="6">
        <f>IF(B1942="","",N(C1942)*N(F1942))</f>
        <v/>
      </c>
      <c r="H1942">
        <f>IF(B1942="","",IFERROR(INDEX(Products!$B:$B,MATCH(B1942,Products!$A:$A,0)),"SKU not found"))</f>
        <v/>
      </c>
    </row>
    <row r="1943">
      <c r="A1943" s="7" t="n"/>
      <c r="B1943" s="4" t="n"/>
      <c r="C1943" s="4" t="n"/>
      <c r="D1943" s="4" t="n"/>
      <c r="E1943" s="4" t="n"/>
      <c r="F1943" s="6">
        <f>IF(B1943="","",IFERROR(INDEX(Products!$E:$E,MATCH(B1943,Products!$A:$A,0)),0))</f>
        <v/>
      </c>
      <c r="G1943" s="6">
        <f>IF(B1943="","",N(C1943)*N(F1943))</f>
        <v/>
      </c>
      <c r="H1943">
        <f>IF(B1943="","",IFERROR(INDEX(Products!$B:$B,MATCH(B1943,Products!$A:$A,0)),"SKU not found"))</f>
        <v/>
      </c>
    </row>
    <row r="1944">
      <c r="A1944" s="7" t="n"/>
      <c r="B1944" s="4" t="n"/>
      <c r="C1944" s="4" t="n"/>
      <c r="D1944" s="4" t="n"/>
      <c r="E1944" s="4" t="n"/>
      <c r="F1944" s="6">
        <f>IF(B1944="","",IFERROR(INDEX(Products!$E:$E,MATCH(B1944,Products!$A:$A,0)),0))</f>
        <v/>
      </c>
      <c r="G1944" s="6">
        <f>IF(B1944="","",N(C1944)*N(F1944))</f>
        <v/>
      </c>
      <c r="H1944">
        <f>IF(B1944="","",IFERROR(INDEX(Products!$B:$B,MATCH(B1944,Products!$A:$A,0)),"SKU not found"))</f>
        <v/>
      </c>
    </row>
    <row r="1945">
      <c r="A1945" s="7" t="n"/>
      <c r="B1945" s="4" t="n"/>
      <c r="C1945" s="4" t="n"/>
      <c r="D1945" s="4" t="n"/>
      <c r="E1945" s="4" t="n"/>
      <c r="F1945" s="6">
        <f>IF(B1945="","",IFERROR(INDEX(Products!$E:$E,MATCH(B1945,Products!$A:$A,0)),0))</f>
        <v/>
      </c>
      <c r="G1945" s="6">
        <f>IF(B1945="","",N(C1945)*N(F1945))</f>
        <v/>
      </c>
      <c r="H1945">
        <f>IF(B1945="","",IFERROR(INDEX(Products!$B:$B,MATCH(B1945,Products!$A:$A,0)),"SKU not found"))</f>
        <v/>
      </c>
    </row>
    <row r="1946">
      <c r="A1946" s="7" t="n"/>
      <c r="B1946" s="4" t="n"/>
      <c r="C1946" s="4" t="n"/>
      <c r="D1946" s="4" t="n"/>
      <c r="E1946" s="4" t="n"/>
      <c r="F1946" s="6">
        <f>IF(B1946="","",IFERROR(INDEX(Products!$E:$E,MATCH(B1946,Products!$A:$A,0)),0))</f>
        <v/>
      </c>
      <c r="G1946" s="6">
        <f>IF(B1946="","",N(C1946)*N(F1946))</f>
        <v/>
      </c>
      <c r="H1946">
        <f>IF(B1946="","",IFERROR(INDEX(Products!$B:$B,MATCH(B1946,Products!$A:$A,0)),"SKU not found"))</f>
        <v/>
      </c>
    </row>
    <row r="1947">
      <c r="A1947" s="7" t="n"/>
      <c r="B1947" s="4" t="n"/>
      <c r="C1947" s="4" t="n"/>
      <c r="D1947" s="4" t="n"/>
      <c r="E1947" s="4" t="n"/>
      <c r="F1947" s="6">
        <f>IF(B1947="","",IFERROR(INDEX(Products!$E:$E,MATCH(B1947,Products!$A:$A,0)),0))</f>
        <v/>
      </c>
      <c r="G1947" s="6">
        <f>IF(B1947="","",N(C1947)*N(F1947))</f>
        <v/>
      </c>
      <c r="H1947">
        <f>IF(B1947="","",IFERROR(INDEX(Products!$B:$B,MATCH(B1947,Products!$A:$A,0)),"SKU not found"))</f>
        <v/>
      </c>
    </row>
    <row r="1948">
      <c r="A1948" s="7" t="n"/>
      <c r="B1948" s="4" t="n"/>
      <c r="C1948" s="4" t="n"/>
      <c r="D1948" s="4" t="n"/>
      <c r="E1948" s="4" t="n"/>
      <c r="F1948" s="6">
        <f>IF(B1948="","",IFERROR(INDEX(Products!$E:$E,MATCH(B1948,Products!$A:$A,0)),0))</f>
        <v/>
      </c>
      <c r="G1948" s="6">
        <f>IF(B1948="","",N(C1948)*N(F1948))</f>
        <v/>
      </c>
      <c r="H1948">
        <f>IF(B1948="","",IFERROR(INDEX(Products!$B:$B,MATCH(B1948,Products!$A:$A,0)),"SKU not found"))</f>
        <v/>
      </c>
    </row>
    <row r="1949">
      <c r="A1949" s="7" t="n"/>
      <c r="B1949" s="4" t="n"/>
      <c r="C1949" s="4" t="n"/>
      <c r="D1949" s="4" t="n"/>
      <c r="E1949" s="4" t="n"/>
      <c r="F1949" s="6">
        <f>IF(B1949="","",IFERROR(INDEX(Products!$E:$E,MATCH(B1949,Products!$A:$A,0)),0))</f>
        <v/>
      </c>
      <c r="G1949" s="6">
        <f>IF(B1949="","",N(C1949)*N(F1949))</f>
        <v/>
      </c>
      <c r="H1949">
        <f>IF(B1949="","",IFERROR(INDEX(Products!$B:$B,MATCH(B1949,Products!$A:$A,0)),"SKU not found"))</f>
        <v/>
      </c>
    </row>
    <row r="1950">
      <c r="A1950" s="7" t="n"/>
      <c r="B1950" s="4" t="n"/>
      <c r="C1950" s="4" t="n"/>
      <c r="D1950" s="4" t="n"/>
      <c r="E1950" s="4" t="n"/>
      <c r="F1950" s="6">
        <f>IF(B1950="","",IFERROR(INDEX(Products!$E:$E,MATCH(B1950,Products!$A:$A,0)),0))</f>
        <v/>
      </c>
      <c r="G1950" s="6">
        <f>IF(B1950="","",N(C1950)*N(F1950))</f>
        <v/>
      </c>
      <c r="H1950">
        <f>IF(B1950="","",IFERROR(INDEX(Products!$B:$B,MATCH(B1950,Products!$A:$A,0)),"SKU not found"))</f>
        <v/>
      </c>
    </row>
    <row r="1951">
      <c r="A1951" s="7" t="n"/>
      <c r="B1951" s="4" t="n"/>
      <c r="C1951" s="4" t="n"/>
      <c r="D1951" s="4" t="n"/>
      <c r="E1951" s="4" t="n"/>
      <c r="F1951" s="6">
        <f>IF(B1951="","",IFERROR(INDEX(Products!$E:$E,MATCH(B1951,Products!$A:$A,0)),0))</f>
        <v/>
      </c>
      <c r="G1951" s="6">
        <f>IF(B1951="","",N(C1951)*N(F1951))</f>
        <v/>
      </c>
      <c r="H1951">
        <f>IF(B1951="","",IFERROR(INDEX(Products!$B:$B,MATCH(B1951,Products!$A:$A,0)),"SKU not found"))</f>
        <v/>
      </c>
    </row>
    <row r="1952">
      <c r="A1952" s="7" t="n"/>
      <c r="B1952" s="4" t="n"/>
      <c r="C1952" s="4" t="n"/>
      <c r="D1952" s="4" t="n"/>
      <c r="E1952" s="4" t="n"/>
      <c r="F1952" s="6">
        <f>IF(B1952="","",IFERROR(INDEX(Products!$E:$E,MATCH(B1952,Products!$A:$A,0)),0))</f>
        <v/>
      </c>
      <c r="G1952" s="6">
        <f>IF(B1952="","",N(C1952)*N(F1952))</f>
        <v/>
      </c>
      <c r="H1952">
        <f>IF(B1952="","",IFERROR(INDEX(Products!$B:$B,MATCH(B1952,Products!$A:$A,0)),"SKU not found"))</f>
        <v/>
      </c>
    </row>
    <row r="1953">
      <c r="A1953" s="7" t="n"/>
      <c r="B1953" s="4" t="n"/>
      <c r="C1953" s="4" t="n"/>
      <c r="D1953" s="4" t="n"/>
      <c r="E1953" s="4" t="n"/>
      <c r="F1953" s="6">
        <f>IF(B1953="","",IFERROR(INDEX(Products!$E:$E,MATCH(B1953,Products!$A:$A,0)),0))</f>
        <v/>
      </c>
      <c r="G1953" s="6">
        <f>IF(B1953="","",N(C1953)*N(F1953))</f>
        <v/>
      </c>
      <c r="H1953">
        <f>IF(B1953="","",IFERROR(INDEX(Products!$B:$B,MATCH(B1953,Products!$A:$A,0)),"SKU not found"))</f>
        <v/>
      </c>
    </row>
    <row r="1954">
      <c r="A1954" s="7" t="n"/>
      <c r="B1954" s="4" t="n"/>
      <c r="C1954" s="4" t="n"/>
      <c r="D1954" s="4" t="n"/>
      <c r="E1954" s="4" t="n"/>
      <c r="F1954" s="6">
        <f>IF(B1954="","",IFERROR(INDEX(Products!$E:$E,MATCH(B1954,Products!$A:$A,0)),0))</f>
        <v/>
      </c>
      <c r="G1954" s="6">
        <f>IF(B1954="","",N(C1954)*N(F1954))</f>
        <v/>
      </c>
      <c r="H1954">
        <f>IF(B1954="","",IFERROR(INDEX(Products!$B:$B,MATCH(B1954,Products!$A:$A,0)),"SKU not found"))</f>
        <v/>
      </c>
    </row>
    <row r="1955">
      <c r="A1955" s="7" t="n"/>
      <c r="B1955" s="4" t="n"/>
      <c r="C1955" s="4" t="n"/>
      <c r="D1955" s="4" t="n"/>
      <c r="E1955" s="4" t="n"/>
      <c r="F1955" s="6">
        <f>IF(B1955="","",IFERROR(INDEX(Products!$E:$E,MATCH(B1955,Products!$A:$A,0)),0))</f>
        <v/>
      </c>
      <c r="G1955" s="6">
        <f>IF(B1955="","",N(C1955)*N(F1955))</f>
        <v/>
      </c>
      <c r="H1955">
        <f>IF(B1955="","",IFERROR(INDEX(Products!$B:$B,MATCH(B1955,Products!$A:$A,0)),"SKU not found"))</f>
        <v/>
      </c>
    </row>
    <row r="1956">
      <c r="A1956" s="7" t="n"/>
      <c r="B1956" s="4" t="n"/>
      <c r="C1956" s="4" t="n"/>
      <c r="D1956" s="4" t="n"/>
      <c r="E1956" s="4" t="n"/>
      <c r="F1956" s="6">
        <f>IF(B1956="","",IFERROR(INDEX(Products!$E:$E,MATCH(B1956,Products!$A:$A,0)),0))</f>
        <v/>
      </c>
      <c r="G1956" s="6">
        <f>IF(B1956="","",N(C1956)*N(F1956))</f>
        <v/>
      </c>
      <c r="H1956">
        <f>IF(B1956="","",IFERROR(INDEX(Products!$B:$B,MATCH(B1956,Products!$A:$A,0)),"SKU not found"))</f>
        <v/>
      </c>
    </row>
    <row r="1957">
      <c r="A1957" s="7" t="n"/>
      <c r="B1957" s="4" t="n"/>
      <c r="C1957" s="4" t="n"/>
      <c r="D1957" s="4" t="n"/>
      <c r="E1957" s="4" t="n"/>
      <c r="F1957" s="6">
        <f>IF(B1957="","",IFERROR(INDEX(Products!$E:$E,MATCH(B1957,Products!$A:$A,0)),0))</f>
        <v/>
      </c>
      <c r="G1957" s="6">
        <f>IF(B1957="","",N(C1957)*N(F1957))</f>
        <v/>
      </c>
      <c r="H1957">
        <f>IF(B1957="","",IFERROR(INDEX(Products!$B:$B,MATCH(B1957,Products!$A:$A,0)),"SKU not found"))</f>
        <v/>
      </c>
    </row>
    <row r="1958">
      <c r="A1958" s="7" t="n"/>
      <c r="B1958" s="4" t="n"/>
      <c r="C1958" s="4" t="n"/>
      <c r="D1958" s="4" t="n"/>
      <c r="E1958" s="4" t="n"/>
      <c r="F1958" s="6">
        <f>IF(B1958="","",IFERROR(INDEX(Products!$E:$E,MATCH(B1958,Products!$A:$A,0)),0))</f>
        <v/>
      </c>
      <c r="G1958" s="6">
        <f>IF(B1958="","",N(C1958)*N(F1958))</f>
        <v/>
      </c>
      <c r="H1958">
        <f>IF(B1958="","",IFERROR(INDEX(Products!$B:$B,MATCH(B1958,Products!$A:$A,0)),"SKU not found"))</f>
        <v/>
      </c>
    </row>
    <row r="1959">
      <c r="A1959" s="7" t="n"/>
      <c r="B1959" s="4" t="n"/>
      <c r="C1959" s="4" t="n"/>
      <c r="D1959" s="4" t="n"/>
      <c r="E1959" s="4" t="n"/>
      <c r="F1959" s="6">
        <f>IF(B1959="","",IFERROR(INDEX(Products!$E:$E,MATCH(B1959,Products!$A:$A,0)),0))</f>
        <v/>
      </c>
      <c r="G1959" s="6">
        <f>IF(B1959="","",N(C1959)*N(F1959))</f>
        <v/>
      </c>
      <c r="H1959">
        <f>IF(B1959="","",IFERROR(INDEX(Products!$B:$B,MATCH(B1959,Products!$A:$A,0)),"SKU not found"))</f>
        <v/>
      </c>
    </row>
    <row r="1960">
      <c r="A1960" s="7" t="n"/>
      <c r="B1960" s="4" t="n"/>
      <c r="C1960" s="4" t="n"/>
      <c r="D1960" s="4" t="n"/>
      <c r="E1960" s="4" t="n"/>
      <c r="F1960" s="6">
        <f>IF(B1960="","",IFERROR(INDEX(Products!$E:$E,MATCH(B1960,Products!$A:$A,0)),0))</f>
        <v/>
      </c>
      <c r="G1960" s="6">
        <f>IF(B1960="","",N(C1960)*N(F1960))</f>
        <v/>
      </c>
      <c r="H1960">
        <f>IF(B1960="","",IFERROR(INDEX(Products!$B:$B,MATCH(B1960,Products!$A:$A,0)),"SKU not found"))</f>
        <v/>
      </c>
    </row>
    <row r="1961">
      <c r="A1961" s="7" t="n"/>
      <c r="B1961" s="4" t="n"/>
      <c r="C1961" s="4" t="n"/>
      <c r="D1961" s="4" t="n"/>
      <c r="E1961" s="4" t="n"/>
      <c r="F1961" s="6">
        <f>IF(B1961="","",IFERROR(INDEX(Products!$E:$E,MATCH(B1961,Products!$A:$A,0)),0))</f>
        <v/>
      </c>
      <c r="G1961" s="6">
        <f>IF(B1961="","",N(C1961)*N(F1961))</f>
        <v/>
      </c>
      <c r="H1961">
        <f>IF(B1961="","",IFERROR(INDEX(Products!$B:$B,MATCH(B1961,Products!$A:$A,0)),"SKU not found"))</f>
        <v/>
      </c>
    </row>
    <row r="1962">
      <c r="A1962" s="7" t="n"/>
      <c r="B1962" s="4" t="n"/>
      <c r="C1962" s="4" t="n"/>
      <c r="D1962" s="4" t="n"/>
      <c r="E1962" s="4" t="n"/>
      <c r="F1962" s="6">
        <f>IF(B1962="","",IFERROR(INDEX(Products!$E:$E,MATCH(B1962,Products!$A:$A,0)),0))</f>
        <v/>
      </c>
      <c r="G1962" s="6">
        <f>IF(B1962="","",N(C1962)*N(F1962))</f>
        <v/>
      </c>
      <c r="H1962">
        <f>IF(B1962="","",IFERROR(INDEX(Products!$B:$B,MATCH(B1962,Products!$A:$A,0)),"SKU not found"))</f>
        <v/>
      </c>
    </row>
    <row r="1963">
      <c r="A1963" s="7" t="n"/>
      <c r="B1963" s="4" t="n"/>
      <c r="C1963" s="4" t="n"/>
      <c r="D1963" s="4" t="n"/>
      <c r="E1963" s="4" t="n"/>
      <c r="F1963" s="6">
        <f>IF(B1963="","",IFERROR(INDEX(Products!$E:$E,MATCH(B1963,Products!$A:$A,0)),0))</f>
        <v/>
      </c>
      <c r="G1963" s="6">
        <f>IF(B1963="","",N(C1963)*N(F1963))</f>
        <v/>
      </c>
      <c r="H1963">
        <f>IF(B1963="","",IFERROR(INDEX(Products!$B:$B,MATCH(B1963,Products!$A:$A,0)),"SKU not found"))</f>
        <v/>
      </c>
    </row>
    <row r="1964">
      <c r="A1964" s="7" t="n"/>
      <c r="B1964" s="4" t="n"/>
      <c r="C1964" s="4" t="n"/>
      <c r="D1964" s="4" t="n"/>
      <c r="E1964" s="4" t="n"/>
      <c r="F1964" s="6">
        <f>IF(B1964="","",IFERROR(INDEX(Products!$E:$E,MATCH(B1964,Products!$A:$A,0)),0))</f>
        <v/>
      </c>
      <c r="G1964" s="6">
        <f>IF(B1964="","",N(C1964)*N(F1964))</f>
        <v/>
      </c>
      <c r="H1964">
        <f>IF(B1964="","",IFERROR(INDEX(Products!$B:$B,MATCH(B1964,Products!$A:$A,0)),"SKU not found"))</f>
        <v/>
      </c>
    </row>
    <row r="1965">
      <c r="A1965" s="7" t="n"/>
      <c r="B1965" s="4" t="n"/>
      <c r="C1965" s="4" t="n"/>
      <c r="D1965" s="4" t="n"/>
      <c r="E1965" s="4" t="n"/>
      <c r="F1965" s="6">
        <f>IF(B1965="","",IFERROR(INDEX(Products!$E:$E,MATCH(B1965,Products!$A:$A,0)),0))</f>
        <v/>
      </c>
      <c r="G1965" s="6">
        <f>IF(B1965="","",N(C1965)*N(F1965))</f>
        <v/>
      </c>
      <c r="H1965">
        <f>IF(B1965="","",IFERROR(INDEX(Products!$B:$B,MATCH(B1965,Products!$A:$A,0)),"SKU not found"))</f>
        <v/>
      </c>
    </row>
    <row r="1966">
      <c r="A1966" s="7" t="n"/>
      <c r="B1966" s="4" t="n"/>
      <c r="C1966" s="4" t="n"/>
      <c r="D1966" s="4" t="n"/>
      <c r="E1966" s="4" t="n"/>
      <c r="F1966" s="6">
        <f>IF(B1966="","",IFERROR(INDEX(Products!$E:$E,MATCH(B1966,Products!$A:$A,0)),0))</f>
        <v/>
      </c>
      <c r="G1966" s="6">
        <f>IF(B1966="","",N(C1966)*N(F1966))</f>
        <v/>
      </c>
      <c r="H1966">
        <f>IF(B1966="","",IFERROR(INDEX(Products!$B:$B,MATCH(B1966,Products!$A:$A,0)),"SKU not found"))</f>
        <v/>
      </c>
    </row>
    <row r="1967">
      <c r="A1967" s="7" t="n"/>
      <c r="B1967" s="4" t="n"/>
      <c r="C1967" s="4" t="n"/>
      <c r="D1967" s="4" t="n"/>
      <c r="E1967" s="4" t="n"/>
      <c r="F1967" s="6">
        <f>IF(B1967="","",IFERROR(INDEX(Products!$E:$E,MATCH(B1967,Products!$A:$A,0)),0))</f>
        <v/>
      </c>
      <c r="G1967" s="6">
        <f>IF(B1967="","",N(C1967)*N(F1967))</f>
        <v/>
      </c>
      <c r="H1967">
        <f>IF(B1967="","",IFERROR(INDEX(Products!$B:$B,MATCH(B1967,Products!$A:$A,0)),"SKU not found"))</f>
        <v/>
      </c>
    </row>
    <row r="1968">
      <c r="A1968" s="7" t="n"/>
      <c r="B1968" s="4" t="n"/>
      <c r="C1968" s="4" t="n"/>
      <c r="D1968" s="4" t="n"/>
      <c r="E1968" s="4" t="n"/>
      <c r="F1968" s="6">
        <f>IF(B1968="","",IFERROR(INDEX(Products!$E:$E,MATCH(B1968,Products!$A:$A,0)),0))</f>
        <v/>
      </c>
      <c r="G1968" s="6">
        <f>IF(B1968="","",N(C1968)*N(F1968))</f>
        <v/>
      </c>
      <c r="H1968">
        <f>IF(B1968="","",IFERROR(INDEX(Products!$B:$B,MATCH(B1968,Products!$A:$A,0)),"SKU not found"))</f>
        <v/>
      </c>
    </row>
    <row r="1969">
      <c r="A1969" s="7" t="n"/>
      <c r="B1969" s="4" t="n"/>
      <c r="C1969" s="4" t="n"/>
      <c r="D1969" s="4" t="n"/>
      <c r="E1969" s="4" t="n"/>
      <c r="F1969" s="6">
        <f>IF(B1969="","",IFERROR(INDEX(Products!$E:$E,MATCH(B1969,Products!$A:$A,0)),0))</f>
        <v/>
      </c>
      <c r="G1969" s="6">
        <f>IF(B1969="","",N(C1969)*N(F1969))</f>
        <v/>
      </c>
      <c r="H1969">
        <f>IF(B1969="","",IFERROR(INDEX(Products!$B:$B,MATCH(B1969,Products!$A:$A,0)),"SKU not found"))</f>
        <v/>
      </c>
    </row>
    <row r="1970">
      <c r="A1970" s="7" t="n"/>
      <c r="B1970" s="4" t="n"/>
      <c r="C1970" s="4" t="n"/>
      <c r="D1970" s="4" t="n"/>
      <c r="E1970" s="4" t="n"/>
      <c r="F1970" s="6">
        <f>IF(B1970="","",IFERROR(INDEX(Products!$E:$E,MATCH(B1970,Products!$A:$A,0)),0))</f>
        <v/>
      </c>
      <c r="G1970" s="6">
        <f>IF(B1970="","",N(C1970)*N(F1970))</f>
        <v/>
      </c>
      <c r="H1970">
        <f>IF(B1970="","",IFERROR(INDEX(Products!$B:$B,MATCH(B1970,Products!$A:$A,0)),"SKU not found"))</f>
        <v/>
      </c>
    </row>
    <row r="1971">
      <c r="A1971" s="7" t="n"/>
      <c r="B1971" s="4" t="n"/>
      <c r="C1971" s="4" t="n"/>
      <c r="D1971" s="4" t="n"/>
      <c r="E1971" s="4" t="n"/>
      <c r="F1971" s="6">
        <f>IF(B1971="","",IFERROR(INDEX(Products!$E:$E,MATCH(B1971,Products!$A:$A,0)),0))</f>
        <v/>
      </c>
      <c r="G1971" s="6">
        <f>IF(B1971="","",N(C1971)*N(F1971))</f>
        <v/>
      </c>
      <c r="H1971">
        <f>IF(B1971="","",IFERROR(INDEX(Products!$B:$B,MATCH(B1971,Products!$A:$A,0)),"SKU not found"))</f>
        <v/>
      </c>
    </row>
    <row r="1972">
      <c r="A1972" s="7" t="n"/>
      <c r="B1972" s="4" t="n"/>
      <c r="C1972" s="4" t="n"/>
      <c r="D1972" s="4" t="n"/>
      <c r="E1972" s="4" t="n"/>
      <c r="F1972" s="6">
        <f>IF(B1972="","",IFERROR(INDEX(Products!$E:$E,MATCH(B1972,Products!$A:$A,0)),0))</f>
        <v/>
      </c>
      <c r="G1972" s="6">
        <f>IF(B1972="","",N(C1972)*N(F1972))</f>
        <v/>
      </c>
      <c r="H1972">
        <f>IF(B1972="","",IFERROR(INDEX(Products!$B:$B,MATCH(B1972,Products!$A:$A,0)),"SKU not found"))</f>
        <v/>
      </c>
    </row>
    <row r="1973">
      <c r="A1973" s="7" t="n"/>
      <c r="B1973" s="4" t="n"/>
      <c r="C1973" s="4" t="n"/>
      <c r="D1973" s="4" t="n"/>
      <c r="E1973" s="4" t="n"/>
      <c r="F1973" s="6">
        <f>IF(B1973="","",IFERROR(INDEX(Products!$E:$E,MATCH(B1973,Products!$A:$A,0)),0))</f>
        <v/>
      </c>
      <c r="G1973" s="6">
        <f>IF(B1973="","",N(C1973)*N(F1973))</f>
        <v/>
      </c>
      <c r="H1973">
        <f>IF(B1973="","",IFERROR(INDEX(Products!$B:$B,MATCH(B1973,Products!$A:$A,0)),"SKU not found"))</f>
        <v/>
      </c>
    </row>
    <row r="1974">
      <c r="A1974" s="7" t="n"/>
      <c r="B1974" s="4" t="n"/>
      <c r="C1974" s="4" t="n"/>
      <c r="D1974" s="4" t="n"/>
      <c r="E1974" s="4" t="n"/>
      <c r="F1974" s="6">
        <f>IF(B1974="","",IFERROR(INDEX(Products!$E:$E,MATCH(B1974,Products!$A:$A,0)),0))</f>
        <v/>
      </c>
      <c r="G1974" s="6">
        <f>IF(B1974="","",N(C1974)*N(F1974))</f>
        <v/>
      </c>
      <c r="H1974">
        <f>IF(B1974="","",IFERROR(INDEX(Products!$B:$B,MATCH(B1974,Products!$A:$A,0)),"SKU not found"))</f>
        <v/>
      </c>
    </row>
    <row r="1975">
      <c r="A1975" s="7" t="n"/>
      <c r="B1975" s="4" t="n"/>
      <c r="C1975" s="4" t="n"/>
      <c r="D1975" s="4" t="n"/>
      <c r="E1975" s="4" t="n"/>
      <c r="F1975" s="6">
        <f>IF(B1975="","",IFERROR(INDEX(Products!$E:$E,MATCH(B1975,Products!$A:$A,0)),0))</f>
        <v/>
      </c>
      <c r="G1975" s="6">
        <f>IF(B1975="","",N(C1975)*N(F1975))</f>
        <v/>
      </c>
      <c r="H1975">
        <f>IF(B1975="","",IFERROR(INDEX(Products!$B:$B,MATCH(B1975,Products!$A:$A,0)),"SKU not found"))</f>
        <v/>
      </c>
    </row>
    <row r="1976">
      <c r="A1976" s="7" t="n"/>
      <c r="B1976" s="4" t="n"/>
      <c r="C1976" s="4" t="n"/>
      <c r="D1976" s="4" t="n"/>
      <c r="E1976" s="4" t="n"/>
      <c r="F1976" s="6">
        <f>IF(B1976="","",IFERROR(INDEX(Products!$E:$E,MATCH(B1976,Products!$A:$A,0)),0))</f>
        <v/>
      </c>
      <c r="G1976" s="6">
        <f>IF(B1976="","",N(C1976)*N(F1976))</f>
        <v/>
      </c>
      <c r="H1976">
        <f>IF(B1976="","",IFERROR(INDEX(Products!$B:$B,MATCH(B1976,Products!$A:$A,0)),"SKU not found"))</f>
        <v/>
      </c>
    </row>
    <row r="1977">
      <c r="A1977" s="7" t="n"/>
      <c r="B1977" s="4" t="n"/>
      <c r="C1977" s="4" t="n"/>
      <c r="D1977" s="4" t="n"/>
      <c r="E1977" s="4" t="n"/>
      <c r="F1977" s="6">
        <f>IF(B1977="","",IFERROR(INDEX(Products!$E:$E,MATCH(B1977,Products!$A:$A,0)),0))</f>
        <v/>
      </c>
      <c r="G1977" s="6">
        <f>IF(B1977="","",N(C1977)*N(F1977))</f>
        <v/>
      </c>
      <c r="H1977">
        <f>IF(B1977="","",IFERROR(INDEX(Products!$B:$B,MATCH(B1977,Products!$A:$A,0)),"SKU not found"))</f>
        <v/>
      </c>
    </row>
    <row r="1978">
      <c r="A1978" s="7" t="n"/>
      <c r="B1978" s="4" t="n"/>
      <c r="C1978" s="4" t="n"/>
      <c r="D1978" s="4" t="n"/>
      <c r="E1978" s="4" t="n"/>
      <c r="F1978" s="6">
        <f>IF(B1978="","",IFERROR(INDEX(Products!$E:$E,MATCH(B1978,Products!$A:$A,0)),0))</f>
        <v/>
      </c>
      <c r="G1978" s="6">
        <f>IF(B1978="","",N(C1978)*N(F1978))</f>
        <v/>
      </c>
      <c r="H1978">
        <f>IF(B1978="","",IFERROR(INDEX(Products!$B:$B,MATCH(B1978,Products!$A:$A,0)),"SKU not found"))</f>
        <v/>
      </c>
    </row>
    <row r="1979">
      <c r="A1979" s="7" t="n"/>
      <c r="B1979" s="4" t="n"/>
      <c r="C1979" s="4" t="n"/>
      <c r="D1979" s="4" t="n"/>
      <c r="E1979" s="4" t="n"/>
      <c r="F1979" s="6">
        <f>IF(B1979="","",IFERROR(INDEX(Products!$E:$E,MATCH(B1979,Products!$A:$A,0)),0))</f>
        <v/>
      </c>
      <c r="G1979" s="6">
        <f>IF(B1979="","",N(C1979)*N(F1979))</f>
        <v/>
      </c>
      <c r="H1979">
        <f>IF(B1979="","",IFERROR(INDEX(Products!$B:$B,MATCH(B1979,Products!$A:$A,0)),"SKU not found"))</f>
        <v/>
      </c>
    </row>
    <row r="1980">
      <c r="A1980" s="7" t="n"/>
      <c r="B1980" s="4" t="n"/>
      <c r="C1980" s="4" t="n"/>
      <c r="D1980" s="4" t="n"/>
      <c r="E1980" s="4" t="n"/>
      <c r="F1980" s="6">
        <f>IF(B1980="","",IFERROR(INDEX(Products!$E:$E,MATCH(B1980,Products!$A:$A,0)),0))</f>
        <v/>
      </c>
      <c r="G1980" s="6">
        <f>IF(B1980="","",N(C1980)*N(F1980))</f>
        <v/>
      </c>
      <c r="H1980">
        <f>IF(B1980="","",IFERROR(INDEX(Products!$B:$B,MATCH(B1980,Products!$A:$A,0)),"SKU not found"))</f>
        <v/>
      </c>
    </row>
    <row r="1981">
      <c r="A1981" s="7" t="n"/>
      <c r="B1981" s="4" t="n"/>
      <c r="C1981" s="4" t="n"/>
      <c r="D1981" s="4" t="n"/>
      <c r="E1981" s="4" t="n"/>
      <c r="F1981" s="6">
        <f>IF(B1981="","",IFERROR(INDEX(Products!$E:$E,MATCH(B1981,Products!$A:$A,0)),0))</f>
        <v/>
      </c>
      <c r="G1981" s="6">
        <f>IF(B1981="","",N(C1981)*N(F1981))</f>
        <v/>
      </c>
      <c r="H1981">
        <f>IF(B1981="","",IFERROR(INDEX(Products!$B:$B,MATCH(B1981,Products!$A:$A,0)),"SKU not found"))</f>
        <v/>
      </c>
    </row>
    <row r="1982">
      <c r="A1982" s="7" t="n"/>
      <c r="B1982" s="4" t="n"/>
      <c r="C1982" s="4" t="n"/>
      <c r="D1982" s="4" t="n"/>
      <c r="E1982" s="4" t="n"/>
      <c r="F1982" s="6">
        <f>IF(B1982="","",IFERROR(INDEX(Products!$E:$E,MATCH(B1982,Products!$A:$A,0)),0))</f>
        <v/>
      </c>
      <c r="G1982" s="6">
        <f>IF(B1982="","",N(C1982)*N(F1982))</f>
        <v/>
      </c>
      <c r="H1982">
        <f>IF(B1982="","",IFERROR(INDEX(Products!$B:$B,MATCH(B1982,Products!$A:$A,0)),"SKU not found"))</f>
        <v/>
      </c>
    </row>
    <row r="1983">
      <c r="A1983" s="7" t="n"/>
      <c r="B1983" s="4" t="n"/>
      <c r="C1983" s="4" t="n"/>
      <c r="D1983" s="4" t="n"/>
      <c r="E1983" s="4" t="n"/>
      <c r="F1983" s="6">
        <f>IF(B1983="","",IFERROR(INDEX(Products!$E:$E,MATCH(B1983,Products!$A:$A,0)),0))</f>
        <v/>
      </c>
      <c r="G1983" s="6">
        <f>IF(B1983="","",N(C1983)*N(F1983))</f>
        <v/>
      </c>
      <c r="H1983">
        <f>IF(B1983="","",IFERROR(INDEX(Products!$B:$B,MATCH(B1983,Products!$A:$A,0)),"SKU not found"))</f>
        <v/>
      </c>
    </row>
    <row r="1984">
      <c r="A1984" s="7" t="n"/>
      <c r="B1984" s="4" t="n"/>
      <c r="C1984" s="4" t="n"/>
      <c r="D1984" s="4" t="n"/>
      <c r="E1984" s="4" t="n"/>
      <c r="F1984" s="6">
        <f>IF(B1984="","",IFERROR(INDEX(Products!$E:$E,MATCH(B1984,Products!$A:$A,0)),0))</f>
        <v/>
      </c>
      <c r="G1984" s="6">
        <f>IF(B1984="","",N(C1984)*N(F1984))</f>
        <v/>
      </c>
      <c r="H1984">
        <f>IF(B1984="","",IFERROR(INDEX(Products!$B:$B,MATCH(B1984,Products!$A:$A,0)),"SKU not found"))</f>
        <v/>
      </c>
    </row>
    <row r="1985">
      <c r="A1985" s="7" t="n"/>
      <c r="B1985" s="4" t="n"/>
      <c r="C1985" s="4" t="n"/>
      <c r="D1985" s="4" t="n"/>
      <c r="E1985" s="4" t="n"/>
      <c r="F1985" s="6">
        <f>IF(B1985="","",IFERROR(INDEX(Products!$E:$E,MATCH(B1985,Products!$A:$A,0)),0))</f>
        <v/>
      </c>
      <c r="G1985" s="6">
        <f>IF(B1985="","",N(C1985)*N(F1985))</f>
        <v/>
      </c>
      <c r="H1985">
        <f>IF(B1985="","",IFERROR(INDEX(Products!$B:$B,MATCH(B1985,Products!$A:$A,0)),"SKU not found"))</f>
        <v/>
      </c>
    </row>
    <row r="1986">
      <c r="A1986" s="7" t="n"/>
      <c r="B1986" s="4" t="n"/>
      <c r="C1986" s="4" t="n"/>
      <c r="D1986" s="4" t="n"/>
      <c r="E1986" s="4" t="n"/>
      <c r="F1986" s="6">
        <f>IF(B1986="","",IFERROR(INDEX(Products!$E:$E,MATCH(B1986,Products!$A:$A,0)),0))</f>
        <v/>
      </c>
      <c r="G1986" s="6">
        <f>IF(B1986="","",N(C1986)*N(F1986))</f>
        <v/>
      </c>
      <c r="H1986">
        <f>IF(B1986="","",IFERROR(INDEX(Products!$B:$B,MATCH(B1986,Products!$A:$A,0)),"SKU not found"))</f>
        <v/>
      </c>
    </row>
    <row r="1987">
      <c r="A1987" s="7" t="n"/>
      <c r="B1987" s="4" t="n"/>
      <c r="C1987" s="4" t="n"/>
      <c r="D1987" s="4" t="n"/>
      <c r="E1987" s="4" t="n"/>
      <c r="F1987" s="6">
        <f>IF(B1987="","",IFERROR(INDEX(Products!$E:$E,MATCH(B1987,Products!$A:$A,0)),0))</f>
        <v/>
      </c>
      <c r="G1987" s="6">
        <f>IF(B1987="","",N(C1987)*N(F1987))</f>
        <v/>
      </c>
      <c r="H1987">
        <f>IF(B1987="","",IFERROR(INDEX(Products!$B:$B,MATCH(B1987,Products!$A:$A,0)),"SKU not found"))</f>
        <v/>
      </c>
    </row>
    <row r="1988">
      <c r="A1988" s="7" t="n"/>
      <c r="B1988" s="4" t="n"/>
      <c r="C1988" s="4" t="n"/>
      <c r="D1988" s="4" t="n"/>
      <c r="E1988" s="4" t="n"/>
      <c r="F1988" s="6">
        <f>IF(B1988="","",IFERROR(INDEX(Products!$E:$E,MATCH(B1988,Products!$A:$A,0)),0))</f>
        <v/>
      </c>
      <c r="G1988" s="6">
        <f>IF(B1988="","",N(C1988)*N(F1988))</f>
        <v/>
      </c>
      <c r="H1988">
        <f>IF(B1988="","",IFERROR(INDEX(Products!$B:$B,MATCH(B1988,Products!$A:$A,0)),"SKU not found"))</f>
        <v/>
      </c>
    </row>
    <row r="1989">
      <c r="A1989" s="7" t="n"/>
      <c r="B1989" s="4" t="n"/>
      <c r="C1989" s="4" t="n"/>
      <c r="D1989" s="4" t="n"/>
      <c r="E1989" s="4" t="n"/>
      <c r="F1989" s="6">
        <f>IF(B1989="","",IFERROR(INDEX(Products!$E:$E,MATCH(B1989,Products!$A:$A,0)),0))</f>
        <v/>
      </c>
      <c r="G1989" s="6">
        <f>IF(B1989="","",N(C1989)*N(F1989))</f>
        <v/>
      </c>
      <c r="H1989">
        <f>IF(B1989="","",IFERROR(INDEX(Products!$B:$B,MATCH(B1989,Products!$A:$A,0)),"SKU not found"))</f>
        <v/>
      </c>
    </row>
    <row r="1990">
      <c r="A1990" s="7" t="n"/>
      <c r="B1990" s="4" t="n"/>
      <c r="C1990" s="4" t="n"/>
      <c r="D1990" s="4" t="n"/>
      <c r="E1990" s="4" t="n"/>
      <c r="F1990" s="6">
        <f>IF(B1990="","",IFERROR(INDEX(Products!$E:$E,MATCH(B1990,Products!$A:$A,0)),0))</f>
        <v/>
      </c>
      <c r="G1990" s="6">
        <f>IF(B1990="","",N(C1990)*N(F1990))</f>
        <v/>
      </c>
      <c r="H1990">
        <f>IF(B1990="","",IFERROR(INDEX(Products!$B:$B,MATCH(B1990,Products!$A:$A,0)),"SKU not found"))</f>
        <v/>
      </c>
    </row>
    <row r="1991">
      <c r="A1991" s="7" t="n"/>
      <c r="B1991" s="4" t="n"/>
      <c r="C1991" s="4" t="n"/>
      <c r="D1991" s="4" t="n"/>
      <c r="E1991" s="4" t="n"/>
      <c r="F1991" s="6">
        <f>IF(B1991="","",IFERROR(INDEX(Products!$E:$E,MATCH(B1991,Products!$A:$A,0)),0))</f>
        <v/>
      </c>
      <c r="G1991" s="6">
        <f>IF(B1991="","",N(C1991)*N(F1991))</f>
        <v/>
      </c>
      <c r="H1991">
        <f>IF(B1991="","",IFERROR(INDEX(Products!$B:$B,MATCH(B1991,Products!$A:$A,0)),"SKU not found"))</f>
        <v/>
      </c>
    </row>
    <row r="1992">
      <c r="A1992" s="7" t="n"/>
      <c r="B1992" s="4" t="n"/>
      <c r="C1992" s="4" t="n"/>
      <c r="D1992" s="4" t="n"/>
      <c r="E1992" s="4" t="n"/>
      <c r="F1992" s="6">
        <f>IF(B1992="","",IFERROR(INDEX(Products!$E:$E,MATCH(B1992,Products!$A:$A,0)),0))</f>
        <v/>
      </c>
      <c r="G1992" s="6">
        <f>IF(B1992="","",N(C1992)*N(F1992))</f>
        <v/>
      </c>
      <c r="H1992">
        <f>IF(B1992="","",IFERROR(INDEX(Products!$B:$B,MATCH(B1992,Products!$A:$A,0)),"SKU not found"))</f>
        <v/>
      </c>
    </row>
    <row r="1993">
      <c r="A1993" s="7" t="n"/>
      <c r="B1993" s="4" t="n"/>
      <c r="C1993" s="4" t="n"/>
      <c r="D1993" s="4" t="n"/>
      <c r="E1993" s="4" t="n"/>
      <c r="F1993" s="6">
        <f>IF(B1993="","",IFERROR(INDEX(Products!$E:$E,MATCH(B1993,Products!$A:$A,0)),0))</f>
        <v/>
      </c>
      <c r="G1993" s="6">
        <f>IF(B1993="","",N(C1993)*N(F1993))</f>
        <v/>
      </c>
      <c r="H1993">
        <f>IF(B1993="","",IFERROR(INDEX(Products!$B:$B,MATCH(B1993,Products!$A:$A,0)),"SKU not found"))</f>
        <v/>
      </c>
    </row>
    <row r="1994">
      <c r="A1994" s="7" t="n"/>
      <c r="B1994" s="4" t="n"/>
      <c r="C1994" s="4" t="n"/>
      <c r="D1994" s="4" t="n"/>
      <c r="E1994" s="4" t="n"/>
      <c r="F1994" s="6">
        <f>IF(B1994="","",IFERROR(INDEX(Products!$E:$E,MATCH(B1994,Products!$A:$A,0)),0))</f>
        <v/>
      </c>
      <c r="G1994" s="6">
        <f>IF(B1994="","",N(C1994)*N(F1994))</f>
        <v/>
      </c>
      <c r="H1994">
        <f>IF(B1994="","",IFERROR(INDEX(Products!$B:$B,MATCH(B1994,Products!$A:$A,0)),"SKU not found"))</f>
        <v/>
      </c>
    </row>
    <row r="1995">
      <c r="A1995" s="7" t="n"/>
      <c r="B1995" s="4" t="n"/>
      <c r="C1995" s="4" t="n"/>
      <c r="D1995" s="4" t="n"/>
      <c r="E1995" s="4" t="n"/>
      <c r="F1995" s="6">
        <f>IF(B1995="","",IFERROR(INDEX(Products!$E:$E,MATCH(B1995,Products!$A:$A,0)),0))</f>
        <v/>
      </c>
      <c r="G1995" s="6">
        <f>IF(B1995="","",N(C1995)*N(F1995))</f>
        <v/>
      </c>
      <c r="H1995">
        <f>IF(B1995="","",IFERROR(INDEX(Products!$B:$B,MATCH(B1995,Products!$A:$A,0)),"SKU not found"))</f>
        <v/>
      </c>
    </row>
    <row r="1996">
      <c r="A1996" s="7" t="n"/>
      <c r="B1996" s="4" t="n"/>
      <c r="C1996" s="4" t="n"/>
      <c r="D1996" s="4" t="n"/>
      <c r="E1996" s="4" t="n"/>
      <c r="F1996" s="6">
        <f>IF(B1996="","",IFERROR(INDEX(Products!$E:$E,MATCH(B1996,Products!$A:$A,0)),0))</f>
        <v/>
      </c>
      <c r="G1996" s="6">
        <f>IF(B1996="","",N(C1996)*N(F1996))</f>
        <v/>
      </c>
      <c r="H1996">
        <f>IF(B1996="","",IFERROR(INDEX(Products!$B:$B,MATCH(B1996,Products!$A:$A,0)),"SKU not found"))</f>
        <v/>
      </c>
    </row>
    <row r="1997">
      <c r="A1997" s="7" t="n"/>
      <c r="B1997" s="4" t="n"/>
      <c r="C1997" s="4" t="n"/>
      <c r="D1997" s="4" t="n"/>
      <c r="E1997" s="4" t="n"/>
      <c r="F1997" s="6">
        <f>IF(B1997="","",IFERROR(INDEX(Products!$E:$E,MATCH(B1997,Products!$A:$A,0)),0))</f>
        <v/>
      </c>
      <c r="G1997" s="6">
        <f>IF(B1997="","",N(C1997)*N(F1997))</f>
        <v/>
      </c>
      <c r="H1997">
        <f>IF(B1997="","",IFERROR(INDEX(Products!$B:$B,MATCH(B1997,Products!$A:$A,0)),"SKU not found"))</f>
        <v/>
      </c>
    </row>
    <row r="1998">
      <c r="A1998" s="7" t="n"/>
      <c r="B1998" s="4" t="n"/>
      <c r="C1998" s="4" t="n"/>
      <c r="D1998" s="4" t="n"/>
      <c r="E1998" s="4" t="n"/>
      <c r="F1998" s="6">
        <f>IF(B1998="","",IFERROR(INDEX(Products!$E:$E,MATCH(B1998,Products!$A:$A,0)),0))</f>
        <v/>
      </c>
      <c r="G1998" s="6">
        <f>IF(B1998="","",N(C1998)*N(F1998))</f>
        <v/>
      </c>
      <c r="H1998">
        <f>IF(B1998="","",IFERROR(INDEX(Products!$B:$B,MATCH(B1998,Products!$A:$A,0)),"SKU not found"))</f>
        <v/>
      </c>
    </row>
    <row r="1999">
      <c r="A1999" s="7" t="n"/>
      <c r="B1999" s="4" t="n"/>
      <c r="C1999" s="4" t="n"/>
      <c r="D1999" s="4" t="n"/>
      <c r="E1999" s="4" t="n"/>
      <c r="F1999" s="6">
        <f>IF(B1999="","",IFERROR(INDEX(Products!$E:$E,MATCH(B1999,Products!$A:$A,0)),0))</f>
        <v/>
      </c>
      <c r="G1999" s="6">
        <f>IF(B1999="","",N(C1999)*N(F1999))</f>
        <v/>
      </c>
      <c r="H1999">
        <f>IF(B1999="","",IFERROR(INDEX(Products!$B:$B,MATCH(B1999,Products!$A:$A,0)),"SKU not found"))</f>
        <v/>
      </c>
    </row>
    <row r="2000">
      <c r="A2000" s="7" t="n"/>
      <c r="B2000" s="4" t="n"/>
      <c r="C2000" s="4" t="n"/>
      <c r="D2000" s="4" t="n"/>
      <c r="E2000" s="4" t="n"/>
      <c r="F2000" s="6">
        <f>IF(B2000="","",IFERROR(INDEX(Products!$E:$E,MATCH(B2000,Products!$A:$A,0)),0))</f>
        <v/>
      </c>
      <c r="G2000" s="6">
        <f>IF(B2000="","",N(C2000)*N(F2000))</f>
        <v/>
      </c>
      <c r="H2000">
        <f>IF(B2000="","",IFERROR(INDEX(Products!$B:$B,MATCH(B2000,Products!$A:$A,0)),"SKU not found"))</f>
        <v/>
      </c>
    </row>
    <row r="2001">
      <c r="A2001" s="7" t="n"/>
      <c r="B2001" s="4" t="n"/>
      <c r="C2001" s="4" t="n"/>
      <c r="D2001" s="4" t="n"/>
      <c r="E2001" s="4" t="n"/>
      <c r="F2001" s="6">
        <f>IF(B2001="","",IFERROR(INDEX(Products!$E:$E,MATCH(B2001,Products!$A:$A,0)),0))</f>
        <v/>
      </c>
      <c r="G2001" s="6">
        <f>IF(B2001="","",N(C2001)*N(F2001))</f>
        <v/>
      </c>
      <c r="H2001">
        <f>IF(B2001="","",IFERROR(INDEX(Products!$B:$B,MATCH(B2001,Products!$A:$A,0)),"SKU not found"))</f>
        <v/>
      </c>
    </row>
  </sheetData>
  <dataValidations count="2">
    <dataValidation sqref="B2:B2001" showDropDown="0" showInputMessage="0" showErrorMessage="1" allowBlank="1" errorTitle="Unknown SKU" error="Pick a SKU that exists on the Products sheet." type="list">
      <formula1>=Products!$A$2:$A$201</formula1>
    </dataValidation>
    <dataValidation sqref="D2:D2001" showDropDown="0" showInputMessage="0" showErrorMessage="0" allowBlank="1" type="list">
      <formula1>"UK,Ireland,France,Germany,Other EU/Intl"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4" max="4"/>
    <col width="26" customWidth="1" min="5" max="5"/>
    <col width="16" customWidth="1" min="6" max="6"/>
    <col width="16" customWidth="1" min="7" max="7"/>
    <col width="16" customWidth="1" min="8" max="8"/>
  </cols>
  <sheetData>
    <row r="1">
      <c r="A1" s="8" t="inlineStr">
        <is>
          <t>Inventory Dashboard</t>
        </is>
      </c>
    </row>
    <row r="2">
      <c r="A2">
        <f>"Updated: "&amp;TEXT(TODAY(),"dd-mmm-yyyy")</f>
        <v/>
      </c>
    </row>
    <row r="3">
      <c r="D3" s="9" t="inlineStr">
        <is>
          <t>Stock by SKU</t>
        </is>
      </c>
    </row>
    <row r="4">
      <c r="A4" s="10" t="inlineStr">
        <is>
          <t>Active SKUs</t>
        </is>
      </c>
      <c r="B4" s="11">
        <f>COUNTIF(Products!$A$2:$A$201,"?*")</f>
        <v/>
      </c>
      <c r="D4" s="12" t="inlineStr">
        <is>
          <t>SKU</t>
        </is>
      </c>
      <c r="E4" s="12" t="inlineStr">
        <is>
          <t>Product</t>
        </is>
      </c>
      <c r="F4" s="12" t="inlineStr">
        <is>
          <t>Current Stock</t>
        </is>
      </c>
      <c r="G4" s="12" t="inlineStr">
        <is>
          <t>Reorder Level</t>
        </is>
      </c>
      <c r="H4" s="12" t="inlineStr">
        <is>
          <t>Status</t>
        </is>
      </c>
    </row>
    <row r="5">
      <c r="A5" s="10" t="inlineStr">
        <is>
          <t>Total units in stock</t>
        </is>
      </c>
      <c r="B5" s="13">
        <f>SUM(Products!$K$2:$K$201)</f>
        <v/>
      </c>
      <c r="D5">
        <f>IF(Products!A2="","",Products!A2)</f>
        <v/>
      </c>
      <c r="E5">
        <f>IF(Products!A2="","",Products!B2)</f>
        <v/>
      </c>
      <c r="F5">
        <f>IF(Products!A2="","",Products!K2)</f>
        <v/>
      </c>
      <c r="G5">
        <f>IF(Products!A2="","",Products!G2)</f>
        <v/>
      </c>
      <c r="H5">
        <f>IF(Products!A2="","",Products!M2)</f>
        <v/>
      </c>
    </row>
    <row r="6">
      <c r="A6" s="10" t="inlineStr">
        <is>
          <t>Stock value (at cost)</t>
        </is>
      </c>
      <c r="B6" s="14">
        <f>SUM(Products!$L$2:$L$201)</f>
        <v/>
      </c>
      <c r="D6">
        <f>IF(Products!A3="","",Products!A3)</f>
        <v/>
      </c>
      <c r="E6">
        <f>IF(Products!A3="","",Products!B3)</f>
        <v/>
      </c>
      <c r="F6">
        <f>IF(Products!A3="","",Products!K3)</f>
        <v/>
      </c>
      <c r="G6">
        <f>IF(Products!A3="","",Products!G3)</f>
        <v/>
      </c>
      <c r="H6">
        <f>IF(Products!A3="","",Products!M3)</f>
        <v/>
      </c>
    </row>
    <row r="7">
      <c r="A7" s="10" t="inlineStr">
        <is>
          <t>Units on order (incoming)</t>
        </is>
      </c>
      <c r="B7" s="13">
        <f>SUM(Products!$I$2:$I$201)</f>
        <v/>
      </c>
      <c r="D7">
        <f>IF(Products!A4="","",Products!A4)</f>
        <v/>
      </c>
      <c r="E7">
        <f>IF(Products!A4="","",Products!B4)</f>
        <v/>
      </c>
      <c r="F7">
        <f>IF(Products!A4="","",Products!K4)</f>
        <v/>
      </c>
      <c r="G7">
        <f>IF(Products!A4="","",Products!G4)</f>
        <v/>
      </c>
      <c r="H7">
        <f>IF(Products!A4="","",Products!M4)</f>
        <v/>
      </c>
    </row>
    <row r="8">
      <c r="A8" s="10" t="inlineStr">
        <is>
          <t>SKUs to reorder now</t>
        </is>
      </c>
      <c r="B8" s="11">
        <f>COUNTIF(Products!$M$2:$M$201,"REORDER NOW")</f>
        <v/>
      </c>
      <c r="D8">
        <f>IF(Products!A5="","",Products!A5)</f>
        <v/>
      </c>
      <c r="E8">
        <f>IF(Products!A5="","",Products!B5)</f>
        <v/>
      </c>
      <c r="F8">
        <f>IF(Products!A5="","",Products!K5)</f>
        <v/>
      </c>
      <c r="G8">
        <f>IF(Products!A5="","",Products!G5)</f>
        <v/>
      </c>
      <c r="H8">
        <f>IF(Products!A5="","",Products!M5)</f>
        <v/>
      </c>
    </row>
    <row r="9">
      <c r="A9" s="10" t="inlineStr">
        <is>
          <t>SKUs low but on order</t>
        </is>
      </c>
      <c r="B9" s="11">
        <f>COUNTIF(Products!$M$2:$M$201,"LOW - ON ORDER")</f>
        <v/>
      </c>
      <c r="D9">
        <f>IF(Products!A6="","",Products!A6)</f>
        <v/>
      </c>
      <c r="E9">
        <f>IF(Products!A6="","",Products!B6)</f>
        <v/>
      </c>
      <c r="F9">
        <f>IF(Products!A6="","",Products!K6)</f>
        <v/>
      </c>
      <c r="G9">
        <f>IF(Products!A6="","",Products!G6)</f>
        <v/>
      </c>
      <c r="H9">
        <f>IF(Products!A6="","",Products!M6)</f>
        <v/>
      </c>
    </row>
    <row r="10">
      <c r="A10" s="10" t="inlineStr">
        <is>
          <t>SKUs out of stock</t>
        </is>
      </c>
      <c r="B10" s="11">
        <f>COUNTIF(Products!$M$2:$M$201,"OUT OF STOCK")</f>
        <v/>
      </c>
      <c r="D10">
        <f>IF(Products!A7="","",Products!A7)</f>
        <v/>
      </c>
      <c r="E10">
        <f>IF(Products!A7="","",Products!B7)</f>
        <v/>
      </c>
      <c r="F10">
        <f>IF(Products!A7="","",Products!K7)</f>
        <v/>
      </c>
      <c r="G10">
        <f>IF(Products!A7="","",Products!G7)</f>
        <v/>
      </c>
      <c r="H10">
        <f>IF(Products!A7="","",Products!M7)</f>
        <v/>
      </c>
    </row>
    <row r="11">
      <c r="A11" s="10" t="inlineStr">
        <is>
          <t>Units sold (all time)</t>
        </is>
      </c>
      <c r="B11" s="13">
        <f>SUM(Sales!$C$2:$C$2001)</f>
        <v/>
      </c>
      <c r="D11">
        <f>IF(Products!A8="","",Products!A8)</f>
        <v/>
      </c>
      <c r="E11">
        <f>IF(Products!A8="","",Products!B8)</f>
        <v/>
      </c>
      <c r="F11">
        <f>IF(Products!A8="","",Products!K8)</f>
        <v/>
      </c>
      <c r="G11">
        <f>IF(Products!A8="","",Products!G8)</f>
        <v/>
      </c>
      <c r="H11">
        <f>IF(Products!A8="","",Products!M8)</f>
        <v/>
      </c>
    </row>
    <row r="12">
      <c r="A12" s="10" t="inlineStr">
        <is>
          <t>Revenue (all time)</t>
        </is>
      </c>
      <c r="B12" s="14">
        <f>SUM(Sales!$G$2:$G$2001)</f>
        <v/>
      </c>
      <c r="D12">
        <f>IF(Products!A9="","",Products!A9)</f>
        <v/>
      </c>
      <c r="E12">
        <f>IF(Products!A9="","",Products!B9)</f>
        <v/>
      </c>
      <c r="F12">
        <f>IF(Products!A9="","",Products!K9)</f>
        <v/>
      </c>
      <c r="G12">
        <f>IF(Products!A9="","",Products!G9)</f>
        <v/>
      </c>
      <c r="H12">
        <f>IF(Products!A9="","",Products!M9)</f>
        <v/>
      </c>
    </row>
    <row r="13">
      <c r="A13" s="10" t="inlineStr">
        <is>
          <t>Revenue (last 30 days)</t>
        </is>
      </c>
      <c r="B13" s="14">
        <f>SUMIFS(Sales!$G$2:$G$2001,Sales!$A$2:$A$2001,"&gt;="&amp;(TODAY()-30))</f>
        <v/>
      </c>
      <c r="D13">
        <f>IF(Products!A10="","",Products!A10)</f>
        <v/>
      </c>
      <c r="E13">
        <f>IF(Products!A10="","",Products!B10)</f>
        <v/>
      </c>
      <c r="F13">
        <f>IF(Products!A10="","",Products!K10)</f>
        <v/>
      </c>
      <c r="G13">
        <f>IF(Products!A10="","",Products!G10)</f>
        <v/>
      </c>
      <c r="H13">
        <f>IF(Products!A10="","",Products!M10)</f>
        <v/>
      </c>
    </row>
    <row r="14">
      <c r="D14">
        <f>IF(Products!A11="","",Products!A11)</f>
        <v/>
      </c>
      <c r="E14">
        <f>IF(Products!A11="","",Products!B11)</f>
        <v/>
      </c>
      <c r="F14">
        <f>IF(Products!A11="","",Products!K11)</f>
        <v/>
      </c>
      <c r="G14">
        <f>IF(Products!A11="","",Products!G11)</f>
        <v/>
      </c>
      <c r="H14">
        <f>IF(Products!A11="","",Products!M11)</f>
        <v/>
      </c>
    </row>
    <row r="15">
      <c r="D15">
        <f>IF(Products!A12="","",Products!A12)</f>
        <v/>
      </c>
      <c r="E15">
        <f>IF(Products!A12="","",Products!B12)</f>
        <v/>
      </c>
      <c r="F15">
        <f>IF(Products!A12="","",Products!K12)</f>
        <v/>
      </c>
      <c r="G15">
        <f>IF(Products!A12="","",Products!G12)</f>
        <v/>
      </c>
      <c r="H15">
        <f>IF(Products!A12="","",Products!M12)</f>
        <v/>
      </c>
    </row>
    <row r="16">
      <c r="A16" s="9" t="inlineStr">
        <is>
          <t>Sales by market (country)</t>
        </is>
      </c>
      <c r="D16">
        <f>IF(Products!A13="","",Products!A13)</f>
        <v/>
      </c>
      <c r="E16">
        <f>IF(Products!A13="","",Products!B13)</f>
        <v/>
      </c>
      <c r="F16">
        <f>IF(Products!A13="","",Products!K13)</f>
        <v/>
      </c>
      <c r="G16">
        <f>IF(Products!A13="","",Products!G13)</f>
        <v/>
      </c>
      <c r="H16">
        <f>IF(Products!A13="","",Products!M13)</f>
        <v/>
      </c>
    </row>
    <row r="17">
      <c r="A17" s="12" t="inlineStr">
        <is>
          <t>Market</t>
        </is>
      </c>
      <c r="B17" s="12" t="inlineStr">
        <is>
          <t>Revenue</t>
        </is>
      </c>
      <c r="D17">
        <f>IF(Products!A14="","",Products!A14)</f>
        <v/>
      </c>
      <c r="E17">
        <f>IF(Products!A14="","",Products!B14)</f>
        <v/>
      </c>
      <c r="F17">
        <f>IF(Products!A14="","",Products!K14)</f>
        <v/>
      </c>
      <c r="G17">
        <f>IF(Products!A14="","",Products!G14)</f>
        <v/>
      </c>
      <c r="H17">
        <f>IF(Products!A14="","",Products!M14)</f>
        <v/>
      </c>
    </row>
    <row r="18">
      <c r="A18" t="inlineStr">
        <is>
          <t>UK</t>
        </is>
      </c>
      <c r="B18" s="6">
        <f>SUMIFS(Sales!$G$2:$G$2001,Sales!$D$2:$D$2001,A18)</f>
        <v/>
      </c>
      <c r="D18">
        <f>IF(Products!A15="","",Products!A15)</f>
        <v/>
      </c>
      <c r="E18">
        <f>IF(Products!A15="","",Products!B15)</f>
        <v/>
      </c>
      <c r="F18">
        <f>IF(Products!A15="","",Products!K15)</f>
        <v/>
      </c>
      <c r="G18">
        <f>IF(Products!A15="","",Products!G15)</f>
        <v/>
      </c>
      <c r="H18">
        <f>IF(Products!A15="","",Products!M15)</f>
        <v/>
      </c>
    </row>
    <row r="19">
      <c r="A19" t="inlineStr">
        <is>
          <t>Ireland</t>
        </is>
      </c>
      <c r="B19" s="6">
        <f>SUMIFS(Sales!$G$2:$G$2001,Sales!$D$2:$D$2001,A19)</f>
        <v/>
      </c>
      <c r="D19">
        <f>IF(Products!A16="","",Products!A16)</f>
        <v/>
      </c>
      <c r="E19">
        <f>IF(Products!A16="","",Products!B16)</f>
        <v/>
      </c>
      <c r="F19">
        <f>IF(Products!A16="","",Products!K16)</f>
        <v/>
      </c>
      <c r="G19">
        <f>IF(Products!A16="","",Products!G16)</f>
        <v/>
      </c>
      <c r="H19">
        <f>IF(Products!A16="","",Products!M16)</f>
        <v/>
      </c>
    </row>
    <row r="20">
      <c r="A20" t="inlineStr">
        <is>
          <t>France</t>
        </is>
      </c>
      <c r="B20" s="6">
        <f>SUMIFS(Sales!$G$2:$G$2001,Sales!$D$2:$D$2001,A20)</f>
        <v/>
      </c>
      <c r="D20">
        <f>IF(Products!A17="","",Products!A17)</f>
        <v/>
      </c>
      <c r="E20">
        <f>IF(Products!A17="","",Products!B17)</f>
        <v/>
      </c>
      <c r="F20">
        <f>IF(Products!A17="","",Products!K17)</f>
        <v/>
      </c>
      <c r="G20">
        <f>IF(Products!A17="","",Products!G17)</f>
        <v/>
      </c>
      <c r="H20">
        <f>IF(Products!A17="","",Products!M17)</f>
        <v/>
      </c>
    </row>
    <row r="21">
      <c r="A21" t="inlineStr">
        <is>
          <t>Germany</t>
        </is>
      </c>
      <c r="B21" s="6">
        <f>SUMIFS(Sales!$G$2:$G$2001,Sales!$D$2:$D$2001,A21)</f>
        <v/>
      </c>
      <c r="D21">
        <f>IF(Products!A18="","",Products!A18)</f>
        <v/>
      </c>
      <c r="E21">
        <f>IF(Products!A18="","",Products!B18)</f>
        <v/>
      </c>
      <c r="F21">
        <f>IF(Products!A18="","",Products!K18)</f>
        <v/>
      </c>
      <c r="G21">
        <f>IF(Products!A18="","",Products!G18)</f>
        <v/>
      </c>
      <c r="H21">
        <f>IF(Products!A18="","",Products!M18)</f>
        <v/>
      </c>
    </row>
    <row r="22">
      <c r="A22" t="inlineStr">
        <is>
          <t>Other EU/Intl</t>
        </is>
      </c>
      <c r="B22" s="6">
        <f>SUMIFS(Sales!$G$2:$G$2001,Sales!$D$2:$D$2001,A22)</f>
        <v/>
      </c>
      <c r="D22">
        <f>IF(Products!A19="","",Products!A19)</f>
        <v/>
      </c>
      <c r="E22">
        <f>IF(Products!A19="","",Products!B19)</f>
        <v/>
      </c>
      <c r="F22">
        <f>IF(Products!A19="","",Products!K19)</f>
        <v/>
      </c>
      <c r="G22">
        <f>IF(Products!A19="","",Products!G19)</f>
        <v/>
      </c>
      <c r="H22">
        <f>IF(Products!A19="","",Products!M19)</f>
        <v/>
      </c>
    </row>
    <row r="23">
      <c r="D23">
        <f>IF(Products!A20="","",Products!A20)</f>
        <v/>
      </c>
      <c r="E23">
        <f>IF(Products!A20="","",Products!B20)</f>
        <v/>
      </c>
      <c r="F23">
        <f>IF(Products!A20="","",Products!K20)</f>
        <v/>
      </c>
      <c r="G23">
        <f>IF(Products!A20="","",Products!G20)</f>
        <v/>
      </c>
      <c r="H23">
        <f>IF(Products!A20="","",Products!M20)</f>
        <v/>
      </c>
    </row>
    <row r="24">
      <c r="D24">
        <f>IF(Products!A21="","",Products!A21)</f>
        <v/>
      </c>
      <c r="E24">
        <f>IF(Products!A21="","",Products!B21)</f>
        <v/>
      </c>
      <c r="F24">
        <f>IF(Products!A21="","",Products!K21)</f>
        <v/>
      </c>
      <c r="G24">
        <f>IF(Products!A21="","",Products!G21)</f>
        <v/>
      </c>
      <c r="H24">
        <f>IF(Products!A21="","",Products!M21)</f>
        <v/>
      </c>
    </row>
    <row r="25">
      <c r="D25">
        <f>IF(Products!A22="","",Products!A22)</f>
        <v/>
      </c>
      <c r="E25">
        <f>IF(Products!A22="","",Products!B22)</f>
        <v/>
      </c>
      <c r="F25">
        <f>IF(Products!A22="","",Products!K22)</f>
        <v/>
      </c>
      <c r="G25">
        <f>IF(Products!A22="","",Products!G22)</f>
        <v/>
      </c>
      <c r="H25">
        <f>IF(Products!A22="","",Products!M22)</f>
        <v/>
      </c>
    </row>
    <row r="26">
      <c r="D26">
        <f>IF(Products!A23="","",Products!A23)</f>
        <v/>
      </c>
      <c r="E26">
        <f>IF(Products!A23="","",Products!B23)</f>
        <v/>
      </c>
      <c r="F26">
        <f>IF(Products!A23="","",Products!K23)</f>
        <v/>
      </c>
      <c r="G26">
        <f>IF(Products!A23="","",Products!G23)</f>
        <v/>
      </c>
      <c r="H26">
        <f>IF(Products!A23="","",Products!M23)</f>
        <v/>
      </c>
    </row>
    <row r="27">
      <c r="D27">
        <f>IF(Products!A24="","",Products!A24)</f>
        <v/>
      </c>
      <c r="E27">
        <f>IF(Products!A24="","",Products!B24)</f>
        <v/>
      </c>
      <c r="F27">
        <f>IF(Products!A24="","",Products!K24)</f>
        <v/>
      </c>
      <c r="G27">
        <f>IF(Products!A24="","",Products!G24)</f>
        <v/>
      </c>
      <c r="H27">
        <f>IF(Products!A24="","",Products!M24)</f>
        <v/>
      </c>
    </row>
    <row r="28">
      <c r="D28">
        <f>IF(Products!A25="","",Products!A25)</f>
        <v/>
      </c>
      <c r="E28">
        <f>IF(Products!A25="","",Products!B25)</f>
        <v/>
      </c>
      <c r="F28">
        <f>IF(Products!A25="","",Products!K25)</f>
        <v/>
      </c>
      <c r="G28">
        <f>IF(Products!A25="","",Products!G25)</f>
        <v/>
      </c>
      <c r="H28">
        <f>IF(Products!A25="","",Products!M25)</f>
        <v/>
      </c>
    </row>
    <row r="29">
      <c r="D29">
        <f>IF(Products!A26="","",Products!A26)</f>
        <v/>
      </c>
      <c r="E29">
        <f>IF(Products!A26="","",Products!B26)</f>
        <v/>
      </c>
      <c r="F29">
        <f>IF(Products!A26="","",Products!K26)</f>
        <v/>
      </c>
      <c r="G29">
        <f>IF(Products!A26="","",Products!G26)</f>
        <v/>
      </c>
      <c r="H29">
        <f>IF(Products!A26="","",Products!M26)</f>
        <v/>
      </c>
    </row>
    <row r="30">
      <c r="D30">
        <f>IF(Products!A27="","",Products!A27)</f>
        <v/>
      </c>
      <c r="E30">
        <f>IF(Products!A27="","",Products!B27)</f>
        <v/>
      </c>
      <c r="F30">
        <f>IF(Products!A27="","",Products!K27)</f>
        <v/>
      </c>
      <c r="G30">
        <f>IF(Products!A27="","",Products!G27)</f>
        <v/>
      </c>
      <c r="H30">
        <f>IF(Products!A27="","",Products!M27)</f>
        <v/>
      </c>
    </row>
    <row r="31">
      <c r="D31">
        <f>IF(Products!A28="","",Products!A28)</f>
        <v/>
      </c>
      <c r="E31">
        <f>IF(Products!A28="","",Products!B28)</f>
        <v/>
      </c>
      <c r="F31">
        <f>IF(Products!A28="","",Products!K28)</f>
        <v/>
      </c>
      <c r="G31">
        <f>IF(Products!A28="","",Products!G28)</f>
        <v/>
      </c>
      <c r="H31">
        <f>IF(Products!A28="","",Products!M28)</f>
        <v/>
      </c>
    </row>
    <row r="32">
      <c r="D32">
        <f>IF(Products!A29="","",Products!A29)</f>
        <v/>
      </c>
      <c r="E32">
        <f>IF(Products!A29="","",Products!B29)</f>
        <v/>
      </c>
      <c r="F32">
        <f>IF(Products!A29="","",Products!K29)</f>
        <v/>
      </c>
      <c r="G32">
        <f>IF(Products!A29="","",Products!G29)</f>
        <v/>
      </c>
      <c r="H32">
        <f>IF(Products!A29="","",Products!M29)</f>
        <v/>
      </c>
    </row>
    <row r="33">
      <c r="D33">
        <f>IF(Products!A30="","",Products!A30)</f>
        <v/>
      </c>
      <c r="E33">
        <f>IF(Products!A30="","",Products!B30)</f>
        <v/>
      </c>
      <c r="F33">
        <f>IF(Products!A30="","",Products!K30)</f>
        <v/>
      </c>
      <c r="G33">
        <f>IF(Products!A30="","",Products!G30)</f>
        <v/>
      </c>
      <c r="H33">
        <f>IF(Products!A30="","",Products!M30)</f>
        <v/>
      </c>
    </row>
    <row r="34">
      <c r="D34">
        <f>IF(Products!A31="","",Products!A31)</f>
        <v/>
      </c>
      <c r="E34">
        <f>IF(Products!A31="","",Products!B31)</f>
        <v/>
      </c>
      <c r="F34">
        <f>IF(Products!A31="","",Products!K31)</f>
        <v/>
      </c>
      <c r="G34">
        <f>IF(Products!A31="","",Products!G31)</f>
        <v/>
      </c>
      <c r="H34">
        <f>IF(Products!A31="","",Products!M31)</f>
        <v/>
      </c>
    </row>
  </sheetData>
  <conditionalFormatting sqref="B8">
    <cfRule type="cellIs" priority="1" operator="greaterThan" dxfId="2">
      <formula>0</formula>
    </cfRule>
  </conditionalFormatting>
  <conditionalFormatting sqref="B10">
    <cfRule type="cellIs" priority="2" operator="greaterThan" dxfId="2">
      <formula>0</formula>
    </cfRule>
  </conditionalFormatting>
  <conditionalFormatting sqref="D5:H34">
    <cfRule type="expression" priority="3" dxfId="2">
      <formula>$H5="OUT OF STOCK"</formula>
    </cfRule>
    <cfRule type="expression" priority="4" dxfId="3">
      <formula>OR($H5="REORDER NOW",$H5="LOW - ON ORDER")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2026-10-19T18:23:15Z</dcterms:created>
  <dcterms:modified xmlns:dcterms="http://purl.org/dc/terms/" xmlns:xsi="http://www.w3.org/2001/XMLSchema-instance" xsi:type="dcterms:W3CDTF">2026-10-19T18:23:15Z</dcterms:modified>
</cp:coreProperties>
</file>